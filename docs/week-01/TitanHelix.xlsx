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h Flow" sheetId="1" r:id="rId5"/>
    <sheet state="visible" name="Income Statement" sheetId="2" r:id="rId6"/>
    <sheet state="visible" name="Balance Sheet" sheetId="3" r:id="rId7"/>
    <sheet state="visible" name="Monthly Data" sheetId="4" r:id="rId8"/>
    <sheet state="visible" name="Workforce &amp; Expenses" sheetId="5" r:id="rId9"/>
    <sheet state="visible" name="Manufacturing &amp; Production" sheetId="6" r:id="rId10"/>
    <sheet state="visible" name="Clinical Trials &amp; R&amp;D" sheetId="7" r:id="rId11"/>
    <sheet state="visible" name="Revenue &amp; Demand" sheetId="8" r:id="rId12"/>
    <sheet state="visible" name="Funding &amp; Cap" sheetId="9" r:id="rId13"/>
    <sheet state="visible" name="Working Capital &amp; Assets" sheetId="10" r:id="rId14"/>
    <sheet state="hidden" name="Historical Audit" sheetId="11" r:id="rId15"/>
    <sheet state="hidden" name="Historical Baseline" sheetId="12" r:id="rId16"/>
  </sheets>
  <definedNames>
    <definedName hidden="1" localSheetId="3" name="_xlnm._FilterDatabase">'Monthly Data'!$A$1:$AJ$181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6">
      <text>
        <t xml:space="preserve">Debt principal repayments as negative financing cash flow ($million).</t>
      </text>
    </comment>
    <comment authorId="0" ref="C26">
      <text>
        <t xml:space="preserve">Debt principal repayments as negative financing cash flow ($million).</t>
      </text>
    </comment>
    <comment authorId="0" ref="D26">
      <text>
        <t xml:space="preserve">Debt principal repayments as negative financing cash flow ($million).</t>
      </text>
    </comment>
    <comment authorId="0" ref="E26">
      <text>
        <t xml:space="preserve">Debt principal repayments as negative financing cash flow ($million).</t>
      </text>
    </comment>
    <comment authorId="0" ref="F26">
      <text>
        <t xml:space="preserve">Debt principal repayments as negative financing cash flow ($million).</t>
      </text>
    </comment>
    <comment authorId="0" ref="G26">
      <text>
        <t xml:space="preserve">Debt principal repayments as negative financing cash flow ($million).</t>
      </text>
    </comment>
    <comment authorId="0" ref="H26">
      <text>
        <t xml:space="preserve">Debt principal repayments as negative financing cash flow ($million).</t>
      </text>
    </comment>
    <comment authorId="0" ref="I26">
      <text>
        <t xml:space="preserve">Debt principal repayments as negative financing cash flow ($million).</t>
      </text>
    </comment>
    <comment authorId="0" ref="J26">
      <text>
        <t xml:space="preserve">Debt principal repayments as negative financing cash flow ($million).</t>
      </text>
    </comment>
    <comment authorId="0" ref="K26">
      <text>
        <t xml:space="preserve">Debt principal repayments as negative financing cash flow ($million).</t>
      </text>
    </comment>
    <comment authorId="0" ref="L26">
      <text>
        <t xml:space="preserve">Debt principal repayments as negative financing cash flow ($million).</t>
      </text>
    </comment>
    <comment authorId="0" ref="M26">
      <text>
        <t xml:space="preserve">Debt principal repayments as negative financing cash flow ($million).</t>
      </text>
    </comment>
    <comment authorId="0" ref="N26">
      <text>
        <t xml:space="preserve">Debt principal repayments as negative financing cash flow ($million).</t>
      </text>
    </comment>
    <comment authorId="0" ref="O26">
      <text>
        <t xml:space="preserve">Debt principal repayments as negative financing cash flow ($million).</t>
      </text>
    </comment>
    <comment authorId="0" ref="P26">
      <text>
        <t xml:space="preserve">Debt principal repayments as negative financing cash flow ($million).</t>
      </text>
    </comment>
    <comment authorId="0" ref="B24">
      <text>
        <t xml:space="preserve">Linked to the Funding &amp; Cap table, which records equity rounds in the actual year raised.</t>
      </text>
    </comment>
    <comment authorId="0" ref="C24">
      <text>
        <t xml:space="preserve">Linked to the Funding &amp; Cap table, which records equity rounds in the actual year raised.</t>
      </text>
    </comment>
    <comment authorId="0" ref="D24">
      <text>
        <t xml:space="preserve">Linked to the Funding &amp; Cap table, which records equity rounds in the actual year raised.</t>
      </text>
    </comment>
    <comment authorId="0" ref="E24">
      <text>
        <t xml:space="preserve">Linked to the Funding &amp; Cap table, which records equity rounds in the actual year raised.</t>
      </text>
    </comment>
    <comment authorId="0" ref="B20">
      <text>
        <t xml:space="preserve">Annual capital expenditures ($million); negative here because an investing cash outflow. Reusable facilities, laboratory and production equipment.</t>
      </text>
    </comment>
    <comment authorId="0" ref="F24">
      <text>
        <t xml:space="preserve">Linked to the Funding &amp; Cap table, which records equity rounds in the actual year raised.</t>
      </text>
    </comment>
    <comment authorId="0" ref="C20">
      <text>
        <t xml:space="preserve">Annual capital expenditures ($million); negative here because an investing cash outflow. Reusable facilities, laboratory and production equipment.</t>
      </text>
    </comment>
    <comment authorId="0" ref="G24">
      <text>
        <t xml:space="preserve">Linked to the Funding &amp; Cap table, which records equity rounds in the actual year raised.</t>
      </text>
    </comment>
    <comment authorId="0" ref="D20">
      <text>
        <t xml:space="preserve">Annual capital expenditures ($million); negative here because an investing cash outflow. Reusable facilities, laboratory and production equipment.</t>
      </text>
    </comment>
    <comment authorId="0" ref="H24">
      <text>
        <t xml:space="preserve">Linked to the Funding &amp; Cap table, which records equity rounds in the actual year raised.</t>
      </text>
    </comment>
    <comment authorId="0" ref="E20">
      <text>
        <t xml:space="preserve">Annual capital expenditures ($million); negative here because an investing cash outflow. Reusable facilities, laboratory and production equipment.</t>
      </text>
    </comment>
    <comment authorId="0" ref="I24">
      <text>
        <t xml:space="preserve">Linked to the Funding &amp; Cap table, which records equity rounds in the actual year raised.</t>
      </text>
    </comment>
    <comment authorId="0" ref="F20">
      <text>
        <t xml:space="preserve">Annual capital expenditures ($million); negative here because an investing cash outflow. Reusable facilities, laboratory and production equipment.</t>
      </text>
    </comment>
    <comment authorId="0" ref="J24">
      <text>
        <t xml:space="preserve">Linked to the Funding &amp; Cap table, which records equity rounds in the actual year raised.</t>
      </text>
    </comment>
    <comment authorId="0" ref="G20">
      <text>
        <t xml:space="preserve">Annual capital expenditures ($million); negative here because an investing cash outflow. Reusable facilities, laboratory and production equipment.</t>
      </text>
    </comment>
    <comment authorId="0" ref="K24">
      <text>
        <t xml:space="preserve">Linked to the Funding &amp; Cap table, which records equity rounds in the actual year raised.</t>
      </text>
    </comment>
    <comment authorId="0" ref="H20">
      <text>
        <t xml:space="preserve">Annual capital expenditures ($million); negative here because an investing cash outflow. Reusable facilities, laboratory and production equipment.</t>
      </text>
    </comment>
    <comment authorId="0" ref="L24">
      <text>
        <t xml:space="preserve">Linked to the Funding &amp; Cap table, which records equity rounds in the actual year raised.</t>
      </text>
    </comment>
    <comment authorId="0" ref="I20">
      <text>
        <t xml:space="preserve">Annual capital expenditures ($million); negative here because an investing cash outflow. Reusable facilities, laboratory and production equipment.</t>
      </text>
    </comment>
    <comment authorId="0" ref="M24">
      <text>
        <t xml:space="preserve">Linked to the Funding &amp; Cap table, which records equity rounds in the actual year raised.</t>
      </text>
    </comment>
    <comment authorId="0" ref="J20">
      <text>
        <t xml:space="preserve">Annual capital expenditures ($million); negative here because an investing cash outflow. Reusable facilities, laboratory and production equipment.</t>
      </text>
    </comment>
    <comment authorId="0" ref="N24">
      <text>
        <t xml:space="preserve">Linked to the Funding &amp; Cap table, which records equity rounds in the actual year raised.</t>
      </text>
    </comment>
    <comment authorId="0" ref="K20">
      <text>
        <t xml:space="preserve">Annual capital expenditures ($million); negative here because an investing cash outflow. Reusable facilities, laboratory and production equipment.</t>
      </text>
    </comment>
    <comment authorId="0" ref="O24">
      <text>
        <t xml:space="preserve">Linked to the Funding &amp; Cap table, which records equity rounds in the actual year raised.</t>
      </text>
    </comment>
    <comment authorId="0" ref="L20">
      <text>
        <t xml:space="preserve">Annual capital expenditures ($million); negative here because an investing cash outflow. Reusable facilities, laboratory and production equipment.</t>
      </text>
    </comment>
    <comment authorId="0" ref="P24">
      <text>
        <t xml:space="preserve">Linked to the Funding &amp; Cap table, which records equity rounds in the actual year raised.</t>
      </text>
    </comment>
    <comment authorId="0" ref="A8">
      <text>
        <t xml:space="preserve">THX-101 royalties on fictional licensed GLP-1 product are recognized in cost of revenue and enter cash flow through net income and working-capital adjustments. No upfront licensing investment or acquisition financing was assumed; operating royalty charges are not financing cash inflows/outflows.</t>
      </text>
    </comment>
    <comment authorId="0" ref="M20">
      <text>
        <t xml:space="preserve">Annual capital expenditures ($million); negative here because an investing cash outflow. Reusable facilities, laboratory and production equipment.</t>
      </text>
    </comment>
    <comment authorId="0" ref="N20">
      <text>
        <t xml:space="preserve">Annual capital expenditures ($million); negative here because an investing cash outflow. Reusable facilities, laboratory and production equipment.</t>
      </text>
    </comment>
    <comment authorId="0" ref="O20">
      <text>
        <t xml:space="preserve">Annual capital expenditures ($million); negative here because an investing cash outflow. Reusable facilities, laboratory and production equipment.</t>
      </text>
    </comment>
    <comment authorId="0" ref="P20">
      <text>
        <t xml:space="preserve">Annual capital expenditures ($million); negative here because an investing cash outflow. Reusable facilities, laboratory and production equipment.</t>
      </text>
    </comment>
    <comment authorId="0" ref="B25">
      <text>
        <t xml:space="preserve">Synthetic annual venture debt proceeds ($million).</t>
      </text>
    </comment>
    <comment authorId="0" ref="C25">
      <text>
        <t xml:space="preserve">Synthetic annual venture debt proceeds ($million).</t>
      </text>
    </comment>
    <comment authorId="0" ref="D25">
      <text>
        <t xml:space="preserve">Synthetic annual venture debt proceeds ($million).</t>
      </text>
    </comment>
    <comment authorId="0" ref="E25">
      <text>
        <t xml:space="preserve">Synthetic annual venture debt proceeds ($million).</t>
      </text>
    </comment>
    <comment authorId="0" ref="F25">
      <text>
        <t xml:space="preserve">Synthetic annual venture debt proceeds ($million).</t>
      </text>
    </comment>
    <comment authorId="0" ref="G25">
      <text>
        <t xml:space="preserve">Synthetic annual venture debt proceeds ($million).</t>
      </text>
    </comment>
    <comment authorId="0" ref="H25">
      <text>
        <t xml:space="preserve">Synthetic annual venture debt proceeds ($million).</t>
      </text>
    </comment>
    <comment authorId="0" ref="I25">
      <text>
        <t xml:space="preserve">Synthetic annual venture debt proceeds ($million).</t>
      </text>
    </comment>
    <comment authorId="0" ref="J25">
      <text>
        <t xml:space="preserve">Synthetic annual venture debt proceeds ($million).</t>
      </text>
    </comment>
    <comment authorId="0" ref="K25">
      <text>
        <t xml:space="preserve">Synthetic annual venture debt proceeds ($million).</t>
      </text>
    </comment>
    <comment authorId="0" ref="L25">
      <text>
        <t xml:space="preserve">Synthetic annual venture debt proceeds ($million).</t>
      </text>
    </comment>
    <comment authorId="0" ref="M25">
      <text>
        <t xml:space="preserve">Synthetic annual venture debt proceeds ($million).</t>
      </text>
    </comment>
    <comment authorId="0" ref="N25">
      <text>
        <t xml:space="preserve">Synthetic annual venture debt proceeds ($million).</t>
      </text>
    </comment>
    <comment authorId="0" ref="O25">
      <text>
        <t xml:space="preserve">Synthetic annual venture debt proceeds ($million).</t>
      </text>
    </comment>
    <comment authorId="0" ref="P25">
      <text>
        <t xml:space="preserve">Synthetic annual venture debt proceeds ($million).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5">
      <text>
        <t xml:space="preserve">Illustrative income tax rate 25.0% only when pretax income is positive; deferred tax assets and NOLs not modeled.</t>
      </text>
    </comment>
    <comment authorId="0" ref="C35">
      <text>
        <t xml:space="preserve">Illustrative income tax rate 25.0% only when pretax income is positive; deferred tax assets and NOLs not modeled.</t>
      </text>
    </comment>
    <comment authorId="0" ref="D35">
      <text>
        <t xml:space="preserve">Illustrative income tax rate 25.0% only when pretax income is positive; deferred tax assets and NOLs not modeled.</t>
      </text>
    </comment>
    <comment authorId="0" ref="E35">
      <text>
        <t xml:space="preserve">Illustrative income tax rate 25.0% only when pretax income is positive; deferred tax assets and NOLs not modeled.</t>
      </text>
    </comment>
    <comment authorId="0" ref="F35">
      <text>
        <t xml:space="preserve">Illustrative income tax rate 25.0% only when pretax income is positive; deferred tax assets and NOLs not modeled.</t>
      </text>
    </comment>
    <comment authorId="0" ref="G35">
      <text>
        <t xml:space="preserve">Illustrative income tax rate 25.0% only when pretax income is positive; deferred tax assets and NOLs not modeled.</t>
      </text>
    </comment>
    <comment authorId="0" ref="H35">
      <text>
        <t xml:space="preserve">Illustrative income tax rate 25.0% only when pretax income is positive; deferred tax assets and NOLs not modeled.</t>
      </text>
    </comment>
    <comment authorId="0" ref="I35">
      <text>
        <t xml:space="preserve">Illustrative income tax rate 25.0% only when pretax income is positive; deferred tax assets and NOLs not modeled.</t>
      </text>
    </comment>
    <comment authorId="0" ref="J35">
      <text>
        <t xml:space="preserve">Illustrative income tax rate 25.0% only when pretax income is positive; deferred tax assets and NOLs not modeled.</t>
      </text>
    </comment>
    <comment authorId="0" ref="K35">
      <text>
        <t xml:space="preserve">Illustrative income tax rate 25.0% only when pretax income is positive; deferred tax assets and NOLs not modeled.</t>
      </text>
    </comment>
    <comment authorId="0" ref="L35">
      <text>
        <t xml:space="preserve">Illustrative income tax rate 25.0% only when pretax income is positive; deferred tax assets and NOLs not modeled.</t>
      </text>
    </comment>
    <comment authorId="0" ref="M35">
      <text>
        <t xml:space="preserve">Illustrative income tax rate 25.0% only when pretax income is positive; deferred tax assets and NOLs not modeled.</t>
      </text>
    </comment>
    <comment authorId="0" ref="N35">
      <text>
        <t xml:space="preserve">Illustrative income tax rate 25.0% only when pretax income is positive; deferred tax assets and NOLs not modeled.</t>
      </text>
    </comment>
    <comment authorId="0" ref="O35">
      <text>
        <t xml:space="preserve">Illustrative income tax rate 25.0% only when pretax income is positive; deferred tax assets and NOLs not modeled.</t>
      </text>
    </comment>
    <comment authorId="0" ref="P35">
      <text>
        <t xml:space="preserve">Illustrative income tax rate 25.0% only when pretax income is positive; deferred tax assets and NOLs not modeled.</t>
      </text>
    </comment>
    <comment authorId="0" ref="B23">
      <text>
        <t xml:space="preserve">Synthetic annual historical expense ($million).</t>
      </text>
    </comment>
    <comment authorId="0" ref="C23">
      <text>
        <t xml:space="preserve">Synthetic annual historical expense ($million).</t>
      </text>
    </comment>
    <comment authorId="0" ref="D23">
      <text>
        <t xml:space="preserve">Synthetic annual historical expense ($million).</t>
      </text>
    </comment>
    <comment authorId="0" ref="E23">
      <text>
        <t xml:space="preserve">Synthetic annual historical expense ($million).</t>
      </text>
    </comment>
    <comment authorId="0" ref="F23">
      <text>
        <t xml:space="preserve">Synthetic annual historical expense ($million).</t>
      </text>
    </comment>
    <comment authorId="0" ref="G23">
      <text>
        <t xml:space="preserve">Synthetic annual historical expense ($million).</t>
      </text>
    </comment>
    <comment authorId="0" ref="H23">
      <text>
        <t xml:space="preserve">Synthetic annual historical expense ($million).</t>
      </text>
    </comment>
    <comment authorId="0" ref="I23">
      <text>
        <t xml:space="preserve">Synthetic annual historical expense ($million).</t>
      </text>
    </comment>
    <comment authorId="0" ref="J23">
      <text>
        <t xml:space="preserve">2026 forecast operating expense ($million); editable driver.</t>
      </text>
    </comment>
    <comment authorId="0" ref="K23">
      <text>
        <t xml:space="preserve">2026 forecast operating expense ($million); editable driver.</t>
      </text>
    </comment>
    <comment authorId="0" ref="L23">
      <text>
        <t xml:space="preserve">2026 forecast operating expense ($million); editable driver.</t>
      </text>
    </comment>
    <comment authorId="0" ref="M23">
      <text>
        <t xml:space="preserve">2026 forecast operating expense ($million); editable driver.</t>
      </text>
    </comment>
    <comment authorId="0" ref="N23">
      <text>
        <t xml:space="preserve">2026 forecast operating expense ($million); editable driver.</t>
      </text>
    </comment>
    <comment authorId="0" ref="O23">
      <text>
        <t xml:space="preserve">2026 forecast operating expense ($million); editable driver.</t>
      </text>
    </comment>
    <comment authorId="0" ref="P23">
      <text>
        <t xml:space="preserve">2026 forecast operating expense ($million); editable driver.</t>
      </text>
    </comment>
    <comment authorId="0" ref="A7">
      <text>
        <t xml:space="preserve">Fictional commercialized weight-management GLP-1 therapy, developed and originally authorized by a fictional third-party pharmaceutical partner. TitanHelix is assumed to hold manufacturing and U.S. commercialization rights since 2024 under a royalty-bearing agreement; not semaglutide, Wegovy or Ozempic. This assumption is invented for financial modeling and is not a claim about any real product's intellectual-property rights.</t>
      </text>
    </comment>
    <comment authorId="0" ref="B7">
      <text>
        <t xml:space="preserve">Synthetic historical annual revenue input; monthly allocation moved out of the Week 1 model.</t>
      </text>
    </comment>
    <comment authorId="0" ref="C7">
      <text>
        <t xml:space="preserve">Synthetic historical annual revenue input; monthly allocation moved out of the Week 1 model.</t>
      </text>
    </comment>
    <comment authorId="0" ref="D7">
      <text>
        <t xml:space="preserve">Synthetic historical annual revenue input; monthly allocation moved out of the Week 1 model.</t>
      </text>
    </comment>
    <comment authorId="0" ref="E7">
      <text>
        <t xml:space="preserve">Synthetic historical annual revenue input; monthly allocation moved out of the Week 1 model.</t>
      </text>
    </comment>
    <comment authorId="0" ref="F7">
      <text>
        <t xml:space="preserve">Synthetic historical annual revenue input; monthly allocation moved out of the Week 1 model.</t>
      </text>
    </comment>
    <comment authorId="0" ref="G7">
      <text>
        <t xml:space="preserve">Synthetic historical annual revenue input; monthly allocation moved out of the Week 1 model.</t>
      </text>
    </comment>
    <comment authorId="0" ref="H7">
      <text>
        <t xml:space="preserve">Synthetic historical annual revenue input; monthly allocation moved out of the Week 1 model.</t>
      </text>
    </comment>
    <comment authorId="0" ref="I7">
      <text>
        <t xml:space="preserve">Synthetic historical annual revenue input; monthly allocation moved out of the Week 1 model.</t>
      </text>
    </comment>
    <comment authorId="0" ref="J7">
      <text>
        <t xml:space="preserve">THX-101 2026 product sales summed from monthly projected prescription fills × projected net revenue per fill; quantity and price are independently driven from Income Statement annual assumptions.</t>
      </text>
    </comment>
    <comment authorId="0" ref="K7">
      <text>
        <t xml:space="preserve">THX-101 2027 product sales summed from monthly projected prescription fills × projected net revenue per fill; quantity and price are independently driven from Income Statement annual assumptions.</t>
      </text>
    </comment>
    <comment authorId="0" ref="L7">
      <text>
        <t xml:space="preserve">THX-101 2028 product sales summed from monthly projected prescription fills × projected net revenue per fill; quantity and price are independently driven from Income Statement annual assumptions.</t>
      </text>
    </comment>
    <comment authorId="0" ref="M7">
      <text>
        <t xml:space="preserve">THX-101 2029 product sales summed from monthly projected prescription fills × projected net revenue per fill; quantity and price are independently driven from Income Statement annual assumptions.</t>
      </text>
    </comment>
    <comment authorId="0" ref="N7">
      <text>
        <t xml:space="preserve">THX-101 2029 product sales summed from monthly projected prescription fills × projected net revenue per fill; quantity and price are independently driven from Income Statement annual assumptions.</t>
      </text>
    </comment>
    <comment authorId="0" ref="O7">
      <text>
        <t xml:space="preserve">THX-101 2029 product sales summed from monthly projected prescription fills × projected net revenue per fill; quantity and price are independently driven from Income Statement annual assumptions.</t>
      </text>
    </comment>
    <comment authorId="0" ref="P7">
      <text>
        <t xml:space="preserve">THX-101 2029 product sales summed from monthly projected prescription fills × projected net revenue per fill; quantity and price are independently driven from Income Statement annual assumptions.</t>
      </text>
    </comment>
    <comment authorId="0" ref="B24">
      <text>
        <t xml:space="preserve">Synthetic annual historical expense ($million).</t>
      </text>
    </comment>
    <comment authorId="0" ref="C24">
      <text>
        <t xml:space="preserve">Synthetic annual historical expense ($million).</t>
      </text>
    </comment>
    <comment authorId="0" ref="D24">
      <text>
        <t xml:space="preserve">Synthetic annual historical expense ($million).</t>
      </text>
    </comment>
    <comment authorId="0" ref="E24">
      <text>
        <t xml:space="preserve">Synthetic annual historical expense ($million).</t>
      </text>
    </comment>
    <comment authorId="0" ref="F24">
      <text>
        <t xml:space="preserve">Synthetic annual historical expense ($million).</t>
      </text>
    </comment>
    <comment authorId="0" ref="G24">
      <text>
        <t xml:space="preserve">Synthetic annual historical expense ($million).</t>
      </text>
    </comment>
    <comment authorId="0" ref="H24">
      <text>
        <t xml:space="preserve">Synthetic annual historical expense ($million).</t>
      </text>
    </comment>
    <comment authorId="0" ref="I24">
      <text>
        <t xml:space="preserve">Synthetic annual historical expense ($million).</t>
      </text>
    </comment>
    <comment authorId="0" ref="J24">
      <text>
        <t xml:space="preserve">2026 forecast operating expense ($million); editable driver.</t>
      </text>
    </comment>
    <comment authorId="0" ref="K24">
      <text>
        <t xml:space="preserve">2026 forecast operating expense ($million); editable driver.</t>
      </text>
    </comment>
    <comment authorId="0" ref="L24">
      <text>
        <t xml:space="preserve">2026 forecast operating expense ($million); editable driver.</t>
      </text>
    </comment>
    <comment authorId="0" ref="M24">
      <text>
        <t xml:space="preserve">2026 forecast operating expense ($million); editable driver.</t>
      </text>
    </comment>
    <comment authorId="0" ref="N24">
      <text>
        <t xml:space="preserve">2026 forecast operating expense ($million); editable driver.</t>
      </text>
    </comment>
    <comment authorId="0" ref="O24">
      <text>
        <t xml:space="preserve">2026 forecast operating expense ($million); editable driver.</t>
      </text>
    </comment>
    <comment authorId="0" ref="P24">
      <text>
        <t xml:space="preserve">2026 forecast operating expense ($million); editable driver.</t>
      </text>
    </comment>
    <comment authorId="0" ref="B8">
      <text>
        <t xml:space="preserve">Annual THX-202 commercial product sales from synthetic monthly data. Sales are zero before the assumed regulatory approval and launch, or when No launch is selected.</t>
      </text>
    </comment>
    <comment authorId="0" ref="B25">
      <text>
        <t xml:space="preserve">Synthetic annual historical expense ($million).</t>
      </text>
    </comment>
    <comment authorId="0" ref="C25">
      <text>
        <t xml:space="preserve">Synthetic annual historical expense ($million).</t>
      </text>
    </comment>
    <comment authorId="0" ref="D25">
      <text>
        <t xml:space="preserve">Synthetic annual historical expense ($million).</t>
      </text>
    </comment>
    <comment authorId="0" ref="E25">
      <text>
        <t xml:space="preserve">Synthetic annual historical expense ($million).</t>
      </text>
    </comment>
    <comment authorId="0" ref="F25">
      <text>
        <t xml:space="preserve">Synthetic annual historical expense ($million).</t>
      </text>
    </comment>
    <comment authorId="0" ref="G25">
      <text>
        <t xml:space="preserve">Synthetic annual historical expense ($million).</t>
      </text>
    </comment>
    <comment authorId="0" ref="H25">
      <text>
        <t xml:space="preserve">Synthetic annual historical expense ($million).</t>
      </text>
    </comment>
    <comment authorId="0" ref="I25">
      <text>
        <t xml:space="preserve">Synthetic annual historical expense ($million).</t>
      </text>
    </comment>
    <comment authorId="0" ref="J25">
      <text>
        <t xml:space="preserve">2026 forecast operating expense ($million); editable driver.</t>
      </text>
    </comment>
    <comment authorId="0" ref="K25">
      <text>
        <t xml:space="preserve">2026 forecast operating expense ($million); editable driver.</t>
      </text>
    </comment>
    <comment authorId="0" ref="L25">
      <text>
        <t xml:space="preserve">2026 forecast operating expense ($million); editable driver.</t>
      </text>
    </comment>
    <comment authorId="0" ref="M25">
      <text>
        <t xml:space="preserve">2026 forecast operating expense ($million); editable driver.</t>
      </text>
    </comment>
    <comment authorId="0" ref="N25">
      <text>
        <t xml:space="preserve">2026 forecast operating expense ($million); editable driver.</t>
      </text>
    </comment>
    <comment authorId="0" ref="O25">
      <text>
        <t xml:space="preserve">2026 forecast operating expense ($million); editable driver.</t>
      </text>
    </comment>
    <comment authorId="0" ref="P25">
      <text>
        <t xml:space="preserve">2026 forecast operating expense ($million); editable driver.</t>
      </text>
    </comment>
    <comment authorId="0" ref="B9">
      <text>
        <t xml:space="preserve">Synthetic historical annual revenue input; monthly allocation moved out of the Week 1 model.</t>
      </text>
    </comment>
    <comment authorId="0" ref="C9">
      <text>
        <t xml:space="preserve">Synthetic historical annual revenue input; monthly allocation moved out of the Week 1 model.</t>
      </text>
    </comment>
    <comment authorId="0" ref="D9">
      <text>
        <t xml:space="preserve">Synthetic historical annual revenue input; monthly allocation moved out of the Week 1 model.</t>
      </text>
    </comment>
    <comment authorId="0" ref="E9">
      <text>
        <t xml:space="preserve">Synthetic historical annual revenue input; monthly allocation moved out of the Week 1 model.</t>
      </text>
    </comment>
    <comment authorId="0" ref="F9">
      <text>
        <t xml:space="preserve">Synthetic historical annual revenue input; monthly allocation moved out of the Week 1 model.</t>
      </text>
    </comment>
    <comment authorId="0" ref="G9">
      <text>
        <t xml:space="preserve">Synthetic historical annual revenue input; monthly allocation moved out of the Week 1 model.</t>
      </text>
    </comment>
    <comment authorId="0" ref="H9">
      <text>
        <t xml:space="preserve">Synthetic historical annual revenue input; monthly allocation moved out of the Week 1 model.</t>
      </text>
    </comment>
    <comment authorId="0" ref="I9">
      <text>
        <t xml:space="preserve">Synthetic historical annual revenue input; monthly allocation moved out of the Week 1 model.</t>
      </text>
    </comment>
    <comment authorId="0" ref="J9">
      <text>
        <t xml:space="preserve">Synthetic 2026 forecast revenue input; change to run a basic sales scenario.</t>
      </text>
    </comment>
    <comment authorId="0" ref="K9">
      <text>
        <t xml:space="preserve">Synthetic 2026 forecast revenue input; change to run a basic sales scenario.</t>
      </text>
    </comment>
    <comment authorId="0" ref="L9">
      <text>
        <t xml:space="preserve">Synthetic 2026 forecast revenue input; change to run a basic sales scenario.</t>
      </text>
    </comment>
    <comment authorId="0" ref="M9">
      <text>
        <t xml:space="preserve">Synthetic 2026 forecast revenue input; change to run a basic sales scenario.</t>
      </text>
    </comment>
    <comment authorId="0" ref="N9">
      <text>
        <t xml:space="preserve">Synthetic 2026 forecast revenue input; change to run a basic sales scenario.</t>
      </text>
    </comment>
    <comment authorId="0" ref="O9">
      <text>
        <t xml:space="preserve">Synthetic 2026 forecast revenue input; change to run a basic sales scenario.</t>
      </text>
    </comment>
    <comment authorId="0" ref="P9">
      <text>
        <t xml:space="preserve">Synthetic 2026 forecast revenue input; change to run a basic sales scenario.</t>
      </text>
    </comment>
    <comment authorId="0" ref="B26">
      <text>
        <t xml:space="preserve">Synthetic annual historical expense ($million).</t>
      </text>
    </comment>
    <comment authorId="0" ref="C26">
      <text>
        <t xml:space="preserve">Synthetic annual historical expense ($million).</t>
      </text>
    </comment>
    <comment authorId="0" ref="D26">
      <text>
        <t xml:space="preserve">Synthetic annual historical expense ($million).</t>
      </text>
    </comment>
    <comment authorId="0" ref="E26">
      <text>
        <t xml:space="preserve">Synthetic annual historical expense ($million).</t>
      </text>
    </comment>
    <comment authorId="0" ref="F26">
      <text>
        <t xml:space="preserve">Synthetic annual historical expense ($million).</t>
      </text>
    </comment>
    <comment authorId="0" ref="G26">
      <text>
        <t xml:space="preserve">Synthetic annual historical expense ($million).</t>
      </text>
    </comment>
    <comment authorId="0" ref="H26">
      <text>
        <t xml:space="preserve">Synthetic annual historical expense ($million).</t>
      </text>
    </comment>
    <comment authorId="0" ref="I26">
      <text>
        <t xml:space="preserve">Synthetic annual historical expense ($million).</t>
      </text>
    </comment>
    <comment authorId="0" ref="J26">
      <text>
        <t xml:space="preserve">2026 forecast operating expense ($million); editable driver.</t>
      </text>
    </comment>
    <comment authorId="0" ref="K26">
      <text>
        <t xml:space="preserve">2026 forecast operating expense ($million); editable driver.</t>
      </text>
    </comment>
    <comment authorId="0" ref="L26">
      <text>
        <t xml:space="preserve">2026 forecast operating expense ($million); editable driver.</t>
      </text>
    </comment>
    <comment authorId="0" ref="M26">
      <text>
        <t xml:space="preserve">2026 forecast operating expense ($million); editable driver.</t>
      </text>
    </comment>
    <comment authorId="0" ref="N26">
      <text>
        <t xml:space="preserve">2026 forecast operating expense ($million); editable driver.</t>
      </text>
    </comment>
    <comment authorId="0" ref="O26">
      <text>
        <t xml:space="preserve">2026 forecast operating expense ($million); editable driver.</t>
      </text>
    </comment>
    <comment authorId="0" ref="P26">
      <text>
        <t xml:space="preserve">2026 forecast operating expense ($million); editable driver.</t>
      </text>
    </comment>
    <comment authorId="0" ref="B10">
      <text>
        <t xml:space="preserve">Synthetic historical annual revenue input; monthly allocation moved out of the Week 1 model.</t>
      </text>
    </comment>
    <comment authorId="0" ref="C10">
      <text>
        <t xml:space="preserve">Synthetic historical annual revenue input; monthly allocation moved out of the Week 1 model.</t>
      </text>
    </comment>
    <comment authorId="0" ref="D10">
      <text>
        <t xml:space="preserve">Synthetic historical annual revenue input; monthly allocation moved out of the Week 1 model.</t>
      </text>
    </comment>
    <comment authorId="0" ref="E10">
      <text>
        <t xml:space="preserve">Synthetic historical annual revenue input; monthly allocation moved out of the Week 1 model.</t>
      </text>
    </comment>
    <comment authorId="0" ref="F10">
      <text>
        <t xml:space="preserve">Synthetic historical annual revenue input; monthly allocation moved out of the Week 1 model.</t>
      </text>
    </comment>
    <comment authorId="0" ref="G10">
      <text>
        <t xml:space="preserve">Synthetic historical annual revenue input; monthly allocation moved out of the Week 1 model.</t>
      </text>
    </comment>
    <comment authorId="0" ref="H10">
      <text>
        <t xml:space="preserve">Synthetic historical annual revenue input; monthly allocation moved out of the Week 1 model.</t>
      </text>
    </comment>
    <comment authorId="0" ref="I10">
      <text>
        <t xml:space="preserve">Synthetic historical annual revenue input; monthly allocation moved out of the Week 1 model.</t>
      </text>
    </comment>
    <comment authorId="0" ref="J10">
      <text>
        <t xml:space="preserve">Synthetic 2026 forecast revenue input; change to run a basic sales scenario.</t>
      </text>
    </comment>
    <comment authorId="0" ref="K10">
      <text>
        <t xml:space="preserve">Synthetic 2026 forecast revenue input; change to run a basic sales scenario.</t>
      </text>
    </comment>
    <comment authorId="0" ref="L10">
      <text>
        <t xml:space="preserve">Synthetic 2026 forecast revenue input; change to run a basic sales scenario.</t>
      </text>
    </comment>
    <comment authorId="0" ref="M10">
      <text>
        <t xml:space="preserve">Synthetic 2026 forecast revenue input; change to run a basic sales scenario.</t>
      </text>
    </comment>
    <comment authorId="0" ref="N10">
      <text>
        <t xml:space="preserve">Synthetic 2026 forecast revenue input; change to run a basic sales scenario.</t>
      </text>
    </comment>
    <comment authorId="0" ref="O10">
      <text>
        <t xml:space="preserve">Synthetic 2026 forecast revenue input; change to run a basic sales scenario.</t>
      </text>
    </comment>
    <comment authorId="0" ref="P10">
      <text>
        <t xml:space="preserve">Synthetic 2026 forecast revenue input; change to run a basic sales scenario.</t>
      </text>
    </comment>
    <comment authorId="0" ref="B27">
      <text>
        <t xml:space="preserve">Synthetic annual historical expense ($million).</t>
      </text>
    </comment>
    <comment authorId="0" ref="C27">
      <text>
        <t xml:space="preserve">Synthetic annual historical expense ($million).</t>
      </text>
    </comment>
    <comment authorId="0" ref="D27">
      <text>
        <t xml:space="preserve">Synthetic annual historical expense ($million).</t>
      </text>
    </comment>
    <comment authorId="0" ref="E27">
      <text>
        <t xml:space="preserve">Synthetic annual historical expense ($million).</t>
      </text>
    </comment>
    <comment authorId="0" ref="F27">
      <text>
        <t xml:space="preserve">Synthetic annual historical expense ($million).</t>
      </text>
    </comment>
    <comment authorId="0" ref="G27">
      <text>
        <t xml:space="preserve">Synthetic annual historical expense ($million).</t>
      </text>
    </comment>
    <comment authorId="0" ref="H27">
      <text>
        <t xml:space="preserve">Synthetic annual historical expense ($million).</t>
      </text>
    </comment>
    <comment authorId="0" ref="I27">
      <text>
        <t xml:space="preserve">Synthetic annual historical expense ($million).</t>
      </text>
    </comment>
    <comment authorId="0" ref="J27">
      <text>
        <t xml:space="preserve">2026 forecast operating expense ($million); editable driver.</t>
      </text>
    </comment>
    <comment authorId="0" ref="K27">
      <text>
        <t xml:space="preserve">2026 forecast operating expense ($million); editable driver.</t>
      </text>
    </comment>
    <comment authorId="0" ref="L27">
      <text>
        <t xml:space="preserve">2026 forecast operating expense ($million); editable driver.</t>
      </text>
    </comment>
    <comment authorId="0" ref="M27">
      <text>
        <t xml:space="preserve">2026 forecast operating expense ($million); editable driver.</t>
      </text>
    </comment>
    <comment authorId="0" ref="N27">
      <text>
        <t xml:space="preserve">2026 forecast operating expense ($million); editable driver.</t>
      </text>
    </comment>
    <comment authorId="0" ref="O27">
      <text>
        <t xml:space="preserve">2026 forecast operating expense ($million); editable driver.</t>
      </text>
    </comment>
    <comment authorId="0" ref="P27">
      <text>
        <t xml:space="preserve">2026 forecast operating expense ($million); editable driver.</t>
      </text>
    </comment>
    <comment authorId="0" ref="B14">
      <text>
        <t xml:space="preserve">Synthetic cost ratio 0% of corresponding revenue.</t>
      </text>
    </comment>
    <comment authorId="0" ref="C14">
      <text>
        <t xml:space="preserve">Synthetic cost ratio 0% of corresponding revenue.</t>
      </text>
    </comment>
    <comment authorId="0" ref="D14">
      <text>
        <t xml:space="preserve">Synthetic cost ratio 0% of corresponding revenue.</t>
      </text>
    </comment>
    <comment authorId="0" ref="E14">
      <text>
        <t xml:space="preserve">Synthetic cost ratio 0% of corresponding revenue.</t>
      </text>
    </comment>
    <comment authorId="0" ref="F14">
      <text>
        <t xml:space="preserve">Synthetic cost ratio 0% of corresponding revenue.</t>
      </text>
    </comment>
    <comment authorId="0" ref="G14">
      <text>
        <t xml:space="preserve">Synthetic cost ratio 0% of corresponding revenue.</t>
      </text>
    </comment>
    <comment authorId="0" ref="H14">
      <text>
        <t xml:space="preserve">Synthetic historical THX-101 product COGS includes production, distribution, and a fictional developer's licensing royalties in the historical cost accounts. Historical expenses were frozen as synthetic actuals; the company does not license semaglutide from a real manufacturer.</t>
      </text>
    </comment>
    <comment authorId="0" ref="I14">
      <text>
        <t xml:space="preserve">Synthetic historical THX-101 product COGS includes production, distribution, and a fictional developer's licensing royalties in the historical cost accounts. Historical expenses were frozen as synthetic actuals; the company does not license semaglutide from a real manufacturer.</t>
      </text>
    </comment>
    <comment authorId="0" ref="J14">
      <text>
        <t xml:space="preserve">Forecast THX-101 COGS = bottom-up materials, packaging, QC, shipping, yield loss, plant overhead and manufacturing/quality payroll from Manufacturing &amp; Production + 8% fictional-partner royalty on THX-101 net product sales. Not a fixed COGS/revenue percentage. No semaglutide patent rights assumed.</t>
      </text>
    </comment>
    <comment authorId="0" ref="K14">
      <text>
        <t xml:space="preserve">Forecast THX-101 COGS = bottom-up materials, packaging, QC, shipping, yield loss, plant overhead and manufacturing/quality payroll from Manufacturing &amp; Production + 8% fictional-partner royalty on THX-101 net product sales. Not a fixed COGS/revenue percentage. No semaglutide patent rights assumed.</t>
      </text>
    </comment>
    <comment authorId="0" ref="L14">
      <text>
        <t xml:space="preserve">Forecast THX-101 COGS = bottom-up materials, packaging, QC, shipping, yield loss, plant overhead and manufacturing/quality payroll from Manufacturing &amp; Production + 8% fictional-partner royalty on THX-101 net product sales. Not a fixed COGS/revenue percentage. No semaglutide patent rights assumed.</t>
      </text>
    </comment>
    <comment authorId="0" ref="M14">
      <text>
        <t xml:space="preserve">Forecast THX-101 COGS = bottom-up materials, packaging, QC, shipping, yield loss, plant overhead and manufacturing/quality payroll from Manufacturing &amp; Production + 8% fictional-partner royalty on THX-101 net product sales. Not a fixed COGS/revenue percentage. No semaglutide patent rights assumed.</t>
      </text>
    </comment>
    <comment authorId="0" ref="N14">
      <text>
        <t xml:space="preserve">Forecast THX-101 COGS = bottom-up materials, packaging, QC, shipping, yield loss, plant overhead and manufacturing/quality payroll from Manufacturing &amp; Production + 8% fictional-partner royalty on THX-101 net product sales. Not a fixed COGS/revenue percentage. No semaglutide patent rights assumed.</t>
      </text>
    </comment>
    <comment authorId="0" ref="O14">
      <text>
        <t xml:space="preserve">Forecast THX-101 COGS = bottom-up materials, packaging, QC, shipping, yield loss, plant overhead and manufacturing/quality payroll from Manufacturing &amp; Production + 8% fictional-partner royalty on THX-101 net product sales. Not a fixed COGS/revenue percentage. No semaglutide patent rights assumed.</t>
      </text>
    </comment>
    <comment authorId="0" ref="P14">
      <text>
        <t xml:space="preserve">Forecast THX-101 COGS = bottom-up materials, packaging, QC, shipping, yield loss, plant overhead and manufacturing/quality payroll from Manufacturing &amp; Production + 8% fictional-partner royalty on THX-101 net product sales. Not a fixed COGS/revenue percentage. No semaglutide patent rights assumed.</t>
      </text>
    </comment>
    <comment authorId="0" ref="B15">
      <text>
        <t xml:space="preserve">Annual THX-202 commercial manufacturing/distribution costs from synthetic monthly data. Sales are zero before the assumed regulatory approval and launch, or when No launch is selected.</t>
      </text>
    </comment>
    <comment authorId="0" ref="B16">
      <text>
        <t xml:space="preserve">Synthetic cost ratio 0% of corresponding revenue.</t>
      </text>
    </comment>
    <comment authorId="0" ref="C16">
      <text>
        <t xml:space="preserve">Synthetic cost ratio 40% of corresponding revenue.</t>
      </text>
    </comment>
    <comment authorId="0" ref="D16">
      <text>
        <t xml:space="preserve">Synthetic cost ratio 44% of corresponding revenue.</t>
      </text>
    </comment>
    <comment authorId="0" ref="E16">
      <text>
        <t xml:space="preserve">Synthetic cost ratio 44% of corresponding revenue.</t>
      </text>
    </comment>
    <comment authorId="0" ref="F16">
      <text>
        <t xml:space="preserve">Synthetic cost ratio 44% of corresponding revenue.</t>
      </text>
    </comment>
    <comment authorId="0" ref="G16">
      <text>
        <t xml:space="preserve">Synthetic cost ratio 45% of corresponding revenue.</t>
      </text>
    </comment>
    <comment authorId="0" ref="H16">
      <text>
        <t xml:space="preserve">Synthetic cost ratio 45% of corresponding revenue.</t>
      </text>
    </comment>
    <comment authorId="0" ref="I16">
      <text>
        <t xml:space="preserve">Synthetic cost ratio 43% of corresponding revenue.</t>
      </text>
    </comment>
    <comment authorId="0" ref="J16">
      <text>
        <t xml:space="preserve">Synthetic cost ratio 45% of corresponding revenue.</t>
      </text>
    </comment>
    <comment authorId="0" ref="K16">
      <text>
        <t xml:space="preserve">Synthetic cost ratio 45% of corresponding revenue.</t>
      </text>
    </comment>
    <comment authorId="0" ref="L16">
      <text>
        <t xml:space="preserve">Synthetic cost ratio 45% of corresponding revenue.</t>
      </text>
    </comment>
    <comment authorId="0" ref="M16">
      <text>
        <t xml:space="preserve">Synthetic cost ratio 45% of corresponding revenue.</t>
      </text>
    </comment>
    <comment authorId="0" ref="N16">
      <text>
        <t xml:space="preserve">Synthetic cost ratio 45% of corresponding revenue.</t>
      </text>
    </comment>
    <comment authorId="0" ref="O16">
      <text>
        <t xml:space="preserve">Synthetic cost ratio 45% of corresponding revenue.</t>
      </text>
    </comment>
    <comment authorId="0" ref="P16">
      <text>
        <t xml:space="preserve">Synthetic cost ratio 45% of corresponding revenue.</t>
      </text>
    </comment>
    <comment authorId="0" ref="B33">
      <text>
        <t xml:space="preserve">Synthetic interest rate 8.5%, applied to average annual debt outstanding.</t>
      </text>
    </comment>
    <comment authorId="0" ref="C33">
      <text>
        <t xml:space="preserve">Synthetic interest rate 8.5%, applied to average annual debt outstanding.</t>
      </text>
    </comment>
    <comment authorId="0" ref="D33">
      <text>
        <t xml:space="preserve">Synthetic interest rate 8.5%, applied to average annual debt outstanding.</t>
      </text>
    </comment>
    <comment authorId="0" ref="E33">
      <text>
        <t xml:space="preserve">Synthetic interest rate 8.5%, applied to average annual debt outstanding.</t>
      </text>
    </comment>
    <comment authorId="0" ref="F33">
      <text>
        <t xml:space="preserve">Synthetic interest rate 8.5%, applied to average annual debt outstanding.</t>
      </text>
    </comment>
    <comment authorId="0" ref="G33">
      <text>
        <t xml:space="preserve">Synthetic interest rate 8.5%, applied to average annual debt outstanding.</t>
      </text>
    </comment>
    <comment authorId="0" ref="H33">
      <text>
        <t xml:space="preserve">Synthetic interest rate 8.5%, applied to average annual debt outstanding.</t>
      </text>
    </comment>
    <comment authorId="0" ref="I33">
      <text>
        <t xml:space="preserve">Synthetic interest rate 8.5%, applied to average annual debt outstanding.</t>
      </text>
    </comment>
    <comment authorId="0" ref="J33">
      <text>
        <t xml:space="preserve">Synthetic interest rate 8.5%, applied to average annual debt outstanding.</t>
      </text>
    </comment>
    <comment authorId="0" ref="K33">
      <text>
        <t xml:space="preserve">Synthetic interest rate 8.5%, applied to average annual debt outstanding.</t>
      </text>
    </comment>
    <comment authorId="0" ref="L33">
      <text>
        <t xml:space="preserve">Synthetic interest rate 8.5%, applied to average annual debt outstanding.</t>
      </text>
    </comment>
    <comment authorId="0" ref="M33">
      <text>
        <t xml:space="preserve">Synthetic interest rate 8.5%, applied to average annual debt outstanding.</t>
      </text>
    </comment>
    <comment authorId="0" ref="N33">
      <text>
        <t xml:space="preserve">Synthetic interest rate 8.5%, applied to average annual debt outstanding.</t>
      </text>
    </comment>
    <comment authorId="0" ref="O33">
      <text>
        <t xml:space="preserve">Synthetic interest rate 8.5%, applied to average annual debt outstanding.</t>
      </text>
    </comment>
    <comment authorId="0" ref="P33">
      <text>
        <t xml:space="preserve">Synthetic interest rate 8.5%, applied to average annual debt outstanding.</t>
      </text>
    </comment>
    <comment authorId="0" ref="B17">
      <text>
        <t xml:space="preserve">Synthetic cost ratio 0% of corresponding revenue.</t>
      </text>
    </comment>
    <comment authorId="0" ref="C17">
      <text>
        <t xml:space="preserve">Synthetic cost ratio 10% of corresponding revenue.</t>
      </text>
    </comment>
    <comment authorId="0" ref="D17">
      <text>
        <t xml:space="preserve">Synthetic cost ratio 10% of corresponding revenue.</t>
      </text>
    </comment>
    <comment authorId="0" ref="E17">
      <text>
        <t xml:space="preserve">Synthetic cost ratio 10% of corresponding revenue.</t>
      </text>
    </comment>
    <comment authorId="0" ref="F17">
      <text>
        <t xml:space="preserve">Synthetic cost ratio 10% of corresponding revenue.</t>
      </text>
    </comment>
    <comment authorId="0" ref="G17">
      <text>
        <t xml:space="preserve">Synthetic cost ratio 8% of corresponding revenue.</t>
      </text>
    </comment>
    <comment authorId="0" ref="H17">
      <text>
        <t xml:space="preserve">Synthetic cost ratio 8% of corresponding revenue.</t>
      </text>
    </comment>
    <comment authorId="0" ref="I17">
      <text>
        <t xml:space="preserve">Synthetic cost ratio 8% of corresponding revenue.</t>
      </text>
    </comment>
    <comment authorId="0" ref="J17">
      <text>
        <t xml:space="preserve">Synthetic cost ratio 8% of corresponding revenue.</t>
      </text>
    </comment>
    <comment authorId="0" ref="K17">
      <text>
        <t xml:space="preserve">Synthetic cost ratio 8% of corresponding revenue.</t>
      </text>
    </comment>
    <comment authorId="0" ref="L17">
      <text>
        <t xml:space="preserve">Synthetic cost ratio 8% of corresponding revenue.</t>
      </text>
    </comment>
    <comment authorId="0" ref="M17">
      <text>
        <t xml:space="preserve">Synthetic cost ratio 8% of corresponding revenue.</t>
      </text>
    </comment>
    <comment authorId="0" ref="N17">
      <text>
        <t xml:space="preserve">Synthetic cost ratio 8% of corresponding revenue.</t>
      </text>
    </comment>
    <comment authorId="0" ref="O17">
      <text>
        <t xml:space="preserve">Synthetic cost ratio 8% of corresponding revenue.</t>
      </text>
    </comment>
    <comment authorId="0" ref="P17">
      <text>
        <t xml:space="preserve">Synthetic cost ratio 8% of corresponding revenue.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Accounts receivable based on 56 days sales outstanding (DSO). Synthetic driver.</t>
      </text>
    </comment>
    <comment authorId="0" ref="J9">
      <text>
        <t xml:space="preserve">Accounts receivable based on 58 days sales outstanding (DSO). Synthetic driver.</t>
      </text>
    </comment>
    <comment authorId="0" ref="K9">
      <text>
        <t xml:space="preserve">Accounts receivable based on 58 days sales outstanding (DSO). Synthetic driver.</t>
      </text>
    </comment>
    <comment authorId="0" ref="L9">
      <text>
        <t xml:space="preserve">Accounts receivable based on 58 days sales outstanding (DSO). Synthetic driver.</t>
      </text>
    </comment>
    <comment authorId="0" ref="M9">
      <text>
        <t xml:space="preserve">Accounts receivable based on 58 days sales outstanding (DSO). Synthetic driver.</t>
      </text>
    </comment>
    <comment authorId="0" ref="N9">
      <text>
        <t xml:space="preserve">Accounts receivable based on 58 days sales outstanding (DSO). Synthetic driver.</t>
      </text>
    </comment>
    <comment authorId="0" ref="O9">
      <text>
        <t xml:space="preserve">Accounts receivable based on 58 days sales outstanding (DSO). Synthetic driver.</t>
      </text>
    </comment>
    <comment authorId="0" ref="P9">
      <text>
        <t xml:space="preserve">Accounts receivable based on 58 days sales outstanding (DSO). Synthetic driver.</t>
      </text>
    </comment>
    <comment authorId="0" ref="B26">
      <text>
        <t xml:space="preserve">Beginning additional paid-in capital + equity cash raised + noncash stock compensation.</t>
      </text>
    </comment>
    <comment authorId="0" ref="C26">
      <text>
        <t xml:space="preserve">Beginning additional paid-in capital + equity cash raised + noncash stock compensation.</t>
      </text>
    </comment>
    <comment authorId="0" ref="D26">
      <text>
        <t xml:space="preserve">Beginning additional paid-in capital + equity cash raised + noncash stock compensation.</t>
      </text>
    </comment>
    <comment authorId="0" ref="E26">
      <text>
        <t xml:space="preserve">Beginning additional paid-in capital + equity cash raised + noncash stock compensation.</t>
      </text>
    </comment>
    <comment authorId="0" ref="F26">
      <text>
        <t xml:space="preserve">Beginning additional paid-in capital + equity cash raised + noncash stock compensation.</t>
      </text>
    </comment>
    <comment authorId="0" ref="G26">
      <text>
        <t xml:space="preserve">Beginning additional paid-in capital + equity cash raised + noncash stock compensation.</t>
      </text>
    </comment>
    <comment authorId="0" ref="H26">
      <text>
        <t xml:space="preserve">Beginning additional paid-in capital + equity cash raised + noncash stock compensation.</t>
      </text>
    </comment>
    <comment authorId="0" ref="I26">
      <text>
        <t xml:space="preserve">Beginning additional paid-in capital + equity cash raised + noncash stock compensation.</t>
      </text>
    </comment>
    <comment authorId="0" ref="B18">
      <text>
        <t xml:space="preserve">Accrued expenses equal 5.0% of cash operating expenses (R&amp;D, sales, G&amp;A).</t>
      </text>
    </comment>
    <comment authorId="0" ref="J26">
      <text>
        <t xml:space="preserve">Beginning additional paid-in capital + equity cash raised + noncash stock compensation.</t>
      </text>
    </comment>
    <comment authorId="0" ref="C18">
      <text>
        <t xml:space="preserve">Accrued expenses equal 6.0% of cash operating expenses (R&amp;D, sales, G&amp;A).</t>
      </text>
    </comment>
    <comment authorId="0" ref="K26">
      <text>
        <t xml:space="preserve">Beginning additional paid-in capital + equity cash raised + noncash stock compensation.</t>
      </text>
    </comment>
    <comment authorId="0" ref="D18">
      <text>
        <t xml:space="preserve">Accrued expenses equal 7.0% of cash operating expenses (R&amp;D, sales, G&amp;A).</t>
      </text>
    </comment>
    <comment authorId="0" ref="L26">
      <text>
        <t xml:space="preserve">Beginning additional paid-in capital + equity cash raised + noncash stock compensation.</t>
      </text>
    </comment>
    <comment authorId="0" ref="E18">
      <text>
        <t xml:space="preserve">Accrued expenses equal 8.0% of cash operating expenses (R&amp;D, sales, G&amp;A).</t>
      </text>
    </comment>
    <comment authorId="0" ref="M26">
      <text>
        <t xml:space="preserve">Beginning additional paid-in capital + equity cash raised + noncash stock compensation.</t>
      </text>
    </comment>
    <comment authorId="0" ref="F18">
      <text>
        <t xml:space="preserve">Accrued expenses equal 10.0% of cash operating expenses (R&amp;D, sales, G&amp;A).</t>
      </text>
    </comment>
    <comment authorId="0" ref="N26">
      <text>
        <t xml:space="preserve">Beginning additional paid-in capital + equity cash raised + noncash stock compensation.</t>
      </text>
    </comment>
    <comment authorId="0" ref="G18">
      <text>
        <t xml:space="preserve">Accrued expenses equal 10.0% of cash operating expenses (R&amp;D, sales, G&amp;A).</t>
      </text>
    </comment>
    <comment authorId="0" ref="O26">
      <text>
        <t xml:space="preserve">Beginning additional paid-in capital + equity cash raised + noncash stock compensation.</t>
      </text>
    </comment>
    <comment authorId="0" ref="H18">
      <text>
        <t xml:space="preserve">Accrued expenses equal 10.5% of cash operating expenses (R&amp;D, sales, G&amp;A).</t>
      </text>
    </comment>
    <comment authorId="0" ref="P26">
      <text>
        <t xml:space="preserve">Beginning additional paid-in capital + equity cash raised + noncash stock compensation.</t>
      </text>
    </comment>
    <comment authorId="0" ref="I18">
      <text>
        <t xml:space="preserve">Accrued expenses equal 11.0% of cash operating expenses (R&amp;D, sales, G&amp;A).</t>
      </text>
    </comment>
    <comment authorId="0" ref="B10">
      <text>
        <t xml:space="preserve">Inventory equals 0.0% of commercial product cost of sales. Synthetic driver.</t>
      </text>
    </comment>
    <comment authorId="0" ref="J18">
      <text>
        <t xml:space="preserve">Accrued expenses equal 12.0% of cash operating expenses (R&amp;D, sales, G&amp;A).</t>
      </text>
    </comment>
    <comment authorId="0" ref="C10">
      <text>
        <t xml:space="preserve">Inventory equals 0.0% of commercial product cost of sales. Synthetic driver.</t>
      </text>
    </comment>
    <comment authorId="0" ref="K18">
      <text>
        <t xml:space="preserve">Accrued expenses equal 12.0% of cash operating expenses (R&amp;D, sales, G&amp;A).</t>
      </text>
    </comment>
    <comment authorId="0" ref="D10">
      <text>
        <t xml:space="preserve">Inventory equals 0.0% of commercial product cost of sales. Synthetic driver.</t>
      </text>
    </comment>
    <comment authorId="0" ref="L18">
      <text>
        <t xml:space="preserve">Accrued expenses equal 12.0% of cash operating expenses (R&amp;D, sales, G&amp;A).</t>
      </text>
    </comment>
    <comment authorId="0" ref="E10">
      <text>
        <t xml:space="preserve">Inventory equals 0.0% of commercial product cost of sales. Synthetic driver.</t>
      </text>
    </comment>
    <comment authorId="0" ref="M18">
      <text>
        <t xml:space="preserve">Accrued expenses equal 12.0% of cash operating expenses (R&amp;D, sales, G&amp;A).</t>
      </text>
    </comment>
    <comment authorId="0" ref="F10">
      <text>
        <t xml:space="preserve">Inventory equals 0.0% of commercial product cost of sales. Synthetic driver.</t>
      </text>
    </comment>
    <comment authorId="0" ref="N18">
      <text>
        <t xml:space="preserve">Accrued expenses equal 12.0% of cash operating expenses (R&amp;D, sales, G&amp;A).</t>
      </text>
    </comment>
    <comment authorId="0" ref="G10">
      <text>
        <t xml:space="preserve">Inventory equals 0.0% of commercial product cost of sales. Synthetic driver.</t>
      </text>
    </comment>
    <comment authorId="0" ref="O18">
      <text>
        <t xml:space="preserve">Accrued expenses equal 12.0% of cash operating expenses (R&amp;D, sales, G&amp;A).</t>
      </text>
    </comment>
    <comment authorId="0" ref="H10">
      <text>
        <t xml:space="preserve">Inventory equals 38.0% of commercial product cost of sales. Synthetic driver.</t>
      </text>
    </comment>
    <comment authorId="0" ref="P18">
      <text>
        <t xml:space="preserve">Accrued expenses equal 12.0% of cash operating expenses (R&amp;D, sales, G&amp;A).</t>
      </text>
    </comment>
    <comment authorId="0" ref="I10">
      <text>
        <t xml:space="preserve">Inventory equals 32.0% of commercial product cost of sales. Synthetic driver.</t>
      </text>
    </comment>
    <comment authorId="0" ref="J10">
      <text>
        <t xml:space="preserve">Inventory equals 34.0% of commercial product cost of sales. Synthetic driver.</t>
      </text>
    </comment>
    <comment authorId="0" ref="K10">
      <text>
        <t xml:space="preserve">Inventory equals 34.0% of commercial product cost of sales. Synthetic driver.</t>
      </text>
    </comment>
    <comment authorId="0" ref="L10">
      <text>
        <t xml:space="preserve">Inventory equals 34.0% of commercial product cost of sales. Synthetic driver.</t>
      </text>
    </comment>
    <comment authorId="0" ref="M10">
      <text>
        <t xml:space="preserve">Inventory equals 34.0% of commercial product cost of sales. Synthetic driver.</t>
      </text>
    </comment>
    <comment authorId="0" ref="N10">
      <text>
        <t xml:space="preserve">Inventory equals 34.0% of commercial product cost of sales. Synthetic driver.</t>
      </text>
    </comment>
    <comment authorId="0" ref="O10">
      <text>
        <t xml:space="preserve">Inventory equals 34.0% of commercial product cost of sales. Synthetic driver.</t>
      </text>
    </comment>
    <comment authorId="0" ref="P10">
      <text>
        <t xml:space="preserve">Inventory equals 34.0% of commercial product cost of sales. Synthetic driver.</t>
      </text>
    </comment>
    <comment authorId="0" ref="B19">
      <text>
        <t xml:space="preserve">Deferred revenue is 0.0% of research and licensing revenue; synthetic driver.</t>
      </text>
    </comment>
    <comment authorId="0" ref="C19">
      <text>
        <t xml:space="preserve">Deferred revenue is 10.0% of research and licensing revenue; synthetic driver.</t>
      </text>
    </comment>
    <comment authorId="0" ref="D19">
      <text>
        <t xml:space="preserve">Deferred revenue is 12.0% of research and licensing revenue; synthetic driver.</t>
      </text>
    </comment>
    <comment authorId="0" ref="E19">
      <text>
        <t xml:space="preserve">Deferred revenue is 16.0% of research and licensing revenue; synthetic driver.</t>
      </text>
    </comment>
    <comment authorId="0" ref="F19">
      <text>
        <t xml:space="preserve">Deferred revenue is 22.0% of research and licensing revenue; synthetic driver.</t>
      </text>
    </comment>
    <comment authorId="0" ref="G19">
      <text>
        <t xml:space="preserve">Deferred revenue is 22.0% of research and licensing revenue; synthetic driver.</t>
      </text>
    </comment>
    <comment authorId="0" ref="H19">
      <text>
        <t xml:space="preserve">Deferred revenue is 22.0% of research and licensing revenue; synthetic driver.</t>
      </text>
    </comment>
    <comment authorId="0" ref="I19">
      <text>
        <t xml:space="preserve">Deferred revenue is 24.0% of research and licensing revenue; synthetic driver.</t>
      </text>
    </comment>
    <comment authorId="0" ref="B11">
      <text>
        <t xml:space="preserve">Prepaids equal 0.0% of total revenue. Synthetic driver.</t>
      </text>
    </comment>
    <comment authorId="0" ref="J19">
      <text>
        <t xml:space="preserve">Deferred revenue is 25.0% of research and licensing revenue; synthetic driver.</t>
      </text>
    </comment>
    <comment authorId="0" ref="C11">
      <text>
        <t xml:space="preserve">Prepaids equal 5.0% of total revenue. Synthetic driver.</t>
      </text>
    </comment>
    <comment authorId="0" ref="K19">
      <text>
        <t xml:space="preserve">Deferred revenue is 25.0% of research and licensing revenue; synthetic driver.</t>
      </text>
    </comment>
    <comment authorId="0" ref="D11">
      <text>
        <t xml:space="preserve">Prepaids equal 5.0% of total revenue. Synthetic driver.</t>
      </text>
    </comment>
    <comment authorId="0" ref="L19">
      <text>
        <t xml:space="preserve">Deferred revenue is 25.0% of research and licensing revenue; synthetic driver.</t>
      </text>
    </comment>
    <comment authorId="0" ref="E11">
      <text>
        <t xml:space="preserve">Prepaids equal 5.0% of total revenue. Synthetic driver.</t>
      </text>
    </comment>
    <comment authorId="0" ref="M19">
      <text>
        <t xml:space="preserve">Deferred revenue is 25.0% of research and licensing revenue; synthetic driver.</t>
      </text>
    </comment>
    <comment authorId="0" ref="F11">
      <text>
        <t xml:space="preserve">Prepaids equal 6.0% of total revenue. Synthetic driver.</t>
      </text>
    </comment>
    <comment authorId="0" ref="N19">
      <text>
        <t xml:space="preserve">Deferred revenue is 25.0% of research and licensing revenue; synthetic driver.</t>
      </text>
    </comment>
    <comment authorId="0" ref="G11">
      <text>
        <t xml:space="preserve">Prepaids equal 6.0% of total revenue. Synthetic driver.</t>
      </text>
    </comment>
    <comment authorId="0" ref="O19">
      <text>
        <t xml:space="preserve">Deferred revenue is 25.0% of research and licensing revenue; synthetic driver.</t>
      </text>
    </comment>
    <comment authorId="0" ref="H11">
      <text>
        <t xml:space="preserve">Prepaids equal 6.0% of total revenue. Synthetic driver.</t>
      </text>
    </comment>
    <comment authorId="0" ref="P19">
      <text>
        <t xml:space="preserve">Deferred revenue is 25.0% of research and licensing revenue; synthetic driver.</t>
      </text>
    </comment>
    <comment authorId="0" ref="I11">
      <text>
        <t xml:space="preserve">Prepaids equal 6.0% of total revenue. Synthetic driver.</t>
      </text>
    </comment>
    <comment authorId="0" ref="J11">
      <text>
        <t xml:space="preserve">Prepaids equal 6.0% of total revenue. Synthetic driver.</t>
      </text>
    </comment>
    <comment authorId="0" ref="K11">
      <text>
        <t xml:space="preserve">Prepaids equal 6.0% of total revenue. Synthetic driver.</t>
      </text>
    </comment>
    <comment authorId="0" ref="L11">
      <text>
        <t xml:space="preserve">Prepaids equal 6.0% of total revenue. Synthetic driver.</t>
      </text>
    </comment>
    <comment authorId="0" ref="M11">
      <text>
        <t xml:space="preserve">Prepaids equal 6.0% of total revenue. Synthetic driver.</t>
      </text>
    </comment>
    <comment authorId="0" ref="N11">
      <text>
        <t xml:space="preserve">Prepaids equal 6.0% of total revenue. Synthetic driver.</t>
      </text>
    </comment>
    <comment authorId="0" ref="O11">
      <text>
        <t xml:space="preserve">Prepaids equal 6.0% of total revenue. Synthetic driver.</t>
      </text>
    </comment>
    <comment authorId="0" ref="P11">
      <text>
        <t xml:space="preserve">Prepaids equal 6.0% of total revenue. Synthetic driver.</t>
      </text>
    </comment>
    <comment authorId="0" ref="B20">
      <text>
        <t xml:space="preserve">Synthetic current portion of outstanding venture debt at year end ($million).</t>
      </text>
    </comment>
    <comment authorId="0" ref="C20">
      <text>
        <t xml:space="preserve">Synthetic current portion of outstanding venture debt at year end ($million).</t>
      </text>
    </comment>
    <comment authorId="0" ref="D20">
      <text>
        <t xml:space="preserve">Synthetic current portion of outstanding venture debt at year end ($million).</t>
      </text>
    </comment>
    <comment authorId="0" ref="E20">
      <text>
        <t xml:space="preserve">Synthetic current portion of outstanding venture debt at year end ($million).</t>
      </text>
    </comment>
    <comment authorId="0" ref="F20">
      <text>
        <t xml:space="preserve">Synthetic current portion of venture debt at December 2022. The model assumes some maturities were later extended through noncash lender amendments, so subsequent-year scheduled principal payments may be lower than this original current classification. See TitanHelix Profile, Assumptions and Limitations.</t>
      </text>
    </comment>
    <comment authorId="0" ref="G20">
      <text>
        <t xml:space="preserve">Synthetic current portion of venture debt at December 2023. The model assumes some maturities were later extended through noncash lender amendments, so subsequent-year scheduled principal payments may be lower than this original current classification. See TitanHelix Profile, Assumptions and Limitations.</t>
      </text>
    </comment>
    <comment authorId="0" ref="H20">
      <text>
        <t xml:space="preserve">Synthetic current portion of venture debt at December 2024. The model assumes some maturities were later extended through noncash lender amendments, so subsequent-year scheduled principal payments may be lower than this original current classification. See TitanHelix Profile, Assumptions and Limitations.</t>
      </text>
    </comment>
    <comment authorId="0" ref="A12">
      <text>
        <t xml:space="preserve">Licensing treatment: THX-101 is a fictional approved GLP-1 therapy licensed from a fictional developer under ongoing royalties only. No upfront purchased license, patent, goodwill, or intangible asset has been modeled. Accordingly the balance sheet retains physical net PP&amp;E only; changes to product identity do not create or revalue a separate licensed-IP asset.</t>
      </text>
    </comment>
    <comment authorId="0" ref="I20">
      <text>
        <t xml:space="preserve">Synthetic current portion of venture debt at December 2025. The model assumes some maturities were later extended through noncash lender amendments, so subsequent-year scheduled principal payments may be lower than this original current classification. See TitanHelix Profile, Assumptions and Limitations.</t>
      </text>
    </comment>
    <comment authorId="0" ref="B12">
      <text>
        <t xml:space="preserve">Prior net PPE + annual capital investment (negative in CF) - depreciation; no arbitrary initial balance.</t>
      </text>
    </comment>
    <comment authorId="0" ref="J20">
      <text>
        <t xml:space="preserve">Synthetic current portion of outstanding venture debt at year end ($million).</t>
      </text>
    </comment>
    <comment authorId="0" ref="C12">
      <text>
        <t xml:space="preserve">Prior net PPE + annual capital investment (negative in CF) - depreciation; no arbitrary initial balance.</t>
      </text>
    </comment>
    <comment authorId="0" ref="K20">
      <text>
        <t xml:space="preserve">Synthetic current portion of outstanding venture debt at year end ($million).</t>
      </text>
    </comment>
    <comment authorId="0" ref="D12">
      <text>
        <t xml:space="preserve">Prior net PPE + annual capital investment (negative in CF) - depreciation; no arbitrary initial balance.</t>
      </text>
    </comment>
    <comment authorId="0" ref="L20">
      <text>
        <t xml:space="preserve">Synthetic current portion of outstanding venture debt at year end ($million).</t>
      </text>
    </comment>
    <comment authorId="0" ref="E12">
      <text>
        <t xml:space="preserve">Prior net PPE + annual capital investment (negative in CF) - depreciation; no arbitrary initial balance.</t>
      </text>
    </comment>
    <comment authorId="0" ref="M20">
      <text>
        <t xml:space="preserve">Synthetic current portion of outstanding venture debt at year end ($million).</t>
      </text>
    </comment>
    <comment authorId="0" ref="F12">
      <text>
        <t xml:space="preserve">Prior net PPE + annual capital investment (negative in CF) - depreciation; no arbitrary initial balance.</t>
      </text>
    </comment>
    <comment authorId="0" ref="N20">
      <text>
        <t xml:space="preserve">Synthetic current portion of outstanding venture debt at year end ($million).</t>
      </text>
    </comment>
    <comment authorId="0" ref="G12">
      <text>
        <t xml:space="preserve">Prior net PPE + annual capital investment (negative in CF) - depreciation; no arbitrary initial balance.</t>
      </text>
    </comment>
    <comment authorId="0" ref="O20">
      <text>
        <t xml:space="preserve">Synthetic current portion of outstanding venture debt at year end ($million).</t>
      </text>
    </comment>
    <comment authorId="0" ref="H12">
      <text>
        <t xml:space="preserve">Prior net PPE + annual capital investment (negative in CF) - depreciation; no arbitrary initial balance.</t>
      </text>
    </comment>
    <comment authorId="0" ref="P20">
      <text>
        <t xml:space="preserve">Synthetic current portion of outstanding venture debt at year end ($million).</t>
      </text>
    </comment>
    <comment authorId="0" ref="I12">
      <text>
        <t xml:space="preserve">Prior net PPE + annual capital investment (negative in CF) - depreciation; no arbitrary initial balance.</t>
      </text>
    </comment>
    <comment authorId="0" ref="J12">
      <text>
        <t xml:space="preserve">Prior net PPE + annual capital investment (negative in CF) - depreciation; no arbitrary initial balance.</t>
      </text>
    </comment>
    <comment authorId="0" ref="K12">
      <text>
        <t xml:space="preserve">Prior net PPE + annual capital investment (negative in CF) - depreciation; no arbitrary initial balance.</t>
      </text>
    </comment>
    <comment authorId="0" ref="L12">
      <text>
        <t xml:space="preserve">Prior net PPE + annual capital investment (negative in CF) - depreciation; no arbitrary initial balance.</t>
      </text>
    </comment>
    <comment authorId="0" ref="M12">
      <text>
        <t xml:space="preserve">Prior net PPE + annual capital investment (negative in CF) - depreciation; no arbitrary initial balance.</t>
      </text>
    </comment>
    <comment authorId="0" ref="N12">
      <text>
        <t xml:space="preserve">Prior net PPE + annual capital investment (negative in CF) - depreciation; no arbitrary initial balance.</t>
      </text>
    </comment>
    <comment authorId="0" ref="O12">
      <text>
        <t xml:space="preserve">Prior net PPE + annual capital investment (negative in CF) - depreciation; no arbitrary initial balance.</t>
      </text>
    </comment>
    <comment authorId="0" ref="P12">
      <text>
        <t xml:space="preserve">Prior net PPE + annual capital investment (negative in CF) - depreciation; no arbitrary initial balance.</t>
      </text>
    </comment>
    <comment authorId="0" ref="B22">
      <text>
        <t xml:space="preserve">Total debt less current portion, both on the balance sheet.</t>
      </text>
    </comment>
    <comment authorId="0" ref="C22">
      <text>
        <t xml:space="preserve">Total debt less current portion, both on the balance sheet.</t>
      </text>
    </comment>
    <comment authorId="0" ref="D22">
      <text>
        <t xml:space="preserve">Total debt less current portion, both on the balance sheet.</t>
      </text>
    </comment>
    <comment authorId="0" ref="E22">
      <text>
        <t xml:space="preserve">Total debt less current portion, both on the balance sheet.</t>
      </text>
    </comment>
    <comment authorId="0" ref="F22">
      <text>
        <t xml:space="preserve">Total debt less current portion, both on the balance sheet.</t>
      </text>
    </comment>
    <comment authorId="0" ref="G22">
      <text>
        <t xml:space="preserve">Total debt less current portion, both on the balance sheet.</t>
      </text>
    </comment>
    <comment authorId="0" ref="H22">
      <text>
        <t xml:space="preserve">Total debt less current portion, both on the balance sheet.</t>
      </text>
    </comment>
    <comment authorId="0" ref="I22">
      <text>
        <t xml:space="preserve">Total debt less current portion, both on the balance sheet.</t>
      </text>
    </comment>
    <comment authorId="0" ref="J22">
      <text>
        <t xml:space="preserve">Total debt less current portion, both on the balance sheet.</t>
      </text>
    </comment>
    <comment authorId="0" ref="K22">
      <text>
        <t xml:space="preserve">Total debt less current portion, both on the balance sheet.</t>
      </text>
    </comment>
    <comment authorId="0" ref="L22">
      <text>
        <t xml:space="preserve">Total debt less current portion, both on the balance sheet.</t>
      </text>
    </comment>
    <comment authorId="0" ref="M22">
      <text>
        <t xml:space="preserve">Total debt less current portion, both on the balance sheet.</t>
      </text>
    </comment>
    <comment authorId="0" ref="N22">
      <text>
        <t xml:space="preserve">Total debt less current portion, both on the balance sheet.</t>
      </text>
    </comment>
    <comment authorId="0" ref="O22">
      <text>
        <t xml:space="preserve">Total debt less current portion, both on the balance sheet.</t>
      </text>
    </comment>
    <comment authorId="0" ref="P22">
      <text>
        <t xml:space="preserve">Total debt less current portion, both on the balance sheet.</t>
      </text>
    </comment>
    <comment authorId="0" ref="B32">
      <text>
        <t xml:space="preserve">Prior total debt + new borrowings - principal repayments; cash flow repayment has negative sign.</t>
      </text>
    </comment>
    <comment authorId="0" ref="C32">
      <text>
        <t xml:space="preserve">Prior total debt + new borrowings - principal repayments; cash flow repayment has negative sign.</t>
      </text>
    </comment>
    <comment authorId="0" ref="D32">
      <text>
        <t xml:space="preserve">Prior total debt + new borrowings - principal repayments; cash flow repayment has negative sign.</t>
      </text>
    </comment>
    <comment authorId="0" ref="E32">
      <text>
        <t xml:space="preserve">Prior total debt + new borrowings - principal repayments; cash flow repayment has negative sign.</t>
      </text>
    </comment>
    <comment authorId="0" ref="F32">
      <text>
        <t xml:space="preserve">Prior total debt + new borrowings - principal repayments; cash flow repayment has negative sign.</t>
      </text>
    </comment>
    <comment authorId="0" ref="G32">
      <text>
        <t xml:space="preserve">Prior total debt + new borrowings - principal repayments; cash flow repayment has negative sign.</t>
      </text>
    </comment>
    <comment authorId="0" ref="H32">
      <text>
        <t xml:space="preserve">Prior total debt + new borrowings - principal repayments; cash flow repayment has negative sign.</t>
      </text>
    </comment>
    <comment authorId="0" ref="I32">
      <text>
        <t xml:space="preserve">Prior total debt + new borrowings - principal repayments; cash flow repayment has negative sign.</t>
      </text>
    </comment>
    <comment authorId="0" ref="J32">
      <text>
        <t xml:space="preserve">Prior total debt + new borrowings - principal repayments; cash flow repayment has negative sign.</t>
      </text>
    </comment>
    <comment authorId="0" ref="K32">
      <text>
        <t xml:space="preserve">Prior total debt + new borrowings - principal repayments; cash flow repayment has negative sign.</t>
      </text>
    </comment>
    <comment authorId="0" ref="L32">
      <text>
        <t xml:space="preserve">Prior total debt + new borrowings - principal repayments; cash flow repayment has negative sign.</t>
      </text>
    </comment>
    <comment authorId="0" ref="M32">
      <text>
        <t xml:space="preserve">Prior total debt + new borrowings - principal repayments; cash flow repayment has negative sign.</t>
      </text>
    </comment>
    <comment authorId="0" ref="N32">
      <text>
        <t xml:space="preserve">Prior total debt + new borrowings - principal repayments; cash flow repayment has negative sign.</t>
      </text>
    </comment>
    <comment authorId="0" ref="O32">
      <text>
        <t xml:space="preserve">Prior total debt + new borrowings - principal repayments; cash flow repayment has negative sign.</t>
      </text>
    </comment>
    <comment authorId="0" ref="P32">
      <text>
        <t xml:space="preserve">Prior total debt + new borrowings - principal repayments; cash flow repayment has negative sign.</t>
      </text>
    </comment>
    <comment authorId="0" ref="B8">
      <text>
        <t xml:space="preserve">Year-end cash now comes directly from the calculated December closing cash balance in Monthly Data AG, preserving a single monthly source for all core statements.</t>
      </text>
    </comment>
    <comment authorId="0" ref="C8">
      <text>
        <t xml:space="preserve">Year-end cash now comes directly from the calculated December closing cash balance in Monthly Data AG, preserving a single monthly source for all core statements.</t>
      </text>
    </comment>
    <comment authorId="0" ref="D8">
      <text>
        <t xml:space="preserve">Year-end cash now comes directly from the calculated December closing cash balance in Monthly Data AG, preserving a single monthly source for all core statements.</t>
      </text>
    </comment>
    <comment authorId="0" ref="E8">
      <text>
        <t xml:space="preserve">Year-end cash now comes directly from the calculated December closing cash balance in Monthly Data AG, preserving a single monthly source for all core statements.</t>
      </text>
    </comment>
    <comment authorId="0" ref="F8">
      <text>
        <t xml:space="preserve">Year-end cash now comes directly from the calculated December closing cash balance in Monthly Data AG, preserving a single monthly source for all core statements.</t>
      </text>
    </comment>
    <comment authorId="0" ref="G8">
      <text>
        <t xml:space="preserve">Year-end cash now comes directly from the calculated December closing cash balance in Monthly Data AG, preserving a single monthly source for all core statements.</t>
      </text>
    </comment>
    <comment authorId="0" ref="H8">
      <text>
        <t xml:space="preserve">Year-end cash now comes directly from the calculated December closing cash balance in Monthly Data AG, preserving a single monthly source for all core statements.</t>
      </text>
    </comment>
    <comment authorId="0" ref="I8">
      <text>
        <t xml:space="preserve">Year-end cash now comes directly from the calculated December closing cash balance in Monthly Data AG, preserving a single monthly source for all core statements.</t>
      </text>
    </comment>
    <comment authorId="0" ref="J8">
      <text>
        <t xml:space="preserve">Year-end cash now comes directly from the calculated December closing cash balance in Monthly Data AG, preserving a single monthly source for all core statements.</t>
      </text>
    </comment>
    <comment authorId="0" ref="K8">
      <text>
        <t xml:space="preserve">Year-end cash now comes directly from the calculated December closing cash balance in Monthly Data AG, preserving a single monthly source for all core statements.</t>
      </text>
    </comment>
    <comment authorId="0" ref="L8">
      <text>
        <t xml:space="preserve">Year-end cash now comes directly from the calculated December closing cash balance in Monthly Data AG, preserving a single monthly source for all core statements.</t>
      </text>
    </comment>
    <comment authorId="0" ref="M8">
      <text>
        <t xml:space="preserve">Year-end cash now comes directly from the calculated December closing cash balance in Monthly Data AG, preserving a single monthly source for all core statements.</t>
      </text>
    </comment>
    <comment authorId="0" ref="N8">
      <text>
        <t xml:space="preserve">Year-end cash now comes directly from the calculated December closing cash balance in Monthly Data AG, preserving a single monthly source for all core statements.</t>
      </text>
    </comment>
    <comment authorId="0" ref="O8">
      <text>
        <t xml:space="preserve">Year-end cash now comes directly from the calculated December closing cash balance in Monthly Data AG, preserving a single monthly source for all core statements.</t>
      </text>
    </comment>
    <comment authorId="0" ref="P8">
      <text>
        <t xml:space="preserve">Year-end cash now comes directly from the calculated December closing cash balance in Monthly Data AG, preserving a single monthly source for all core statements.</t>
      </text>
    </comment>
    <comment authorId="0" ref="B17">
      <text>
        <t xml:space="preserve">Accounts payable based on 30 supplier days and 10.0% of R&amp;D in the supplier base. Synthetic driver.</t>
      </text>
    </comment>
    <comment authorId="0" ref="C17">
      <text>
        <t xml:space="preserve">Accounts payable based on 35 supplier days and 15.0% of R&amp;D in the supplier base. Synthetic driver.</t>
      </text>
    </comment>
    <comment authorId="0" ref="D17">
      <text>
        <t xml:space="preserve">Accounts payable based on 40 supplier days and 20.0% of R&amp;D in the supplier base. Synthetic driver.</t>
      </text>
    </comment>
    <comment authorId="0" ref="E17">
      <text>
        <t xml:space="preserve">Accounts payable based on 40 supplier days and 22.0% of R&amp;D in the supplier base. Synthetic driver.</t>
      </text>
    </comment>
    <comment authorId="0" ref="F17">
      <text>
        <t xml:space="preserve">Accounts payable based on 45 supplier days and 25.0% of R&amp;D in the supplier base. Synthetic driver.</t>
      </text>
    </comment>
    <comment authorId="0" ref="G17">
      <text>
        <t xml:space="preserve">Accounts payable based on 45 supplier days and 25.0% of R&amp;D in the supplier base. Synthetic driver.</t>
      </text>
    </comment>
    <comment authorId="0" ref="H17">
      <text>
        <t xml:space="preserve">Accounts payable based on 47 supplier days and 25.0% of R&amp;D in the supplier base. Synthetic driver.</t>
      </text>
    </comment>
    <comment authorId="0" ref="I17">
      <text>
        <t xml:space="preserve">Accounts payable based on 48 supplier days and 25.0% of R&amp;D in the supplier base. Synthetic driver.</t>
      </text>
    </comment>
    <comment authorId="0" ref="B9">
      <text>
        <t xml:space="preserve">Accounts receivable based on 0 days sales outstanding (DSO). Synthetic driver.</t>
      </text>
    </comment>
    <comment authorId="0" ref="J17">
      <text>
        <t xml:space="preserve">Accounts payable based on 50 supplier days and 25.0% of R&amp;D in the supplier base. Synthetic driver.</t>
      </text>
    </comment>
    <comment authorId="0" ref="C9">
      <text>
        <t xml:space="preserve">Accounts receivable based on 40 days sales outstanding (DSO). Synthetic driver.</t>
      </text>
    </comment>
    <comment authorId="0" ref="K17">
      <text>
        <t xml:space="preserve">Accounts payable based on 50 supplier days and 25.0% of R&amp;D in the supplier base. Synthetic driver.</t>
      </text>
    </comment>
    <comment authorId="0" ref="D9">
      <text>
        <t xml:space="preserve">Accounts receivable based on 40 days sales outstanding (DSO). Synthetic driver.</t>
      </text>
    </comment>
    <comment authorId="0" ref="L17">
      <text>
        <t xml:space="preserve">Accounts payable based on 50 supplier days and 25.0% of R&amp;D in the supplier base. Synthetic driver.</t>
      </text>
    </comment>
    <comment authorId="0" ref="E9">
      <text>
        <t xml:space="preserve">Accounts receivable based on 42 days sales outstanding (DSO). Synthetic driver.</t>
      </text>
    </comment>
    <comment authorId="0" ref="M17">
      <text>
        <t xml:space="preserve">Accounts payable based on 50 supplier days and 25.0% of R&amp;D in the supplier base. Synthetic driver.</t>
      </text>
    </comment>
    <comment authorId="0" ref="F9">
      <text>
        <t xml:space="preserve">Accounts receivable based on 45 days sales outstanding (DSO). Synthetic driver.</t>
      </text>
    </comment>
    <comment authorId="0" ref="N17">
      <text>
        <t xml:space="preserve">Accounts payable based on 50 supplier days and 25.0% of R&amp;D in the supplier base. Synthetic driver.</t>
      </text>
    </comment>
    <comment authorId="0" ref="G9">
      <text>
        <t xml:space="preserve">Accounts receivable based on 48 days sales outstanding (DSO). Synthetic driver.</t>
      </text>
    </comment>
    <comment authorId="0" ref="O17">
      <text>
        <t xml:space="preserve">Accounts payable based on 50 supplier days and 25.0% of R&amp;D in the supplier base. Synthetic driver.</t>
      </text>
    </comment>
    <comment authorId="0" ref="H9">
      <text>
        <t xml:space="preserve">Accounts receivable based on 52 days sales outstanding (DSO). Synthetic driver.</t>
      </text>
    </comment>
    <comment authorId="0" ref="P17">
      <text>
        <t xml:space="preserve">Accounts payable based on 50 supplier days and 25.0% of R&amp;D in the supplier base. Synthetic driver.</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Calendar-month beginning as an actual date value. One row per month; 2018–2025 is SYNTHETIC history, and 2026 is forecast.</t>
      </text>
    </comment>
    <comment authorId="0" ref="B1">
      <text>
        <t xml:space="preserve">Computed automatically with YEAR(Month), not a separate fiscal year input.</t>
      </text>
    </comment>
    <comment authorId="0" ref="S145">
      <text>
        <t xml:space="preserve">Simplified annual tax provision: 25% of positive full-year pretax income, recorded in December for the Week 1 model. No NOL carryforward, tax credits, or quarterly estimated payments are modeled. This replaces overstated taxes from charging each individually profitable month regardless of the annual result.</t>
      </text>
    </comment>
    <comment authorId="0" ref="L170">
      <text>
        <t xml:space="preserve">Prelaunch R&amp;D follows the original historical-growth projection. After assumed regulatory approval and launch, THX-202 spending transitions to an editable fraction of 2026 program R&amp;D plus any scenario-specific incremental clinical funding. Continues limited postapproval R&amp;D, does not drop to zero.</t>
      </text>
    </comment>
    <comment authorId="0" ref="E1">
      <text>
        <t xml:space="preserve">Monthly revenue from fictional, already-approved GLP-1 weight-management product under TitanHelix's synthetic partner commercialization license. Not Novo Nordisk semaglutide or an authorized generic of any real brand.</t>
      </text>
    </comment>
    <comment authorId="0" ref="C158">
      <text>
        <t xml:space="preserve">Prescription-volume projection for 2029: December 2028 fills × (1 + annual fill growth)^(month/12). Each month is a point on the curve; no reference to forecast revenue.</t>
      </text>
    </comment>
    <comment authorId="0" ref="H1">
      <text>
        <t xml:space="preserve">Production COGS for fictional licensed GLP-1 THX-101, excluding the royalty in column J. Historical months have frozen synthetic amounts; 2026–2029 expenses are bottom-up modeled using Manufacturing &amp; Production and Workforce &amp; Expenses.</t>
      </text>
    </comment>
    <comment authorId="0" ref="E158">
      <text>
        <t xml:space="preserve">Forecast THX-101 revenue: projected monthly prescription fills × whole-dollar prior-December net revenue per fill × compounded price change for the month. Driver cells on Income Statement are directly visible and editable.</t>
      </text>
    </comment>
    <comment authorId="0" ref="I1">
      <text>
        <t xml:space="preserve">Hypothetical royalty owed to the fictional third-party developer/rights-holder for licensed THX-101. Forecast rate 8% of THX-101 product revenue, calculated by Manufacturing &amp; Production; recognized in total product COGS. No real manufacturer's patent or license is implied.</t>
      </text>
    </comment>
    <comment authorId="0" ref="L1">
      <text>
        <t xml:space="preserve">Annual spending on THX-202: initial development in early years, and clinical studies in later years. Monthly amounts are synthetic, and no sales are recognized before approval.</t>
      </text>
    </comment>
    <comment authorId="0" ref="M1">
      <text>
        <t xml:space="preserve">Synthetic monthly R&amp;D spending allocated to the THX-303 bone-growth discovery program.</t>
      </text>
    </comment>
    <comment authorId="0" ref="S133">
      <text>
        <t xml:space="preserve">Simplified annual tax provision: 25% of positive full-year pretax income, recorded in December for the Week 1 model. No NOL carryforward, tax credits, or quarterly estimated payments are modeled. This replaces overstated taxes from charging each individually profitable month regardless of the annual result.</t>
      </text>
    </comment>
    <comment authorId="0" ref="L158">
      <text>
        <t xml:space="preserve">Prelaunch R&amp;D follows the original historical-growth projection. After assumed regulatory approval and launch, THX-202 spending transitions to an editable fraction of 2026 program R&amp;D plus any scenario-specific incremental clinical funding. Continues limited postapproval R&amp;D, does not drop to zero.</t>
      </text>
    </comment>
    <comment authorId="0" ref="C146">
      <text>
        <t xml:space="preserve">Prescription-volume projection for 2029: December 2028 fills × (1 + annual fill growth)^(month/12). Each month is a point on the curve; no reference to forecast revenue.</t>
      </text>
    </comment>
    <comment authorId="0" ref="T1">
      <text>
        <t xml:space="preserve">Capital expenditure CASH OUTFLOW amount as a POSITIVE number; cash flow statement reverses sign.</t>
      </text>
    </comment>
    <comment authorId="0" ref="E146">
      <text>
        <t xml:space="preserve">Forecast THX-101 revenue: projected monthly prescription fills × whole-dollar prior-December net revenue per fill × compounded price change for the month. Driver cells on Income Statement are directly visible and editable.</t>
      </text>
    </comment>
    <comment authorId="0" ref="U1">
      <text>
        <t xml:space="preserve">Equity financing inflow in the month funded; drives cash flow and Funding &amp; Cap table.</t>
      </text>
    </comment>
    <comment authorId="0" ref="V1">
      <text>
        <t xml:space="preserve">Debt issuance cash inflow in the month funded; drives cash flow and cumulative debt.</t>
      </text>
    </comment>
    <comment authorId="0" ref="W1">
      <text>
        <t xml:space="preserve">Debt principal paid during the month as POSITIVE amount; cash flow statement reverses sign.</t>
      </text>
    </comment>
    <comment authorId="0" ref="X1">
      <text>
        <t xml:space="preserve">Month-END accounts receivable snapshot, not a monthly sum; December value feeds annual Balance Sheet.</t>
      </text>
    </comment>
    <comment authorId="0" ref="Y1">
      <text>
        <t xml:space="preserve">Month-END inventory snapshot, not a monthly sum; December value feeds annual Balance Sheet.</t>
      </text>
    </comment>
    <comment authorId="0" ref="Z1">
      <text>
        <t xml:space="preserve">Month-END prepaid expense snapshot, not a monthly sum; December value feeds annual Balance Sheet.</t>
      </text>
    </comment>
    <comment authorId="0" ref="AA1">
      <text>
        <t xml:space="preserve">Month-END accounts payable snapshot, not a monthly sum; December value feeds annual Balance Sheet.</t>
      </text>
    </comment>
    <comment authorId="0" ref="S121">
      <text>
        <t xml:space="preserve">Simplified annual tax provision: 25% of positive full-year pretax income, recorded in December for the Week 1 model. No NOL carryforward, tax credits, or quarterly estimated payments are modeled. This replaces overstated taxes from charging each individually profitable month regardless of the annual result.</t>
      </text>
    </comment>
    <comment authorId="0" ref="L146">
      <text>
        <t xml:space="preserve">Prelaunch R&amp;D follows the original historical-growth projection. After assumed regulatory approval and launch, THX-202 spending transitions to an editable fraction of 2026 program R&amp;D plus any scenario-specific incremental clinical funding. Continues limited postapproval R&amp;D, does not drop to zero.</t>
      </text>
    </comment>
    <comment authorId="0" ref="AB1">
      <text>
        <t xml:space="preserve">Month-END accrued expense snapshot, not a monthly sum; December value feeds annual Balance Sheet.</t>
      </text>
    </comment>
    <comment authorId="0" ref="AC1">
      <text>
        <t xml:space="preserve">Month-END deferred contract revenue snapshot, not a monthly sum; December value feeds annual Balance Sheet.</t>
      </text>
    </comment>
    <comment authorId="0" ref="AD1">
      <text>
        <t xml:space="preserve">Month-END current debt liability, distinct from total debt; December value feeds annual Balance Sheet.</t>
      </text>
    </comment>
    <comment authorId="0" ref="C134">
      <text>
        <t xml:space="preserve">Prescription-volume projection for 2029: December 2028 fills × (1 + annual fill growth)^(month/12). Each month is a point on the curve; no reference to forecast revenue.</t>
      </text>
    </comment>
    <comment authorId="0" ref="AE1">
      <text>
        <t xml:space="preserve">Calculated cumulative debt in individual US dollars: monthly debt proceeds less repayments. Not a manual input.</t>
      </text>
    </comment>
    <comment authorId="0" ref="AF1">
      <text>
        <t xml:space="preserve">Calculated from monthly cash movements. Closing cash includes equity funding.</t>
      </text>
    </comment>
    <comment authorId="0" ref="E134">
      <text>
        <t xml:space="preserve">Forecast THX-101 revenue: projected monthly prescription fills × whole-dollar prior-December net revenue per fill × compounded price change for the month. Driver cells on Income Statement are directly visible and editable.</t>
      </text>
    </comment>
    <comment authorId="0" ref="AG1">
      <text>
        <t xml:space="preserve">Operating plus investing cash flow and debt financing, excluding equity issuance. Used to derive the 2026 financing need.</t>
      </text>
    </comment>
    <comment authorId="0" ref="AH1">
      <text>
        <t xml:space="preserve">Calculated count of monthly treated patients under the hypothetical regulatory approval/launch scenario. Zero if launch disabled or not yet approved.</t>
      </text>
    </comment>
    <comment authorId="0" ref="AI1">
      <text>
        <t xml:space="preserve">Patient-months × net revenue per treated patient-month, after the hypothetical launch only. Zero before approval.</t>
      </text>
    </comment>
    <comment authorId="0" ref="AJ1">
      <text>
        <t xml:space="preserve">Direct THX-202 manufacturing and distribution costs after launch, based on an editable cost/sales ratio. Not an IP royalty.</t>
      </text>
    </comment>
    <comment authorId="0" ref="S109">
      <text>
        <t xml:space="preserve">Simplified annual tax provision: 25% of positive full-year pretax income, recorded in December for the Week 1 model. No NOL carryforward, tax credits, or quarterly estimated payments are modeled. This replaces overstated taxes from charging each individually profitable month regardless of the annual result.</t>
      </text>
    </comment>
    <comment authorId="0" ref="L134">
      <text>
        <t xml:space="preserve">Prelaunch R&amp;D follows the original historical-growth projection. After assumed regulatory approval and launch, THX-202 spending transitions to an editable fraction of 2026 program R&amp;D plus any scenario-specific incremental clinical funding. Continues limited postapproval R&amp;D, does not drop to zero.</t>
      </text>
    </comment>
    <comment authorId="0" ref="C122">
      <text>
        <t xml:space="preserve">Prescription-volume projection for 2028: December 2027 fills × (1 + annual fill growth)^(month/12). Each month is a point on the curve; no reference to forecast revenue.</t>
      </text>
    </comment>
    <comment authorId="0" ref="E122">
      <text>
        <t xml:space="preserve">Forecast THX-101 revenue: projected monthly prescription fills × whole-dollar prior-December net revenue per fill × compounded price change for the month. Driver cells on Income Statement are directly visible and editable.</t>
      </text>
    </comment>
    <comment authorId="0" ref="L122">
      <text>
        <t xml:space="preserve">Prelaunch R&amp;D follows the original historical-growth projection. After assumed regulatory approval and launch, THX-202 spending transitions to an editable fraction of 2026 program R&amp;D plus any scenario-specific incremental clinical funding. Continues limited postapproval R&amp;D, does not drop to zero.</t>
      </text>
    </comment>
    <comment authorId="0" ref="U2">
      <text>
        <t xml:space="preserve">Historical dataset correction, October 24 2026: moved fictional $6M seed receipt from February 2018 to January 2018 to avoid an unexplained January cash overdraft. Annual 2018 equity proceeds unchanged.</t>
      </text>
    </comment>
    <comment authorId="0" ref="C110">
      <text>
        <t xml:space="preserve">Prescription-volume projection for 2027: December 2026 fills × (1 + annual fill growth)^(month/12). Each month is a point on the curve; no reference to forecast revenue.</t>
      </text>
    </comment>
    <comment authorId="0" ref="E110">
      <text>
        <t xml:space="preserve">Forecast THX-101 revenue: projected monthly prescription fills × whole-dollar prior-December net revenue per fill × compounded price change for the month. Driver cells on Income Statement are directly visible and editable.</t>
      </text>
    </comment>
    <comment authorId="0" ref="L110">
      <text>
        <t xml:space="preserve">Prelaunch R&amp;D follows the original historical-growth projection. After assumed regulatory approval and launch, THX-202 spending transitions to an editable fraction of 2026 program R&amp;D plus any scenario-specific incremental clinical funding. Continues limited postapproval R&amp;D, does not drop to zero.</t>
      </text>
    </comment>
    <comment authorId="0" ref="C98">
      <text>
        <t xml:space="preserve">Prescription-volume projection for 2026: December 2025 fills × (1 + annual fill growth)^(month/12). Each month is a point on the curve; no reference to forecast revenue.</t>
      </text>
    </comment>
    <comment authorId="0" ref="D98">
      <text>
        <t xml:space="preserve">2026 research customer estimate = same month last year plus 22 net customers, matching the 2024→2025 year-end increase (58−36). This is an extrapolation assumption.</t>
      </text>
    </comment>
    <comment authorId="0" ref="E98">
      <text>
        <t xml:space="preserve">Forecast THX-101 revenue: projected monthly prescription fills × whole-dollar prior-December net revenue per fill × compounded price change for the month. Driver cells on Income Statement are directly visible and editable.</t>
      </text>
    </comment>
    <comment authorId="0" ref="F98">
      <text>
        <t xml:space="preserve">Research revenue forecast = same-month 2025 revenue per client × estimated 2026 client count. Client count and cost drivers are transparent on the same row.</t>
      </text>
    </comment>
    <comment authorId="0" ref="G98">
      <text>
        <t xml:space="preserve">Existing licensing milestones held at same-month 2025 values. No incremental licensing agreements assumed without a signed-contract scenario.</t>
      </text>
    </comment>
    <comment authorId="0" ref="H98">
      <text>
        <t xml:space="preserve">THX-101 manufacturing/distribution uses the 2025 manufacturing-to-commercial-sales cost ratio.</t>
      </text>
    </comment>
    <comment authorId="0" ref="I98">
      <text>
        <t xml:space="preserve">THX-101 royalty = 2026 sales × 2025 historical royalty-to-sales ratio, approximately 8%. Included once within commercial costs.</t>
      </text>
    </comment>
    <comment authorId="0" ref="L98">
      <text>
        <t xml:space="preserve">THX-202 clinical R&amp;D grows by the 2024→2025 increase in its own prior annual spending. Formula uses same-month 2025 spending times growth factor.</t>
      </text>
    </comment>
    <comment authorId="0" ref="M98">
      <text>
        <t xml:space="preserve">THX-303 bone R&amp;D grows by the 2024→2025 increase in its own annual spending; investigational program generates no drug sales.</t>
      </text>
    </comment>
    <comment authorId="0" ref="N98">
      <text>
        <t xml:space="preserve">2026 marketing expense = monthly forecast total revenue × FY2025 marketing-to-revenue ratio.</t>
      </text>
    </comment>
    <comment authorId="0" ref="O98">
      <text>
        <t xml:space="preserve">2026 G&amp;A expense = monthly forecast total revenue × FY2025 G&amp;A-to-revenue ratio.</t>
      </text>
    </comment>
    <comment authorId="0" ref="R98">
      <text>
        <t xml:space="preserve">Interest expense derives from 2025 paid interest divided by 2025 average opening and closing debt, applied to current monthly debt and divided by twelve.</t>
      </text>
    </comment>
    <comment authorId="0" ref="U3">
      <text>
        <t xml:space="preserve">Historical dataset correction, October 24 2026: fictional seed proceeds moved to January 2018; no February receipt.</t>
      </text>
    </comment>
    <comment authorId="0" ref="T98">
      <text>
        <t xml:space="preserve">Monthly capital expenditures project last year's same-month amount using historical FY2024→FY2025 capex growth.</t>
      </text>
    </comment>
    <comment authorId="0" ref="V98">
      <text>
        <t xml:space="preserve">No incremental venture borrowing assumed in the Week 1 baseline; change financing plan explicitly for alternative scenarios.</t>
      </text>
    </comment>
    <comment authorId="0" ref="W98">
      <text>
        <t xml:space="preserve">No debt principal repayments assumed in 2026 baseline; maturity schedule not yet modeled.</t>
      </text>
    </comment>
    <comment authorId="0" ref="X98">
      <text>
        <t xml:space="preserve">Projected month-end receivables scale from the same 2025 month by the change in commercial, research, and licensing sales.</t>
      </text>
    </comment>
    <comment authorId="0" ref="U28">
      <text>
        <t xml:space="preserve">Historical dataset correction, October 24 2026: moved fictional $24M Series A proceeds from April 2020 to March 2020 to avoid an unexplained March cash overdraft. Annual 2020 equity proceeds unchanged.</t>
      </text>
    </comment>
    <comment authorId="0" ref="AA98">
      <text>
        <t xml:space="preserve">Forecast supplier payables scale with delivery costs plus 25% of R&amp;D costs, maintaining a synthetic 2025 procurement relationship.</t>
      </text>
    </comment>
    <comment authorId="0" ref="S181">
      <text>
        <t xml:space="preserve">Simplified annual tax provision: 25% of positive full-year pretax income, recorded in December for the Week 1 model. No NOL carryforward, tax credits, or quarterly estimated payments are modeled. This replaces overstated taxes from charging each individually profitable month regardless of the annual result.</t>
      </text>
    </comment>
    <comment authorId="0" ref="S169">
      <text>
        <t xml:space="preserve">Simplified annual tax provision: 25% of positive full-year pretax income, recorded in December for the Week 1 model. No NOL carryforward, tax credits, or quarterly estimated payments are modeled. This replaces overstated taxes from charging each individually profitable month regardless of the annual result.</t>
      </text>
    </comment>
    <comment authorId="0" ref="U99">
      <text>
        <t xml:space="preserve">2026 Series D financing requirement = rounded funding gap to cover 2026 pre-equity cash burn and maintain six months of modeled burn as year-end cash. Uses 2025 closing cash (AG97) and 2026 cash changes excluding equity (AH98:AH109); $5M raise increments. Both six-month reserve and round increment are declared scenario assumptions, not course-provided values.</t>
      </text>
    </comment>
    <comment authorId="0" ref="S157">
      <text>
        <t xml:space="preserve">Simplified annual tax provision: 25% of positive full-year pretax income, recorded in December for the Week 1 model. No NOL carryforward, tax credits, or quarterly estimated payments are modeled. This replaces overstated taxes from charging each individually profitable month regardless of the annual result.</t>
      </text>
    </comment>
    <comment authorId="0" ref="U29">
      <text>
        <t xml:space="preserve">Historical dataset correction, October 24 2026: fictional Series A proceeds moved to March 2020; no April receipt.</t>
      </text>
    </comment>
    <comment authorId="0" ref="C170">
      <text>
        <t xml:space="preserve">Prescription-volume projection for 2029: December 2028 fills × (1 + annual fill growth)^(month/12). Each month is a point on the curve; no reference to forecast revenue.</t>
      </text>
    </comment>
    <comment authorId="0" ref="E170">
      <text>
        <t xml:space="preserve">Forecast THX-101 revenue: projected monthly prescription fills × whole-dollar prior-December net revenue per fill × compounded price change for the month. Driver cells on Income Statement are directly visible and editable.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3">
      <text>
        <t xml:space="preserve">2032 planned headcount growth for THX-101 quality/regulatory. Updates Workforce &amp; Expenses staffing/payroll and Manufacturing &amp; Production (COGS); then flows through Monthly Data and financial statements.</t>
      </text>
    </comment>
    <comment authorId="0" ref="B146">
      <text>
        <t xml:space="preserve">Annual inflation for per-employee software/vendor support. Changes projected Workforce &amp; Expenses G&amp;A and downstream statements.</t>
      </text>
    </comment>
    <comment authorId="0" ref="C18">
      <text>
        <t xml:space="preserve">2026 starting sales/market access headcount. Drives forecast headcount and sales &amp; marketing payroll in Workforce &amp; Expenses, then Monthly Data and financial statements; actual months stay fixed.</t>
      </text>
    </comment>
    <comment authorId="0" ref="D18">
      <text>
        <t xml:space="preserve">2026 sales/market access base salary per FTE. Changes forecast sales &amp; marketing payroll in Workforce &amp; Expenses and downstream statements.</t>
      </text>
    </comment>
    <comment authorId="0" ref="B142">
      <text>
        <t xml:space="preserve">Marketing acquisition cost per new THX-202 patient. Links Revenue &amp; Demand patient additions to selling expense in Workforce &amp; Expenses and statements.</t>
      </text>
    </comment>
    <comment authorId="0" ref="C14">
      <text>
        <t xml:space="preserve">Starting 2026 staffing level for THX-202 clinical operations. Sets the forecast headcount path and payroll in Workforce &amp; Expenses → Clinical Trials &amp; R&amp;D → Monthly Data and statements; completed actual months remain fixed.</t>
      </text>
    </comment>
    <comment authorId="0" ref="D14">
      <text>
        <t xml:space="preserve">2026 base salary per employee in THX-202 clinical operations. Changes loaded forecast payroll in Workforce &amp; Expenses → Clinical Trials &amp; R&amp;D → Monthly Data and statements.</t>
      </text>
    </comment>
    <comment authorId="0" ref="H18">
      <text>
        <t xml:space="preserve">2027 headcount growth for sales/market access. Updates Workforce &amp; Expenses forecast staffing and sales &amp; marketing payroll, then Monthly Data and linked statements.</t>
      </text>
    </comment>
    <comment authorId="0" ref="I18">
      <text>
        <t xml:space="preserve">2028 headcount growth for sales/market access. Updates Workforce &amp; Expenses forecast staffing and sales &amp; marketing payroll, then Monthly Data and linked statements.</t>
      </text>
    </comment>
    <comment authorId="0" ref="J18">
      <text>
        <t xml:space="preserve">2029 headcount growth for sales/market access. Updates Workforce &amp; Expenses forecast staffing and sales &amp; marketing payroll, then Monthly Data and linked statements.</t>
      </text>
    </comment>
    <comment authorId="0" ref="B138">
      <text>
        <t xml:space="preserve">Nonpayroll lab delivery cost per active research client-month. Adjusts Workforce &amp; Expenses research-services COGS, then Monthly Data and statements.</t>
      </text>
    </comment>
    <comment authorId="0" ref="K18">
      <text>
        <t xml:space="preserve">2030 headcount growth for sales/market access. Updates Workforce &amp; Expenses forecast staffing and sales &amp; marketing payroll, then Monthly Data and linked statements.</t>
      </text>
    </comment>
    <comment authorId="0" ref="H14">
      <text>
        <t xml:space="preserve">2027 planned headcount growth for THX-202 clinical operations. Updates Workforce &amp; Expenses staffing/payroll and Clinical Trials &amp; R&amp;D; then flows through Monthly Data and financial statements.</t>
      </text>
    </comment>
    <comment authorId="0" ref="L18">
      <text>
        <t xml:space="preserve">2031 headcount growth for sales/market access. Updates Workforce &amp; Expenses forecast staffing and sales &amp; marketing payroll, then Monthly Data and linked statements.</t>
      </text>
    </comment>
    <comment authorId="0" ref="I14">
      <text>
        <t xml:space="preserve">2028 planned headcount growth for THX-202 clinical operations. Updates Workforce &amp; Expenses staffing/payroll and Clinical Trials &amp; R&amp;D; then flows through Monthly Data and financial statements.</t>
      </text>
    </comment>
    <comment authorId="0" ref="M18">
      <text>
        <t xml:space="preserve">2032 headcount growth for sales/market access. Updates Workforce &amp; Expenses forecast staffing and sales &amp; marketing payroll, then Monthly Data and linked statements.</t>
      </text>
    </comment>
    <comment authorId="0" ref="J14">
      <text>
        <t xml:space="preserve">2029 planned headcount growth for THX-202 clinical operations. Updates Workforce &amp; Expenses staffing/payroll and Clinical Trials &amp; R&amp;D; then flows through Monthly Data and financial statements.</t>
      </text>
    </comment>
    <comment authorId="0" ref="B6">
      <text>
        <t xml:space="preserve">Annual salary increase for forecast years. Updates Workforce &amp; Expenses payroll and its allocation to manufacturing COGS, R&amp;D, sales and G&amp;A; flows to Monthly Data and statements.</t>
      </text>
    </comment>
    <comment authorId="0" ref="K14">
      <text>
        <t xml:space="preserve">2030 planned headcount growth for THX-202 clinical operations. Updates Workforce &amp; Expenses staffing/payroll and Clinical Trials &amp; R&amp;D; then flows through Monthly Data and financial statements.</t>
      </text>
    </comment>
    <comment authorId="0" ref="L14">
      <text>
        <t xml:space="preserve">2031 planned headcount growth for THX-202 clinical operations. Updates Workforce &amp; Expenses staffing/payroll and Clinical Trials &amp; R&amp;D; then flows through Monthly Data and financial statements.</t>
      </text>
    </comment>
    <comment authorId="0" ref="M14">
      <text>
        <t xml:space="preserve">2032 planned headcount growth for THX-202 clinical operations. Updates Workforce &amp; Expenses staffing/payroll and Clinical Trials &amp; R&amp;D; then flows through Monthly Data and financial statements.</t>
      </text>
    </comment>
    <comment authorId="0" ref="C19">
      <text>
        <t xml:space="preserve">2026 starting corporate admin/IT/legal headcount. Drives forecast headcount and G&amp;A payroll in Workforce &amp; Expenses, then Monthly Data and financial statements; actual months stay fixed.</t>
      </text>
    </comment>
    <comment authorId="0" ref="D19">
      <text>
        <t xml:space="preserve">2026 corporate admin/IT/legal base salary per FTE. Changes forecast G&amp;A payroll in Workforce &amp; Expenses and downstream statements.</t>
      </text>
    </comment>
    <comment authorId="0" ref="B143">
      <text>
        <t xml:space="preserve">Baseline monthly office, legal, software and insurance overhead. Drives forecast G&amp;A in Workforce &amp; Expenses, then Monthly Data and statements.</t>
      </text>
    </comment>
    <comment authorId="0" ref="C15">
      <text>
        <t xml:space="preserve">Starting 2026 staffing level for THX-202 translational science. Sets the forecast headcount path and payroll in Workforce &amp; Expenses → Clinical Trials &amp; R&amp;D → Monthly Data and statements; completed actual months remain fixed.</t>
      </text>
    </comment>
    <comment authorId="0" ref="D15">
      <text>
        <t xml:space="preserve">2026 base salary per employee in THX-202 translational science. Changes loaded forecast payroll in Workforce &amp; Expenses → Clinical Trials &amp; R&amp;D → Monthly Data and statements.</t>
      </text>
    </comment>
    <comment authorId="0" ref="H19">
      <text>
        <t xml:space="preserve">2027 headcount growth for corporate admin/IT/legal. Updates Workforce &amp; Expenses forecast staffing and G&amp;A payroll, then Monthly Data and linked statements.</t>
      </text>
    </comment>
    <comment authorId="0" ref="I19">
      <text>
        <t xml:space="preserve">2028 headcount growth for corporate admin/IT/legal. Updates Workforce &amp; Expenses forecast staffing and G&amp;A payroll, then Monthly Data and linked statements.</t>
      </text>
    </comment>
    <comment authorId="0" ref="J19">
      <text>
        <t xml:space="preserve">2029 headcount growth for corporate admin/IT/legal. Updates Workforce &amp; Expenses forecast staffing and G&amp;A payroll, then Monthly Data and linked statements.</t>
      </text>
    </comment>
    <comment authorId="0" ref="B139">
      <text>
        <t xml:space="preserve">Annual escalation of external research-service vendor costs. Adjusts Workforce &amp; Expenses research COGS and downstream statements.</t>
      </text>
    </comment>
    <comment authorId="0" ref="K19">
      <text>
        <t xml:space="preserve">2030 headcount growth for corporate admin/IT/legal. Updates Workforce &amp; Expenses forecast staffing and G&amp;A payroll, then Monthly Data and linked statements.</t>
      </text>
    </comment>
    <comment authorId="0" ref="H15">
      <text>
        <t xml:space="preserve">2027 planned headcount growth for THX-202 translational science. Updates Workforce &amp; Expenses staffing/payroll and Clinical Trials &amp; R&amp;D; then flows through Monthly Data and financial statements.</t>
      </text>
    </comment>
    <comment authorId="0" ref="L19">
      <text>
        <t xml:space="preserve">2031 headcount growth for corporate admin/IT/legal. Updates Workforce &amp; Expenses forecast staffing and G&amp;A payroll, then Monthly Data and linked statements.</t>
      </text>
    </comment>
    <comment authorId="0" ref="I15">
      <text>
        <t xml:space="preserve">2028 planned headcount growth for THX-202 translational science. Updates Workforce &amp; Expenses staffing/payroll and Clinical Trials &amp; R&amp;D; then flows through Monthly Data and financial statements.</t>
      </text>
    </comment>
    <comment authorId="0" ref="M19">
      <text>
        <t xml:space="preserve">2032 headcount growth for corporate admin/IT/legal. Updates Workforce &amp; Expenses forecast staffing and G&amp;A payroll, then Monthly Data and linked statements.</t>
      </text>
    </comment>
    <comment authorId="0" ref="J15">
      <text>
        <t xml:space="preserve">2029 planned headcount growth for THX-202 translational science. Updates Workforce &amp; Expenses staffing/payroll and Clinical Trials &amp; R&amp;D; then flows through Monthly Data and financial statements.</t>
      </text>
    </comment>
    <comment authorId="0" ref="K15">
      <text>
        <t xml:space="preserve">2030 planned headcount growth for THX-202 translational science. Updates Workforce &amp; Expenses staffing/payroll and Clinical Trials &amp; R&amp;D; then flows through Monthly Data and financial statements.</t>
      </text>
    </comment>
    <comment authorId="0" ref="L15">
      <text>
        <t xml:space="preserve">2031 planned headcount growth for THX-202 translational science. Updates Workforce &amp; Expenses staffing/payroll and Clinical Trials &amp; R&amp;D; then flows through Monthly Data and financial statements.</t>
      </text>
    </comment>
    <comment authorId="0" ref="M15">
      <text>
        <t xml:space="preserve">2032 planned headcount growth for THX-202 translational science. Updates Workforce &amp; Expenses staffing/payroll and Clinical Trials &amp; R&amp;D; then flows through Monthly Data and financial statements.</t>
      </text>
    </comment>
    <comment authorId="0" ref="B144">
      <text>
        <t xml:space="preserve">Annual inflation of fixed corporate overhead. Changes Workforce &amp; Expenses G&amp;A expense and downstream statements.</t>
      </text>
    </comment>
    <comment authorId="0" ref="C16">
      <text>
        <t xml:space="preserve">Starting 2026 staffing level for THX-303 discovery science. Sets the forecast headcount path and payroll in Workforce &amp; Expenses → Clinical Trials &amp; R&amp;D → Monthly Data and statements; completed actual months remain fixed.</t>
      </text>
    </comment>
    <comment authorId="0" ref="D16">
      <text>
        <t xml:space="preserve">2026 base salary per employee in THX-303 discovery science. Changes loaded forecast payroll in Workforce &amp; Expenses → Clinical Trials &amp; R&amp;D → Monthly Data and statements.</t>
      </text>
    </comment>
    <comment authorId="0" ref="B140">
      <text>
        <t xml:space="preserve">Base monthly advertising/channel spend in the forecast. Changes Workforce &amp; Expenses marketing expense, then Monthly Data and statements.</t>
      </text>
    </comment>
    <comment authorId="0" ref="C12">
      <text>
        <t xml:space="preserve">Starting 2026 staffing level for THX-101 manufacturing. Sets the forecast headcount path and payroll in Workforce &amp; Expenses → Manufacturing &amp; Production (COGS) → Monthly Data and statements; completed actual months remain fixed.</t>
      </text>
    </comment>
    <comment authorId="0" ref="D12">
      <text>
        <t xml:space="preserve">2026 base salary per employee in THX-101 manufacturing. Changes loaded forecast payroll in Workforce &amp; Expenses → Manufacturing &amp; Production (COGS) → Monthly Data and statements.</t>
      </text>
    </comment>
    <comment authorId="0" ref="H16">
      <text>
        <t xml:space="preserve">2027 planned headcount growth for THX-303 discovery science. Updates Workforce &amp; Expenses staffing/payroll and Clinical Trials &amp; R&amp;D; then flows through Monthly Data and financial statements.</t>
      </text>
    </comment>
    <comment authorId="0" ref="I16">
      <text>
        <t xml:space="preserve">2028 planned headcount growth for THX-303 discovery science. Updates Workforce &amp; Expenses staffing/payroll and Clinical Trials &amp; R&amp;D; then flows through Monthly Data and financial statements.</t>
      </text>
    </comment>
    <comment authorId="0" ref="J16">
      <text>
        <t xml:space="preserve">2029 planned headcount growth for THX-303 discovery science. Updates Workforce &amp; Expenses staffing/payroll and Clinical Trials &amp; R&amp;D; then flows through Monthly Data and financial statements.</t>
      </text>
    </comment>
    <comment authorId="0" ref="K16">
      <text>
        <t xml:space="preserve">2030 planned headcount growth for THX-303 discovery science. Updates Workforce &amp; Expenses staffing/payroll and Clinical Trials &amp; R&amp;D; then flows through Monthly Data and financial statements.</t>
      </text>
    </comment>
    <comment authorId="0" ref="H12">
      <text>
        <t xml:space="preserve">2027 planned headcount growth for THX-101 manufacturing. Updates Workforce &amp; Expenses staffing/payroll and Manufacturing &amp; Production (COGS); then flows through Monthly Data and financial statements.</t>
      </text>
    </comment>
    <comment authorId="0" ref="L16">
      <text>
        <t xml:space="preserve">2031 planned headcount growth for THX-303 discovery science. Updates Workforce &amp; Expenses staffing/payroll and Clinical Trials &amp; R&amp;D; then flows through Monthly Data and financial statements.</t>
      </text>
    </comment>
    <comment authorId="0" ref="I12">
      <text>
        <t xml:space="preserve">2028 planned headcount growth for THX-101 manufacturing. Updates Workforce &amp; Expenses staffing/payroll and Manufacturing &amp; Production (COGS); then flows through Monthly Data and financial statements.</t>
      </text>
    </comment>
    <comment authorId="0" ref="M16">
      <text>
        <t xml:space="preserve">2032 planned headcount growth for THX-303 discovery science. Updates Workforce &amp; Expenses staffing/payroll and Clinical Trials &amp; R&amp;D; then flows through Monthly Data and financial statements.</t>
      </text>
    </comment>
    <comment authorId="0" ref="J12">
      <text>
        <t xml:space="preserve">2029 planned headcount growth for THX-101 manufacturing. Updates Workforce &amp; Expenses staffing/payroll and Manufacturing &amp; Production (COGS); then flows through Monthly Data and financial statements.</t>
      </text>
    </comment>
    <comment authorId="0" ref="K12">
      <text>
        <t xml:space="preserve">2030 planned headcount growth for THX-101 manufacturing. Updates Workforce &amp; Expenses staffing/payroll and Manufacturing &amp; Production (COGS); then flows through Monthly Data and financial statements.</t>
      </text>
    </comment>
    <comment authorId="0" ref="L12">
      <text>
        <t xml:space="preserve">2031 planned headcount growth for THX-101 manufacturing. Updates Workforce &amp; Expenses staffing/payroll and Manufacturing &amp; Production (COGS); then flows through Monthly Data and financial statements.</t>
      </text>
    </comment>
    <comment authorId="0" ref="M12">
      <text>
        <t xml:space="preserve">2032 planned headcount growth for THX-101 manufacturing. Updates Workforce &amp; Expenses staffing/payroll and Manufacturing &amp; Production (COGS); then flows through Monthly Data and financial statements.</t>
      </text>
    </comment>
    <comment authorId="0" ref="B145">
      <text>
        <t xml:space="preserve">Software/vendor support cost per employee-month. Links workforce headcount to G&amp;A in Workforce &amp; Expenses and downstream statements.</t>
      </text>
    </comment>
    <comment authorId="0" ref="C17">
      <text>
        <t xml:space="preserve">2026 starting research-services delivery headcount. Drives forecast headcount and research COGS payroll in Workforce &amp; Expenses, then Monthly Data and financial statements; actual months stay fixed.</t>
      </text>
    </comment>
    <comment authorId="0" ref="D17">
      <text>
        <t xml:space="preserve">2026 research-services delivery base salary per FTE. Changes forecast research COGS payroll in Workforce &amp; Expenses and downstream statements.</t>
      </text>
    </comment>
    <comment authorId="0" ref="B141">
      <text>
        <t xml:space="preserve">Annual growth in campaign and channel spending. Changes projected marketing costs in Workforce &amp; Expenses, then Monthly Data and statements.</t>
      </text>
    </comment>
    <comment authorId="0" ref="C13">
      <text>
        <t xml:space="preserve">Starting 2026 staffing level for THX-101 quality/regulatory. Sets the forecast headcount path and payroll in Workforce &amp; Expenses → Manufacturing &amp; Production (COGS) → Monthly Data and statements; completed actual months remain fixed.</t>
      </text>
    </comment>
    <comment authorId="0" ref="D13">
      <text>
        <t xml:space="preserve">2026 base salary per employee in THX-101 quality/regulatory. Changes loaded forecast payroll in Workforce &amp; Expenses → Manufacturing &amp; Production (COGS) → Monthly Data and statements.</t>
      </text>
    </comment>
    <comment authorId="0" ref="H17">
      <text>
        <t xml:space="preserve">2027 headcount growth for research-services delivery. Updates Workforce &amp; Expenses forecast staffing and research COGS payroll, then Monthly Data and linked statements.</t>
      </text>
    </comment>
    <comment authorId="0" ref="I17">
      <text>
        <t xml:space="preserve">2028 headcount growth for research-services delivery. Updates Workforce &amp; Expenses forecast staffing and research COGS payroll, then Monthly Data and linked statements.</t>
      </text>
    </comment>
    <comment authorId="0" ref="J17">
      <text>
        <t xml:space="preserve">2029 headcount growth for research-services delivery. Updates Workforce &amp; Expenses forecast staffing and research COGS payroll, then Monthly Data and linked statements.</t>
      </text>
    </comment>
    <comment authorId="0" ref="K17">
      <text>
        <t xml:space="preserve">2030 headcount growth for research-services delivery. Updates Workforce &amp; Expenses forecast staffing and research COGS payroll, then Monthly Data and linked statements.</t>
      </text>
    </comment>
    <comment authorId="0" ref="H13">
      <text>
        <t xml:space="preserve">2027 planned headcount growth for THX-101 quality/regulatory. Updates Workforce &amp; Expenses staffing/payroll and Manufacturing &amp; Production (COGS); then flows through Monthly Data and financial statements.</t>
      </text>
    </comment>
    <comment authorId="0" ref="L17">
      <text>
        <t xml:space="preserve">2031 headcount growth for research-services delivery. Updates Workforce &amp; Expenses forecast staffing and research COGS payroll, then Monthly Data and linked statements.</t>
      </text>
    </comment>
    <comment authorId="0" ref="I13">
      <text>
        <t xml:space="preserve">2028 planned headcount growth for THX-101 quality/regulatory. Updates Workforce &amp; Expenses staffing/payroll and Manufacturing &amp; Production (COGS); then flows through Monthly Data and financial statements.</t>
      </text>
    </comment>
    <comment authorId="0" ref="M17">
      <text>
        <t xml:space="preserve">2032 headcount growth for research-services delivery. Updates Workforce &amp; Expenses forecast staffing and research COGS payroll, then Monthly Data and linked statements.</t>
      </text>
    </comment>
    <comment authorId="0" ref="B5">
      <text>
        <t xml:space="preserve">Employer payroll burden for benefits, taxes and compensation. Multiplies forecast base salaries in Workforce &amp; Expenses; allocated payroll feeds COGS, R&amp;D, selling expense and G&amp;A, then statements.</t>
      </text>
    </comment>
    <comment authorId="0" ref="J13">
      <text>
        <t xml:space="preserve">2029 planned headcount growth for THX-101 quality/regulatory. Updates Workforce &amp; Expenses staffing/payroll and Manufacturing &amp; Production (COGS); then flows through Monthly Data and financial statements.</t>
      </text>
    </comment>
    <comment authorId="0" ref="K13">
      <text>
        <t xml:space="preserve">2030 planned headcount growth for THX-101 quality/regulatory. Updates Workforce &amp; Expenses staffing/payroll and Manufacturing &amp; Production (COGS); then flows through Monthly Data and financial statements.</t>
      </text>
    </comment>
    <comment authorId="0" ref="L13">
      <text>
        <t xml:space="preserve">2031 planned headcount growth for THX-101 quality/regulatory. Updates Workforce &amp; Expenses staffing/payroll and Manufacturing &amp; Production (COGS); then flows through Monthly Data and financial statements.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THX-202 fulfillment and cold-chain cost per active patient-month. Changes Manufacturing &amp; Production COGS and linked statements.</t>
      </text>
    </comment>
    <comment authorId="0" ref="F5">
      <text>
        <t xml:space="preserve">THX-202 outsourced production cost per active patient-month. Patient volume comes from Revenue &amp; Demand; changes Manufacturing &amp; Production COGS.</t>
      </text>
    </comment>
    <comment authorId="0" ref="A11">
      <text>
        <t xml:space="preserve">Rate applies to licensed fictional GLP-1 therapy THX-101. Assume TitanHelix has valid manufacturing/commercialization rights and the underlying fictional product has required regulatory authorization. No agreement with Novo Nordisk or Eli Lilly is implied.</t>
      </text>
    </comment>
    <comment authorId="0" ref="B12">
      <text>
        <t xml:space="preserve">Annual escalation of THX-101 nonlabor input costs. Increases forecast manufacturing and distribution expenses in Manufacturing &amp; Production.</t>
      </text>
    </comment>
    <comment authorId="0" ref="B11">
      <text>
        <t xml:space="preserve">THX-101 partner royalty as a share of net THX-101 sales. Links Revenue &amp; Demand revenue to royalties/COGS in Manufacturing &amp; Production.</t>
      </text>
    </comment>
    <comment authorId="0" ref="B10">
      <text>
        <t xml:space="preserve">Fixed monthly THX-101 equipment/plant operating cost. Changes Manufacturing &amp; Production COGS and downstream statements.</t>
      </text>
    </comment>
    <comment authorId="0" ref="B9">
      <text>
        <t xml:space="preserve">Extra THX-101 manufacturing allowance for rejected batches/waste. Applied to variable per-fill costs; raises COGS in Manufacturing &amp; Production.</t>
      </text>
    </comment>
    <comment authorId="0" ref="B8">
      <text>
        <t xml:space="preserve">THX-101 quality-testing cost per fill. Changes Manufacturing &amp; Production COGS and linked statements.</t>
      </text>
    </comment>
    <comment authorId="0" ref="B7">
      <text>
        <t xml:space="preserve">THX-101 temperature-controlled delivery cost per fill. Changes Manufacturing &amp; Production COGS and linked statements.</t>
      </text>
    </comment>
    <comment authorId="0" ref="B6">
      <text>
        <t xml:space="preserve">THX-101 fill, packaging and labeling cost per prescription. Changes Manufacturing &amp; Production COGS using Revenue &amp; Demand fills, then statements.</t>
      </text>
    </comment>
    <comment authorId="0" ref="F10">
      <text>
        <t xml:space="preserve">Annual escalation in THX-202 outsourced contract-manufacturing costs. Changes forecast COGS in Manufacturing &amp; Production.</t>
      </text>
    </comment>
    <comment authorId="0" ref="B5">
      <text>
        <t xml:space="preserve">THX-101 API cost per prescription fill. Multiplies projected fills from Revenue &amp; Demand; changes Manufacturing &amp; Production COGS and downstream statements.</t>
      </text>
    </comment>
    <comment authorId="0" ref="F9">
      <text>
        <t xml:space="preserve">Fixed monthly THX-202 CMO/distributor support cost when patients are active. Changes Manufacturing &amp; Production COGS once commercialization begins.</t>
      </text>
    </comment>
    <comment authorId="0" ref="F8">
      <text>
        <t xml:space="preserve">THX-202 rejected-yield/spoilage surcharge on variable outsourced supply costs. Changes Manufacturing &amp; Production COGS.</t>
      </text>
    </comment>
    <comment authorId="0" ref="F7">
      <text>
        <t xml:space="preserve">THX-202 regulatory release/testing cost per active patient-month. Changes Manufacturing &amp; Production COGS and linked statements.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Starting THX-303 discovery experiments per month. Sets activity-based external research costs in Clinical Trials &amp; R&amp;D.</t>
      </text>
    </comment>
    <comment authorId="0" ref="B22">
      <text>
        <t xml:space="preserve">Monthly monitoring cost per THX-202 postapproval participant. Changes Clinical Trials &amp; R&amp;D after the launch date.</t>
      </text>
    </comment>
    <comment authorId="0" ref="B20">
      <text>
        <t xml:space="preserve">Annual growth in THX-202 preapproval clinical sites. Changes future site expense in Clinical Trials &amp; R&amp;D.</t>
      </text>
    </comment>
    <comment authorId="0" ref="B18">
      <text>
        <t xml:space="preserve">Monthly THX-202 materials expense after approval. Changes Clinical Trials &amp; R&amp;D spending.</t>
      </text>
    </comment>
    <comment authorId="0" ref="B16">
      <text>
        <t xml:space="preserve">Monthly THX-202 lab/testing cost after approval. Changes Clinical Trials &amp; R&amp;D postapproval spending.</t>
      </text>
    </comment>
    <comment authorId="0" ref="B14">
      <text>
        <t xml:space="preserve">Number of THX-202 postapproval monitoring sites. Changes monitoring expenses in Clinical Trials &amp; R&amp;D after launch.</t>
      </text>
    </comment>
    <comment authorId="0" ref="B12">
      <text>
        <t xml:space="preserve">Monthly THX-202 clinical materials expense before approval. Changes Clinical Trials &amp; R&amp;D costs.</t>
      </text>
    </comment>
    <comment authorId="0" ref="B10">
      <text>
        <t xml:space="preserve">Monthly THX-202 analytical/lab-services expense before approval. Changes Clinical Trials &amp; R&amp;D costs.</t>
      </text>
    </comment>
    <comment authorId="0" ref="B8">
      <text>
        <t xml:space="preserve">Monthly expense per THX-202 clinical site before approval. Drives Clinical Trials &amp; R&amp;D spending and linked statements.</t>
      </text>
    </comment>
    <comment authorId="0" ref="F12">
      <text>
        <t xml:space="preserve">Annual growth in THX-303 discovery-experiment volume. Changes experiment-related costs in Clinical Trials &amp; R&amp;D.</t>
      </text>
    </comment>
    <comment authorId="0" ref="B6">
      <text>
        <t xml:space="preserve">Starting number of THX-202 clinical sites. Drives site-month expenses in Clinical Trials &amp; R&amp;D and linked statements.</t>
      </text>
    </comment>
    <comment authorId="0" ref="F10">
      <text>
        <t xml:space="preserve">THX-303 monthly quality/regulatory research cost. Changes Clinical Trials &amp; R&amp;D expense.</t>
      </text>
    </comment>
    <comment authorId="0" ref="F8">
      <text>
        <t xml:space="preserve">THX-303 monthly preclinical safety-study cost. Changes Clinical Trials &amp; R&amp;D discovery expense.</t>
      </text>
    </comment>
    <comment authorId="0" ref="F6">
      <text>
        <t xml:space="preserve">THX-303 external-service cost per experiment. Combines with experiment count to drive Clinical Trials &amp; R&amp;D spending.</t>
      </text>
    </comment>
    <comment authorId="0" ref="B23">
      <text>
        <t xml:space="preserve">Monthly expense per postapproval monitoring site. Changes Clinical Trials &amp; R&amp;D after launch.</t>
      </text>
    </comment>
    <comment authorId="0" ref="B21">
      <text>
        <t xml:space="preserve">Annual inflation of external THX-202 clinical/postapproval costs. Changes Clinical Trials &amp; R&amp;D and linked statements.</t>
      </text>
    </comment>
    <comment authorId="0" ref="B19">
      <text>
        <t xml:space="preserve">Annual growth in THX-202 preapproval trial participants. Changes future enrollment and expense in Clinical Trials &amp; R&amp;D.</t>
      </text>
    </comment>
    <comment authorId="0" ref="B17">
      <text>
        <t xml:space="preserve">Monthly THX-202 regulatory monitoring expense after approval. Changes Clinical Trials &amp; R&amp;D spending.</t>
      </text>
    </comment>
    <comment authorId="0" ref="B15">
      <text>
        <t xml:space="preserve">Monthly THX-202 CRO cost for postapproval monitoring. Changes Clinical Trials &amp; R&amp;D spending after launch.</t>
      </text>
    </comment>
    <comment authorId="0" ref="B13">
      <text>
        <t xml:space="preserve">Patient count for THX-202 postapproval safety monitoring. Used after the launch scenario/date in Revenue &amp; Demand triggers monitoring costs.</t>
      </text>
    </comment>
    <comment authorId="0" ref="B11">
      <text>
        <t xml:space="preserve">Monthly THX-202 regulatory and submission expense before approval. Changes Clinical Trials &amp; R&amp;D costs.</t>
      </text>
    </comment>
    <comment authorId="0" ref="B9">
      <text>
        <t xml:space="preserve">Monthly THX-202 contract research organization (CRO) expense during development. Changes Clinical Trials &amp; R&amp;D costs.</t>
      </text>
    </comment>
    <comment authorId="0" ref="F13">
      <text>
        <t xml:space="preserve">Annual inflation of THX-303 external contractor/research costs. Changes Clinical Trials &amp; R&amp;D and linked statements.</t>
      </text>
    </comment>
    <comment authorId="0" ref="B7">
      <text>
        <t xml:space="preserve">Monthly trial expense per THX-202 participant before approval. Multiplies projected enrollment in Clinical Trials &amp; R&amp;D.</t>
      </text>
    </comment>
    <comment authorId="0" ref="F11">
      <text>
        <t xml:space="preserve">THX-303 monthly materials cost. Changes Clinical Trials &amp; R&amp;D expense.</t>
      </text>
    </comment>
    <comment authorId="0" ref="B5">
      <text>
        <t xml:space="preserve">Starting THX-202 trial participant count for projected clinical development. Changes participant-related expenses in Clinical Trials &amp; R&amp;D, then Monthly Data and statements.</t>
      </text>
    </comment>
    <comment authorId="0" ref="F9">
      <text>
        <t xml:space="preserve">THX-303 monthly contracted research cost. Changes Clinical Trials &amp; R&amp;D expense.</t>
      </text>
    </comment>
    <comment authorId="0" ref="F7">
      <text>
        <t xml:space="preserve">THX-303 monthly partner-laboratory retainer. Changes Clinical Trials &amp; R&amp;D spending and linked statements.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2027 additional research clients versus the prior-year month. Changes research-services revenue in Revenue &amp; Demand and related delivery costs in Workforce &amp; Expenses. Changes Monthly Data and linked financial statements.</t>
      </text>
    </comment>
    <comment authorId="0" ref="I9">
      <text>
        <t xml:space="preserve">2029 renewal uplift for collaboration/licensing receipts. Changes Revenue &amp; Demand licensing revenue and associated delivery costs. Changes Monthly Data and linked financial statements.</t>
      </text>
    </comment>
    <comment authorId="0" ref="H7">
      <text>
        <t xml:space="preserve">2028 additional research clients versus the prior-year month. Changes research-services revenue in Revenue &amp; Demand and related delivery costs in Workforce &amp; Expenses. Changes Monthly Data and linked financial statements.</t>
      </text>
    </comment>
    <comment authorId="0" ref="J9">
      <text>
        <t xml:space="preserve">2030 renewal uplift for collaboration/licensing receipts. Changes Revenue &amp; Demand licensing revenue and associated delivery costs. Changes Monthly Data and linked financial statements.</t>
      </text>
    </comment>
    <comment authorId="0" ref="I7">
      <text>
        <t xml:space="preserve">2029 additional research clients versus the prior-year month. Changes research-services revenue in Revenue &amp; Demand and related delivery costs in Workforce &amp; Expenses. Changes Monthly Data and linked financial statements.</t>
      </text>
    </comment>
    <comment authorId="0" ref="K9">
      <text>
        <t xml:space="preserve">2031 renewal uplift for collaboration/licensing receipts. Changes Revenue &amp; Demand licensing revenue and associated delivery costs. Changes Monthly Data and linked financial statements.</t>
      </text>
    </comment>
    <comment authorId="0" ref="J7">
      <text>
        <t xml:space="preserve">2030 additional research clients versus the prior-year month. Changes research-services revenue in Revenue &amp; Demand and related delivery costs in Workforce &amp; Expenses. Changes Monthly Data and linked financial statements.</t>
      </text>
    </comment>
    <comment authorId="0" ref="L9">
      <text>
        <t xml:space="preserve">2032 renewal uplift for collaboration/licensing receipts. Changes Revenue &amp; Demand licensing revenue and associated delivery costs. Changes Monthly Data and linked financial statements.</t>
      </text>
    </comment>
    <comment authorId="0" ref="K7">
      <text>
        <t xml:space="preserve">2031 additional research clients versus the prior-year month. Changes research-services revenue in Revenue &amp; Demand and related delivery costs in Workforce &amp; Expenses. Changes Monthly Data and linked financial statements.</t>
      </text>
    </comment>
    <comment authorId="0" ref="L7">
      <text>
        <t xml:space="preserve">2032 additional research clients versus the prior-year month. Changes research-services revenue in Revenue &amp; Demand and related delivery costs in Workforce &amp; Expenses. Changes Monthly Data and linked financial statements.</t>
      </text>
    </comment>
    <comment authorId="0" ref="B12">
      <text>
        <t xml:space="preserve">Calculated THX-202 blended net price from insured share (B9) and the insured/cash-pay prices (B10:B11). Edit those blue inputs, not this result.</t>
      </text>
    </comment>
    <comment authorId="0" ref="B10">
      <text>
        <t xml:space="preserve">Net THX-202 revenue per insured patient-month. Combined with B9 and B11 to calculate blended price (B12) and forecast THX-202 sales. Changes Monthly Data and linked financial statements.</t>
      </text>
    </comment>
    <comment authorId="0" ref="B8">
      <text>
        <t xml:space="preserve">Initial THX-202 patient growth; linked to F10:I10 for 2026–2029. Changes projected patient sales in Revenue &amp; Demand, outsourced supply costs in Manufacturing &amp; Production and financial statements.</t>
      </text>
    </comment>
    <comment authorId="0" ref="B6">
      <text>
        <t xml:space="preserve">Sets the first THX-202 commercial month. Shifts sales in Revenue &amp; Demand, THX-202 manufacturing and the clinical-to-postapproval R&amp;D transition. Changes Monthly Data and linked financial statements.</t>
      </text>
    </comment>
    <comment authorId="0" ref="F8">
      <text>
        <t xml:space="preserve">2026 annual change in THX-101 realized price per fill. Updates product revenue and percentage-based royalties in Manufacturing &amp; Production. Changes Monthly Data and linked financial statements.</t>
      </text>
    </comment>
    <comment authorId="0" ref="G8">
      <text>
        <t xml:space="preserve">2027 annual change in THX-101 realized price per fill. Updates product revenue and percentage-based royalties in Manufacturing &amp; Production. Changes Monthly Data and linked financial statements.</t>
      </text>
    </comment>
    <comment authorId="0" ref="F6">
      <text>
        <t xml:space="preserve">2026 THX-101 prescription-fill growth. Drives projected unit sales in Revenue &amp; Demand and per-fill production costs in Manufacturing &amp; Production. Changes Monthly Data and linked financial statements.</t>
      </text>
    </comment>
    <comment authorId="0" ref="H8">
      <text>
        <t xml:space="preserve">2028 annual change in THX-101 realized price per fill. Updates product revenue and percentage-based royalties in Manufacturing &amp; Production. Changes Monthly Data and linked financial statements.</t>
      </text>
    </comment>
    <comment authorId="0" ref="J10">
      <text>
        <t xml:space="preserve">2030 monthly growth in active THX-202 patients, after the initial 2026–2029 rate from B8. Changes Revenue &amp; Demand sales and Manufacturing &amp; Production supply costs. Changes Monthly Data and linked financial statements.</t>
      </text>
    </comment>
    <comment authorId="0" ref="G6">
      <text>
        <t xml:space="preserve">2027 THX-101 prescription-fill growth. Drives projected unit sales in Revenue &amp; Demand and per-fill production costs in Manufacturing &amp; Production. Changes Monthly Data and linked financial statements.</t>
      </text>
    </comment>
    <comment authorId="0" ref="I8">
      <text>
        <t xml:space="preserve">2029 annual change in THX-101 realized price per fill. Updates product revenue and percentage-based royalties in Manufacturing &amp; Production. Changes Monthly Data and linked financial statements.</t>
      </text>
    </comment>
    <comment authorId="0" ref="K10">
      <text>
        <t xml:space="preserve">2031 monthly growth in active THX-202 patients, after the initial 2026–2029 rate from B8. Changes Revenue &amp; Demand sales and Manufacturing &amp; Production supply costs. Changes Monthly Data and linked financial statements.</t>
      </text>
    </comment>
    <comment authorId="0" ref="H6">
      <text>
        <t xml:space="preserve">2028 THX-101 prescription-fill growth. Drives projected unit sales in Revenue &amp; Demand and per-fill production costs in Manufacturing &amp; Production. Changes Monthly Data and linked financial statements.</t>
      </text>
    </comment>
    <comment authorId="0" ref="J8">
      <text>
        <t xml:space="preserve">2030 annual change in THX-101 realized price per fill. Updates product revenue and percentage-based royalties in Manufacturing &amp; Production. Changes Monthly Data and linked financial statements.</t>
      </text>
    </comment>
    <comment authorId="0" ref="L10">
      <text>
        <t xml:space="preserve">2032 monthly growth in active THX-202 patients, after the initial 2026–2029 rate from B8. Changes Revenue &amp; Demand sales and Manufacturing &amp; Production supply costs. Changes Monthly Data and linked financial statements.</t>
      </text>
    </comment>
    <comment authorId="0" ref="I6">
      <text>
        <t xml:space="preserve">2029 THX-101 prescription-fill growth. Drives projected unit sales in Revenue &amp; Demand and per-fill production costs in Manufacturing &amp; Production. Changes Monthly Data and linked financial statements.</t>
      </text>
    </comment>
    <comment authorId="0" ref="K8">
      <text>
        <t xml:space="preserve">2031 annual change in THX-101 realized price per fill. Updates product revenue and percentage-based royalties in Manufacturing &amp; Production. Changes Monthly Data and linked financial statements.</t>
      </text>
    </comment>
    <comment authorId="0" ref="J6">
      <text>
        <t xml:space="preserve">2030 THX-101 prescription-fill growth. Drives projected unit sales in Revenue &amp; Demand and per-fill production costs in Manufacturing &amp; Production. Changes Monthly Data and linked financial statements.</t>
      </text>
    </comment>
    <comment authorId="0" ref="L8">
      <text>
        <t xml:space="preserve">2032 annual change in THX-101 realized price per fill. Updates product revenue and percentage-based royalties in Manufacturing &amp; Production. Changes Monthly Data and linked financial statements.</t>
      </text>
    </comment>
    <comment authorId="0" ref="K6">
      <text>
        <t xml:space="preserve">2031 THX-101 prescription-fill growth. Drives projected unit sales in Revenue &amp; Demand and per-fill production costs in Manufacturing &amp; Production. Changes Monthly Data and linked financial statements.</t>
      </text>
    </comment>
    <comment authorId="0" ref="L6">
      <text>
        <t xml:space="preserve">2032 THX-101 prescription-fill growth. Drives projected unit sales in Revenue &amp; Demand and per-fill production costs in Manufacturing &amp; Production. Changes Monthly Data and linked financial statements.</t>
      </text>
    </comment>
    <comment authorId="0" ref="B11">
      <text>
        <t xml:space="preserve">Net THX-202 revenue per cash-pay patient-month. Combined with B9 and B10 to calculate blended price (B12) and forecast THX-202 sales. Changes Monthly Data and linked financial statements.</t>
      </text>
    </comment>
    <comment authorId="0" ref="B9">
      <text>
        <t xml:space="preserve">Share of THX-202 patients at the insured price; the rest use cash-pay pricing. Recalculates B12 and THX-202 revenue in Revenue &amp; Demand. Changes Monthly Data and linked financial statements.</t>
      </text>
    </comment>
    <comment authorId="0" ref="B7">
      <text>
        <t xml:space="preserve">Sets initial THX-202 active patients at launch. Drives projected THX-202 sales and outsourced manufacturing/fulfillment. Changes Monthly Data and linked financial statements.</t>
      </text>
    </comment>
    <comment authorId="0" ref="B5">
      <text>
        <t xml:space="preserve">Choose THX-202 commercial launch or no launch. Drives patient sales in Revenue &amp; Demand, THX-202 production costs, and clinical/postapproval R&amp;D. Changes Monthly Data and linked financial statements.</t>
      </text>
    </comment>
    <comment authorId="0" ref="F9">
      <text>
        <t xml:space="preserve">2026 renewal uplift for collaboration/licensing receipts. Changes Revenue &amp; Demand licensing revenue and associated delivery costs. Changes Monthly Data and linked financial statements.</t>
      </text>
    </comment>
    <comment authorId="0" ref="G9">
      <text>
        <t xml:space="preserve">2027 renewal uplift for collaboration/licensing receipts. Changes Revenue &amp; Demand licensing revenue and associated delivery costs. Changes Monthly Data and linked financial statements.</t>
      </text>
    </comment>
    <comment authorId="0" ref="F7">
      <text>
        <t xml:space="preserve">2026 additional research clients versus the prior-year month. Changes research-services revenue in Revenue &amp; Demand and related delivery costs in Workforce &amp; Expenses. Changes Monthly Data and linked financial statements.</t>
      </text>
    </comment>
    <comment authorId="0" ref="H9">
      <text>
        <t xml:space="preserve">2028 renewal uplift for collaboration/licensing receipts. Changes Revenue &amp; Demand licensing revenue and associated delivery costs. Changes Monthly Data and linked financial statements.</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2030 planned debt-principal payment, capped by outstanding debt. Changes Funding &amp; Cap debt schedule, Monthly Data financing cash and Balance Sheet/Cash Flow; not net income.</t>
      </text>
    </comment>
    <comment authorId="0" ref="F5">
      <text>
        <t xml:space="preserve">Illustrative 2027 base capital plan used as a comparison level for scenario allocations, not an observed valuation or committed transaction. A base-case raise does not automatically increase planned R&amp;D beyond the growth assumptions.</t>
      </text>
    </comment>
    <comment authorId="0" ref="J9">
      <text>
        <t xml:space="preserve">2031 planned debt-principal payment, capped by outstanding debt. Changes Funding &amp; Cap debt schedule, Monthly Data financing cash and Balance Sheet/Cash Flow; not net income.</t>
      </text>
    </comment>
    <comment authorId="0" ref="G5">
      <text>
        <t xml:space="preserve">Illustrative 2028 base capital plan used as a comparison level for scenario allocations, not an observed valuation or committed transaction. A base-case raise does not automatically increase planned R&amp;D beyond the growth assumptions.</t>
      </text>
    </comment>
    <comment authorId="0" ref="K9">
      <text>
        <t xml:space="preserve">2032 planned debt-principal payment, capped by outstanding debt. Changes Funding &amp; Cap debt schedule, Monthly Data financing cash and Balance Sheet/Cash Flow; not net income.</t>
      </text>
    </comment>
    <comment authorId="0" ref="H5">
      <text>
        <t xml:space="preserve">Base 2029 private or public follow-on funding is zero. Scenario funding changes relative to this zero baseline. The 2029 IPO option independently uses gross K6 net of cost K7.</t>
      </text>
    </comment>
    <comment authorId="0" ref="N9">
      <text>
        <t xml:space="preserve">Net proceeds of the selected IPO: gross offering amount times (1 - illustrative issuance cost rate). Zero in the Private funding scenario.</t>
      </text>
    </comment>
    <comment authorId="0" ref="N7">
      <text>
        <t xml:space="preserve">IPO issuance-cost percentage applied to gross proceeds. Changes net equity cash in Funding &amp; Cap, Monthly Data and Cash Flow/Balance Sheet.</t>
      </text>
    </comment>
    <comment authorId="0" ref="N5">
      <text>
        <t xml:space="preserve">Assumed gross proceeds for a 2028 IPO scenario. When selected in N4, issuance costs reduce net funding in Funding &amp; Cap and Monthly Data.</t>
      </text>
    </comment>
    <comment authorId="0" ref="C22">
      <text>
        <t xml:space="preserve">2029 equity financing cash derived from Monthly Data. This may represent private capital, a follow-on public share issue, or the IPO itself depending on the scenario.</t>
      </text>
    </comment>
    <comment authorId="0" ref="C14">
      <text>
        <t xml:space="preserve">Sum of annual net cash proceeds from equity issuance. Private financing has no separate assumed issuance fees; IPO and public follow-on amounts are net of the scenario's underwriting/issuance-cost rate.</t>
      </text>
    </comment>
    <comment authorId="0" ref="B6">
      <text>
        <t xml:space="preserve">Share of Series D funding difference versus baseline applied to equipment CapEx. Affects projected assets/investing cash when funding deviates; completed 2026 actuals stay fixed.</t>
      </text>
    </comment>
    <comment authorId="0" ref="F10">
      <text>
        <t xml:space="preserve">Applied financing to Monthly Data!V110:V121, 2027 private Series E proceeds.</t>
      </text>
    </comment>
    <comment authorId="0" ref="G10">
      <text>
        <t xml:space="preserve">Applied financing to Monthly Data!V122:V133. IPO 2028 scenario uses 2028 net IPO cash; otherwise this remains the private funding amount.</t>
      </text>
    </comment>
    <comment authorId="0" ref="B4">
      <text>
        <t xml:space="preserve">Reference only: the 2026 Series D amount already closed and is fixed in 2026 synthetic actual financing. Edit future funding inputs F4:K4 for scenarios; this does not change historical cash.</t>
      </text>
    </comment>
    <comment authorId="0" ref="H10">
      <text>
        <t xml:space="preserve">Applied financing to Monthly Data!V134:V145. Under IPO 2029, net IPO proceeds. Under IPO 2028, net 2029 public follow-on proceeds. Under Private funding, private equity proceeds.</t>
      </text>
    </comment>
    <comment authorId="0" ref="A2">
      <text>
        <t xml:space="preserve">Forecast can be switched between private equity funding and hypothetical IPO proceeds in 2028 or 2029. All amounts are synthetic, in whole USD; IPO valuation, probability, dilution, share price and filing/legal details are not modeled.</t>
      </text>
    </comment>
    <comment authorId="0" ref="D4">
      <text>
        <t xml:space="preserve">Reference size for the base 2026 investment plan. Keep fixed when comparing funding scenarios.</t>
      </text>
    </comment>
    <comment authorId="0" ref="M12">
      <text>
        <t xml:space="preserve">Checks every 2027–2029 month, not just year-end.</t>
      </text>
    </comment>
    <comment authorId="0" ref="F4">
      <text>
        <t xml:space="preserve">2027 planned private-equity raise. Changes Funding &amp; Cap financing cash and Monthly Data → Cash Flow/Balance Sheet, not operating revenue; the selected IPO path may replace it.</t>
      </text>
    </comment>
    <comment authorId="0" ref="N12">
      <text>
        <t xml:space="preserve">A negative monthly cash balance means the scenario needs bridge funding or a different offering date, even if year-end cash is positive.</t>
      </text>
    </comment>
    <comment authorId="0" ref="G4">
      <text>
        <t xml:space="preserve">2028 planned private-equity raise. Changes Funding &amp; Cap financing cash and Monthly Data → Cash Flow/Balance Sheet, not operating revenue; the selected IPO path may replace it.</t>
      </text>
    </comment>
    <comment authorId="0" ref="H4">
      <text>
        <t xml:space="preserve">2029 planned private-equity raise. Changes Funding &amp; Cap financing cash and Monthly Data → Cash Flow/Balance Sheet, not operating revenue; the selected IPO path may replace it.</t>
      </text>
    </comment>
    <comment authorId="0" ref="A29">
      <text>
        <t xml:space="preserve">The founding/VC/employee/strategic ownership percentages are illustrative and held fixed for Week 1. Changes to the Series D financing target do not change them; calculating dilution requires a negotiated valuation and share issuance terms.</t>
      </text>
    </comment>
    <comment authorId="0" ref="I4">
      <text>
        <t xml:space="preserve">2030 planned private-equity raise. Changes Funding &amp; Cap financing cash and Monthly Data → Cash Flow/Balance Sheet, not operating revenue; the selected IPO path may replace it.</t>
      </text>
    </comment>
    <comment authorId="0" ref="J4">
      <text>
        <t xml:space="preserve">2031 planned private-equity raise. Changes Funding &amp; Cap financing cash and Monthly Data → Cash Flow/Balance Sheet, not operating revenue; the selected IPO path may replace it.</t>
      </text>
    </comment>
    <comment authorId="0" ref="N8">
      <text>
        <t xml:space="preserve">Month (1–12) when scenario IPO proceeds are received. Moves financing cash between monthly periods in Funding &amp; Cap and Monthly Data.</t>
      </text>
    </comment>
    <comment authorId="0" ref="K4">
      <text>
        <t xml:space="preserve">2032 planned private-equity raise. Changes Funding &amp; Cap financing cash and Monthly Data → Cash Flow/Balance Sheet, not operating revenue; the selected IPO path may replace it.</t>
      </text>
    </comment>
    <comment authorId="0" ref="N6">
      <text>
        <t xml:space="preserve">Assumed gross proceeds for a 2029 IPO scenario. When selected in N4, issuance costs reduce net funding in Funding &amp; Cap and Monthly Data.</t>
      </text>
    </comment>
    <comment authorId="0" ref="N4">
      <text>
        <t xml:space="preserve">Switch between private funding, IPO 2028 and IPO 2029. Changes financing proceeds in Funding &amp; Cap, monthly cash in Monthly Data, and Balance Sheet/Cash Flow (not sales).</t>
      </text>
    </comment>
    <comment authorId="0" ref="C21">
      <text>
        <t xml:space="preserve">2028 equity financing cash derived from Monthly Data. Gross IPO proceeds and issuance costs appear in the scenario controls, while the statement reports net proceeds.</t>
      </text>
    </comment>
    <comment authorId="0" ref="B7">
      <text>
        <t xml:space="preserve">Alerts when budget allocations exceed all incremental funding or any forecast month's cash balance is negative.</t>
      </text>
    </comment>
    <comment authorId="0" ref="D9">
      <text>
        <t xml:space="preserve">Expected annual debt principal repayment (positive dollar amount). The monthly model caps actual repayment at outstanding debt, preventing a negative debt balance.</t>
      </text>
    </comment>
    <comment authorId="0" ref="F11">
      <text>
        <t xml:space="preserve">Private financing remains in 2027 regardless of the selected IPO target year.</t>
      </text>
    </comment>
    <comment authorId="0" ref="G11">
      <text>
        <t xml:space="preserve">Public IPO is a hypothetical alternative to a private 2028 financing round; labels follow the active switch.</t>
      </text>
    </comment>
    <comment authorId="0" ref="B5">
      <text>
        <t xml:space="preserve">20% of the change in Series D proceeds (vs base funding) increases or reduces clinical research budget.</t>
      </text>
    </comment>
    <comment authorId="0" ref="F9">
      <text>
        <t xml:space="preserve">2027 planned debt-principal payment, capped by outstanding debt. Changes Funding &amp; Cap debt schedule, Monthly Data financing cash and Balance Sheet/Cash Flow; not net income.</t>
      </text>
    </comment>
    <comment authorId="0" ref="H11">
      <text>
        <t xml:space="preserve">2029 can be private growth, a public follow-on after a 2028 IPO, or a 2029 IPO. Funding cash flow, but not share ownership/dilution, is modeled.</t>
      </text>
    </comment>
    <comment authorId="0" ref="G9">
      <text>
        <t xml:space="preserve">2028 planned debt-principal payment, capped by outstanding debt. Changes Funding &amp; Cap debt schedule, Monthly Data financing cash and Balance Sheet/Cash Flow; not net income.</t>
      </text>
    </comment>
    <comment authorId="0" ref="D5">
      <text>
        <t xml:space="preserve">15% of the change in Series D proceeds increases or reduces early bone R&amp;D.</t>
      </text>
    </comment>
    <comment authorId="0" ref="H9">
      <text>
        <t xml:space="preserve">2029 planned debt-principal payment, capped by outstanding debt. Changes Funding &amp; Cap debt schedule, Monthly Data financing cash and Balance Sheet/Cash Flow; not net income.</t>
      </text>
    </comment>
  </commentList>
</comments>
</file>

<file path=xl/sharedStrings.xml><?xml version="1.0" encoding="utf-8"?>
<sst xmlns="http://schemas.openxmlformats.org/spreadsheetml/2006/main" count="984" uniqueCount="658">
  <si>
    <t>BALANCE SHEET</t>
  </si>
  <si>
    <t>CASH FLOW STATEMENT</t>
  </si>
  <si>
    <t>Month</t>
  </si>
  <si>
    <t>Fiscal year</t>
  </si>
  <si>
    <t>THX-101 prescription fills</t>
  </si>
  <si>
    <t>Institutional research clients</t>
  </si>
  <si>
    <t>THX-101 licensed GLP-1 revenue ($)</t>
  </si>
  <si>
    <t>Research services revenue ($)</t>
  </si>
  <si>
    <t>Licensing/collaboration revenue ($)</t>
  </si>
  <si>
    <t>THX-101 manufacturing &amp; distribution ($)</t>
  </si>
  <si>
    <t>2018–2025 history · 2026–2032 forecasts</t>
  </si>
  <si>
    <t>THX-101 partner licensing royalty ($)</t>
  </si>
  <si>
    <t>Research service delivery costs ($)</t>
  </si>
  <si>
    <t>License service delivery costs ($)</t>
  </si>
  <si>
    <t>THX-202 muscle research &amp; trials ($)</t>
  </si>
  <si>
    <t>THX-303 bone discovery R&amp;D ($)</t>
  </si>
  <si>
    <t>Sales and marketing expense ($)</t>
  </si>
  <si>
    <t>General &amp; administration expense ($)</t>
  </si>
  <si>
    <t>Noncash stock compensation ($)</t>
  </si>
  <si>
    <t>PERIOD</t>
  </si>
  <si>
    <t>Depreciation &amp; amortization ($)</t>
  </si>
  <si>
    <t>Venture debt interest expense ($)</t>
  </si>
  <si>
    <t>Income tax expense ($)</t>
  </si>
  <si>
    <t>Equipment/facilities capex ($)</t>
  </si>
  <si>
    <t>2018A</t>
  </si>
  <si>
    <t>2019A</t>
  </si>
  <si>
    <t>Equity funding proceeds ($)</t>
  </si>
  <si>
    <t>2020A</t>
  </si>
  <si>
    <t>2021A</t>
  </si>
  <si>
    <t>New debt proceeds ($)</t>
  </si>
  <si>
    <t>2022A</t>
  </si>
  <si>
    <t>2023A</t>
  </si>
  <si>
    <t>2024A</t>
  </si>
  <si>
    <t>2025A</t>
  </si>
  <si>
    <t>Debt principal repayments ($)</t>
  </si>
  <si>
    <t>2026E (9A+3F)</t>
  </si>
  <si>
    <t>Accounts receivable, month-end ($)</t>
  </si>
  <si>
    <t>2027F</t>
  </si>
  <si>
    <t>2028F</t>
  </si>
  <si>
    <t>Inventory, month-end ($)</t>
  </si>
  <si>
    <t>2029F</t>
  </si>
  <si>
    <t>2030F</t>
  </si>
  <si>
    <t>2031F</t>
  </si>
  <si>
    <t>2032F</t>
  </si>
  <si>
    <t>Prepaids, month-end ($)</t>
  </si>
  <si>
    <t>FISCAL YEAR</t>
  </si>
  <si>
    <t>Accounts payable, month-end ($)</t>
  </si>
  <si>
    <t>Accrued expenses, month-end ($)</t>
  </si>
  <si>
    <t>Deferred contract revenue, month-end ($)</t>
  </si>
  <si>
    <t>Current debt, month-end ($)</t>
  </si>
  <si>
    <t>Total debt, month-end ($)</t>
  </si>
  <si>
    <t>Cash, month-end ($)</t>
  </si>
  <si>
    <t>Cash change before equity ($)</t>
  </si>
  <si>
    <t>THX-202 active treated patients</t>
  </si>
  <si>
    <t>THX-202 commercial revenue ($)</t>
  </si>
  <si>
    <t>THX-202 commercial delivery costs ($)</t>
  </si>
  <si>
    <t>FY2026 methodology</t>
  </si>
  <si>
    <t>CASH FROM OPERATING ACTIVITIES</t>
  </si>
  <si>
    <t>ASSETS</t>
  </si>
  <si>
    <t>Net income / (loss)</t>
  </si>
  <si>
    <t>Cash and cash equivalents</t>
  </si>
  <si>
    <t>Add: depreciation and amortization</t>
  </si>
  <si>
    <t>Add: noncash stock-based compensation</t>
  </si>
  <si>
    <t>Change in accounts receivable</t>
  </si>
  <si>
    <t>Jan–Sep 2026 are fixed synthetic actuals, entered on historical operating schedules.</t>
  </si>
  <si>
    <t>Change in inventory</t>
  </si>
  <si>
    <t>Accounts receivable</t>
  </si>
  <si>
    <t>INCOME STATEMENT</t>
  </si>
  <si>
    <t>2018–2025 synthetic history · 2026E (9 actual + 3 forecast) · 2027–2032 projections</t>
  </si>
  <si>
    <t>Year</t>
  </si>
  <si>
    <t>Historical operating income ($)</t>
  </si>
  <si>
    <t>Forecast operating income ($)</t>
  </si>
  <si>
    <t>Operating break-even ($)</t>
  </si>
  <si>
    <t>Change in prepaid expenses</t>
  </si>
  <si>
    <t>NET REVENUE</t>
  </si>
  <si>
    <t>THX-101 licensed GLP-1 therapy</t>
  </si>
  <si>
    <t>Change in accounts payable</t>
  </si>
  <si>
    <t>Oct–Dec 2026 remain projections, rebased to YTD operating performance.</t>
  </si>
  <si>
    <t>Change in accrued expenses</t>
  </si>
  <si>
    <t>Inventory</t>
  </si>
  <si>
    <t>THX-202 muscle treatment (scenario-dependent)</t>
  </si>
  <si>
    <t>Change in deferred revenue</t>
  </si>
  <si>
    <t>2026 annual statements = nine completed months + three forecast months.</t>
  </si>
  <si>
    <t>NET CASH FROM OPERATIONS</t>
  </si>
  <si>
    <t>CASH FROM INVESTING ACTIVITIES</t>
  </si>
  <si>
    <t>Capital expenditures</t>
  </si>
  <si>
    <t>Research services</t>
  </si>
  <si>
    <t>Prepaid expenses</t>
  </si>
  <si>
    <t>NET CASH FROM INVESTING</t>
  </si>
  <si>
    <t>CASH FROM FINANCING ACTIVITIES</t>
  </si>
  <si>
    <t>Proceeds from equity financing</t>
  </si>
  <si>
    <t>Licensing / collaborations</t>
  </si>
  <si>
    <t>Proceeds from venture debt</t>
  </si>
  <si>
    <t>TOTAL NET REVENUE</t>
  </si>
  <si>
    <t>Property, plant and equipment (net)</t>
  </si>
  <si>
    <t>Debt principal repayments</t>
  </si>
  <si>
    <t>COST OF REVENUE</t>
  </si>
  <si>
    <t>THX-101 manufacturing, royalty &amp; distribution</t>
  </si>
  <si>
    <t>NET CASH FROM FINANCING</t>
  </si>
  <si>
    <t>CASH RECONCILIATION</t>
  </si>
  <si>
    <t>NET CHANGE IN CASH</t>
  </si>
  <si>
    <t>TOTAL CURRENT ASSETS</t>
  </si>
  <si>
    <t>Beginning cash and equivalents</t>
  </si>
  <si>
    <t>TOTAL ASSETS</t>
  </si>
  <si>
    <t>ENDING CASH AND EQUIVALENTS</t>
  </si>
  <si>
    <t>Balance sheet ending cash (check)</t>
  </si>
  <si>
    <t>LIABILITIES</t>
  </si>
  <si>
    <t>Accounts payable</t>
  </si>
  <si>
    <t>Cash roll-forward difference (must = 0)</t>
  </si>
  <si>
    <t>THX-202 manufacturing &amp; distribution</t>
  </si>
  <si>
    <t>Accrued operating expenses</t>
  </si>
  <si>
    <t>Research service delivery</t>
  </si>
  <si>
    <t>Deferred contract revenue</t>
  </si>
  <si>
    <t>Licensing delivery</t>
  </si>
  <si>
    <t>Current portion of debt</t>
  </si>
  <si>
    <t>WORKFORCE &amp; PERSONNEL EXPENSES</t>
  </si>
  <si>
    <r>
      <rPr/>
      <t xml:space="preserve">EDIT BLUE CELLS for department headcount, compensation, benefits and annual hiring rates.                                                                                                                        
Research, factory, service, marketing and corporate payroll is included once in each owning cost schedule. Legacy expense percentage bridges have been retired.                                                                                                                        
Non-payroll department costs are modeled from operational drivers in the lower section of this worksheet.                                                                                                                        
Public reference: </t>
    </r>
    <r>
      <rPr>
        <color rgb="FF1155CC"/>
        <u/>
      </rPr>
      <t>https://www.bls.gov/news.release/ecec.nr0.htm</t>
    </r>
    <r>
      <rPr/>
      <t xml:space="preserve">                                                                                                                        </t>
    </r>
  </si>
  <si>
    <t>GLOBAL PAYROLL ASSUMPTIONS</t>
  </si>
  <si>
    <t>Employer benefits, taxes and compensation load</t>
  </si>
  <si>
    <t>Annual average salary increase</t>
  </si>
  <si>
    <t>2026 modeled employees (FTE)</t>
  </si>
  <si>
    <t>2026 loaded annual payroll ($)</t>
  </si>
  <si>
    <t>2032 employees (FTE)</t>
  </si>
  <si>
    <t>2032 loaded annual payroll ($)</t>
  </si>
  <si>
    <t>Business function / role group</t>
  </si>
  <si>
    <t>P&amp;L allocation</t>
  </si>
  <si>
    <t>2026 FTE</t>
  </si>
  <si>
    <t>2026 salary ($)</t>
  </si>
  <si>
    <t>Loaded annual cost / FTE ($)</t>
  </si>
  <si>
    <t>Operating model</t>
  </si>
  <si>
    <t>2026 modeled payroll ($)</t>
  </si>
  <si>
    <t>2027 growth</t>
  </si>
  <si>
    <t>2028 growth</t>
  </si>
  <si>
    <t>2029 growth</t>
  </si>
  <si>
    <t>2030 growth</t>
  </si>
  <si>
    <t>2031 growth</t>
  </si>
  <si>
    <t>2032 growth</t>
  </si>
  <si>
    <t>2032 FTE</t>
  </si>
  <si>
    <t>2032 payroll ($)</t>
  </si>
  <si>
    <t>Illustrative market reference</t>
  </si>
  <si>
    <t>THX-101 manufacturing &amp; supply</t>
  </si>
  <si>
    <t>THX-101 COGS</t>
  </si>
  <si>
    <t>In-house production</t>
  </si>
  <si>
    <t>TOTAL COST OF REVENUE</t>
  </si>
  <si>
    <t>https://www.bls.gov/news.release/ocwage.t01.htm</t>
  </si>
  <si>
    <t>Quality &amp; regulatory (THX-101)</t>
  </si>
  <si>
    <t>TOTAL CURRENT LIABILITIES</t>
  </si>
  <si>
    <t>In-house QA / compliance</t>
  </si>
  <si>
    <t>GROSS PROFIT</t>
  </si>
  <si>
    <t>THX-202 clinical operations</t>
  </si>
  <si>
    <t>THX-202 R&amp;D</t>
  </si>
  <si>
    <t>In-house clinical</t>
  </si>
  <si>
    <t>Long-term venture debt</t>
  </si>
  <si>
    <t>https://www.bls.gov/ooh/life-physical-and-social-science/medical-scientists.htm</t>
  </si>
  <si>
    <t>Gross margin %</t>
  </si>
  <si>
    <t>THX-202 translational science</t>
  </si>
  <si>
    <t>TOTAL LIABILITIES</t>
  </si>
  <si>
    <t>In-house translational</t>
  </si>
  <si>
    <t>THX-303 discovery science</t>
  </si>
  <si>
    <t>THX-303 R&amp;D</t>
  </si>
  <si>
    <t>In-house discovery</t>
  </si>
  <si>
    <t>STOCKHOLDERS EQUITY</t>
  </si>
  <si>
    <t>Additional paid-in capital</t>
  </si>
  <si>
    <t>Research services delivery</t>
  </si>
  <si>
    <t>Research COGS</t>
  </si>
  <si>
    <t>OPERATING EXPENSES</t>
  </si>
  <si>
    <t>Institutional services</t>
  </si>
  <si>
    <t>Research &amp; development</t>
  </si>
  <si>
    <t>Sales, market access &amp; marketing</t>
  </si>
  <si>
    <t>Sales &amp; marketing</t>
  </si>
  <si>
    <t>In-house commercial</t>
  </si>
  <si>
    <t>Finance, HR, IT, legal &amp; admin</t>
  </si>
  <si>
    <t>General &amp; admin</t>
  </si>
  <si>
    <t>Shared corporate</t>
  </si>
  <si>
    <t>YEAR-END EMPLOYEE COUNTS | FTE</t>
  </si>
  <si>
    <t>Business function</t>
  </si>
  <si>
    <t>Accumulated deficit / retained earnings</t>
  </si>
  <si>
    <t>TOTAL WORKFORCE (FTE)</t>
  </si>
  <si>
    <t>TOTAL STOCKHOLDERS EQUITY</t>
  </si>
  <si>
    <t>ANNUAL LOADED LABOR COSTS ($)</t>
  </si>
  <si>
    <t>TOTAL LIABILITIES AND EQUITY</t>
  </si>
  <si>
    <t>Balance sheet difference (must = 0)</t>
  </si>
  <si>
    <t>Sales and marketing</t>
  </si>
  <si>
    <t>Total debt (for interest calculation)</t>
  </si>
  <si>
    <t>General and administration</t>
  </si>
  <si>
    <t>TOTAL ANNUAL LOADED PAYROLL ($)</t>
  </si>
  <si>
    <t>MONTHLY HEADCOUNT, PAYROLL AND INCREMENTAL P&amp;L ALLOCATION | Jan 2026–Dec 2032</t>
  </si>
  <si>
    <t>Mfg FTE</t>
  </si>
  <si>
    <t>QA FTE</t>
  </si>
  <si>
    <t>Clinical FTE</t>
  </si>
  <si>
    <t>THX-202 scientist FTE</t>
  </si>
  <si>
    <t>THX-303 FTE</t>
  </si>
  <si>
    <t>Services FTE</t>
  </si>
  <si>
    <t>Commercial FTE</t>
  </si>
  <si>
    <t>Corporate FTE</t>
  </si>
  <si>
    <t>Manufacturing payroll</t>
  </si>
  <si>
    <t>QA payroll</t>
  </si>
  <si>
    <t>Clinical payroll</t>
  </si>
  <si>
    <t>THX-202 scientist payroll</t>
  </si>
  <si>
    <t>THX-303 payroll</t>
  </si>
  <si>
    <t>Services payroll</t>
  </si>
  <si>
    <t>Commercial payroll</t>
  </si>
  <si>
    <t>Corporate payroll</t>
  </si>
  <si>
    <t>Total loaded payroll</t>
  </si>
  <si>
    <t>THX-101 COGS payroll</t>
  </si>
  <si>
    <t>THX-202 R&amp;D payroll</t>
  </si>
  <si>
    <t>THX-303 R&amp;D payroll</t>
  </si>
  <si>
    <t>Research COGS payroll</t>
  </si>
  <si>
    <t>Sales &amp; marketing payroll</t>
  </si>
  <si>
    <t>Noncash stock compensation</t>
  </si>
  <si>
    <t>Depreciation and amortization</t>
  </si>
  <si>
    <t>MANUFACTURING &amp; PRODUCTION COSTS</t>
  </si>
  <si>
    <t>THX-101 unit demand comes from Revenue &amp; Demand; manufacturing costs use one shared monthly volume forecast.
THX-101 manufacturing labor comes only from Workforce &amp; Expenses.
THX-101 pays an 8% revenue royalty under a hypothetical license from an unrelated fictional developer; no real GLP-1 patent license is assumed.
THX-202 production uses Revenue &amp; Demand patient-months and is zero before the modeled regulatory launch.
THX-202 output is zero before regulatory launch; outsourcing does not imply approval.
All supplier prices and yields are hypothetical planning values, not verified quotes.</t>
  </si>
  <si>
    <t>THX-101 • PER-FILL NONLABOR INPUTS</t>
  </si>
  <si>
    <t>THX-202 • OUTSOURCED COMMERCIAL SUPPLY</t>
  </si>
  <si>
    <t>Active pharmaceutical ingredient / fill ($)</t>
  </si>
  <si>
    <t>CMO API + finished dosage / patient-month ($)</t>
  </si>
  <si>
    <t>Fill, finish, labeling &amp; packaging / fill ($)</t>
  </si>
  <si>
    <t>Cold-chain fulfillment / patient-month ($)</t>
  </si>
  <si>
    <t>TOTAL OPERATING EXPENSES</t>
  </si>
  <si>
    <t>Temperature-controlled distribution / fill ($)</t>
  </si>
  <si>
    <t>Release / compliance testing / patient-month ($)</t>
  </si>
  <si>
    <t>Quality testing / fill ($)</t>
  </si>
  <si>
    <t>Rejected-yield &amp; spoilage allowance</t>
  </si>
  <si>
    <t>Rejected-batch &amp; wastage factor</t>
  </si>
  <si>
    <t>Fixed CMO / distributor support per active month ($)</t>
  </si>
  <si>
    <t>Equipment/plant operations / month ($)</t>
  </si>
  <si>
    <t>Annual contract manufacturing inflation</t>
  </si>
  <si>
    <t>Fictional THX-101 partner royalty / net sales</t>
  </si>
  <si>
    <t>Annual nonlabor input price inflation</t>
  </si>
  <si>
    <t>ANNUAL COMMERCIAL PRODUCTION COST SUMMARY ($)</t>
  </si>
  <si>
    <t>THX-101 manufacturing</t>
  </si>
  <si>
    <t>THX-101 royalty</t>
  </si>
  <si>
    <t>THX-202 CMO</t>
  </si>
  <si>
    <t>All product COGS</t>
  </si>
  <si>
    <t>THX-101 fills</t>
  </si>
  <si>
    <t>THX-202 patient-months</t>
  </si>
  <si>
    <t>OPERATING INCOME / (LOSS)</t>
  </si>
  <si>
    <t>Operating margin %</t>
  </si>
  <si>
    <t>OTHER ITEMS</t>
  </si>
  <si>
    <t>Interest expense (venture debt)</t>
  </si>
  <si>
    <t>PRODUCTION BUDGET JAN–SEP 2026 + ACTIVE FORECAST OCT–DEC 2026 THROUGH 2032</t>
  </si>
  <si>
    <t>THX-101 API ($)</t>
  </si>
  <si>
    <t>Fill/finish/packaging ($)</t>
  </si>
  <si>
    <t>Shipping ($)</t>
  </si>
  <si>
    <t>QC and testing ($)</t>
  </si>
  <si>
    <t>Waste / yield loss ($)</t>
  </si>
  <si>
    <t>Plant overhead, non-payroll ($)</t>
  </si>
  <si>
    <t>Manufacturing + QA payroll ($)</t>
  </si>
  <si>
    <t>THX-101 production expense ($)</t>
  </si>
  <si>
    <t>THX-101 licensing royalty ($)</t>
  </si>
  <si>
    <t>THX-101 full COGS ($)</t>
  </si>
  <si>
    <t>THX-202 outsourced CMO ($)</t>
  </si>
  <si>
    <t>THX-202 cold-chain freight ($)</t>
  </si>
  <si>
    <t>THX-202 quality testing ($)</t>
  </si>
  <si>
    <t>THX-202 yield loss ($)</t>
  </si>
  <si>
    <t>THX-202 fixed contractor fee ($)</t>
  </si>
  <si>
    <t>THX-202 COGS ($)</t>
  </si>
  <si>
    <t>Total product COGS ($)</t>
  </si>
  <si>
    <t>Check ($)</t>
  </si>
  <si>
    <t>INCOME / (LOSS) BEFORE TAX</t>
  </si>
  <si>
    <t>Income taxes</t>
  </si>
  <si>
    <t>NET INCOME / (LOSS)</t>
  </si>
  <si>
    <t>Net margin %</t>
  </si>
  <si>
    <t>R&amp;D / total revenue</t>
  </si>
  <si>
    <t>CLINICAL TRIALS &amp; R&amp;D OPERATING COSTS</t>
  </si>
  <si>
    <t>Operational input model • 2026–2032 forecasts • nonpayroll trial activity + linked research staff compensation</t>
  </si>
  <si>
    <t>THX-202 • CLINICAL &amp; POSTAPPROVAL ASSUMPTIONS</t>
  </si>
  <si>
    <t>THX-303 • BONE DISCOVERY RESEARCH ASSUMPTIONS</t>
  </si>
  <si>
    <t>Trial participants, 2026</t>
  </si>
  <si>
    <t>Discovery experiments / month, 2026</t>
  </si>
  <si>
    <t>Clinical trial sites, 2026</t>
  </si>
  <si>
    <t>Outside services / experiment ($)</t>
  </si>
  <si>
    <t>Monthly spend per trial participant ($)</t>
  </si>
  <si>
    <t>Partner laboratory / month ($)</t>
  </si>
  <si>
    <t>Site costs per trial site-month ($)</t>
  </si>
  <si>
    <t>Preclinical safety studies / month ($)</t>
  </si>
  <si>
    <t>Clinical research organization / month ($)</t>
  </si>
  <si>
    <t>Contract research / month ($)</t>
  </si>
  <si>
    <t>Lab / analytical services / month ($)</t>
  </si>
  <si>
    <t>Quality &amp; regulatory research / month ($)</t>
  </si>
  <si>
    <t>Regulatory / submissions / month ($)</t>
  </si>
  <si>
    <t>Research materials / month ($)</t>
  </si>
  <si>
    <t>Clinical treatment materials / month ($)</t>
  </si>
  <si>
    <t>Annual experiment count growth</t>
  </si>
  <si>
    <t>Safety-study participants after approval</t>
  </si>
  <si>
    <t>Annual contractor cost inflation</t>
  </si>
  <si>
    <t>Postapproval monitoring sites</t>
  </si>
  <si>
    <t>Postapproval CRO / month ($)</t>
  </si>
  <si>
    <t>Postapproval lab tests / month ($)</t>
  </si>
  <si>
    <t>Postapproval regulatory work / month ($)</t>
  </si>
  <si>
    <t>Postapproval materials / month ($)</t>
  </si>
  <si>
    <t>Annual preapproval patient growth</t>
  </si>
  <si>
    <t>Annual preapproval site growth</t>
  </si>
  <si>
    <t>Annual external-cost inflation</t>
  </si>
  <si>
    <t>Postapproval cost per monitored patient ($)</t>
  </si>
  <si>
    <t>Postapproval site cost / month ($)</t>
  </si>
  <si>
    <t>ANNUAL PROGRAM SUMMARY ($) • SOURCE OF MONTHLY R&amp;D EXPENSE</t>
  </si>
  <si>
    <t>Total R&amp;D</t>
  </si>
  <si>
    <t>202 payroll</t>
  </si>
  <si>
    <t>303 payroll</t>
  </si>
  <si>
    <t>CLINICAL BUDGET JAN–SEP 2026 + ACTIVE FORECAST OCT–DEC 2026 THROUGH 2032</t>
  </si>
  <si>
    <t>THX-202 stage</t>
  </si>
  <si>
    <t>Trial participants / monitored</t>
  </si>
  <si>
    <t>Trial sites / monitoring sites</t>
  </si>
  <si>
    <t>Participant / monitoring ($)</t>
  </si>
  <si>
    <t>Site fees ($)</t>
  </si>
  <si>
    <t>CRO external fees ($)</t>
  </si>
  <si>
    <t>Labs / assays ($)</t>
  </si>
  <si>
    <t>Regulatory work ($)</t>
  </si>
  <si>
    <t>Drug / study supplies ($)</t>
  </si>
  <si>
    <t>THX-202 staff payroll ($)</t>
  </si>
  <si>
    <t>THX-202 R&amp;D expense ($)</t>
  </si>
  <si>
    <t>THX-303 experiments</t>
  </si>
  <si>
    <t>Experiments cost ($)</t>
  </si>
  <si>
    <t>Partner laboratory ($)</t>
  </si>
  <si>
    <t>Discovery CRO ($)</t>
  </si>
  <si>
    <t>Quality / regulatory ($)</t>
  </si>
  <si>
    <t>Materials ($)</t>
  </si>
  <si>
    <t>THX-303 staff payroll ($)</t>
  </si>
  <si>
    <t>THX-303 R&amp;D expense ($)</t>
  </si>
  <si>
    <t>Total R&amp;D expense ($)</t>
  </si>
  <si>
    <t>Allocation check ($)</t>
  </si>
  <si>
    <t>Preclinical studies ($) — forecast driver</t>
  </si>
  <si>
    <t>NON-PAYROLL OPERATING COSTS | RESEARCH SERVICES • MARKETING • CORPORATE ADMINISTRATION</t>
  </si>
  <si>
    <t>Combined costs below are payroll from Workforce &amp; Expenses + explicit non-payroll operating activity.</t>
  </si>
  <si>
    <t>Research services: external lab delivery cost / active client-month ($)</t>
  </si>
  <si>
    <t>Research services vendor annual inflation</t>
  </si>
  <si>
    <t>Marketing: monthly campaign and channel budget ($), 2026</t>
  </si>
  <si>
    <t>Marketing: annual campaign spending growth</t>
  </si>
  <si>
    <t>THX-202: marketing acquisition cost / newly added patient ($)</t>
  </si>
  <si>
    <t>G&amp;A: fixed monthly office, legal, software and insurance ($), 2026</t>
  </si>
  <si>
    <t>G&amp;A: fixed overhead annual inflation</t>
  </si>
  <si>
    <t>G&amp;A: support and SaaS cost / employee-month ($)</t>
  </si>
  <si>
    <t>G&amp;A: per-employee vendor price annual inflation</t>
  </si>
  <si>
    <t>MODELING RULE: S&amp;M/G&amp;A and research delivery costs originate here; no percentage-of-revenue payroll bridge remains.</t>
  </si>
  <si>
    <t>Labor uses the existing eight workforce functions. THX-202 production and R&amp;D costs remain on their own schedules.</t>
  </si>
  <si>
    <t>MONTHLY OPERATING BUDGET JAN–SEP 2026 + ACTIVE FORECAST OCT–DEC 2026 THROUGH 2032</t>
  </si>
  <si>
    <t>Research clients</t>
  </si>
  <si>
    <t>Research external delivery ($)</t>
  </si>
  <si>
    <t>Research services payroll ($)</t>
  </si>
  <si>
    <t>Research services COGS ($)</t>
  </si>
  <si>
    <t>Commercial payroll ($)</t>
  </si>
  <si>
    <t>Campaign / channel costs ($)</t>
  </si>
  <si>
    <t>New THX-202 patients</t>
  </si>
  <si>
    <t>Patient marketing acquisition ($)</t>
  </si>
  <si>
    <t>Sales &amp; marketing expense ($)</t>
  </si>
  <si>
    <t>Corporate payroll ($)</t>
  </si>
  <si>
    <t>Corporate fixed overhead ($)</t>
  </si>
  <si>
    <t>Company headcount (FTE)</t>
  </si>
  <si>
    <t>Per-employee corporate costs ($)</t>
  </si>
  <si>
    <t>ASSUMPTION RATIONALE • UNIT ECONOMICS</t>
  </si>
  <si>
    <t>THX-101: prescription fills × per-fill supplies, packaging, shipping and tests, plus production staff and plant nonpayroll overhead; royalties are a percent of net sales.</t>
  </si>
  <si>
    <t>THX-202: patient-months × external CMO, shipment and testing costs, with yield loss and active-month fixed fee. THX-202 manufacturing payroll is not separately charged.</t>
  </si>
  <si>
    <t>Synthetic supplier prices are adjustable planning assumptions, not real vendor quotes. Regulatory reference: https://www.fda.gov/drugs/pharmaceutical-quality-resources</t>
  </si>
  <si>
    <t>HISTORICAL MANUFACTURING &amp; PRODUCTION | 2018–2025</t>
  </si>
  <si>
    <t>Production expense separated into estimated payroll and operating inputs.</t>
  </si>
  <si>
    <t>Manufacturing expense budget ($)</t>
  </si>
  <si>
    <t>Plant payroll ($)</t>
  </si>
  <si>
    <t>Other manufacturing ($)</t>
  </si>
  <si>
    <t>Manufacturing output ($)</t>
  </si>
  <si>
    <t>Royalty rate</t>
  </si>
  <si>
    <t>Royalty true-up ($)</t>
  </si>
  <si>
    <t>Royalty output ($)</t>
  </si>
  <si>
    <t>THX-202 delivery ($)</t>
  </si>
  <si>
    <t>Total product cost ($)</t>
  </si>
  <si>
    <t>Implied cost per fill ($)</t>
  </si>
  <si>
    <t>HISTORICAL WORKFORCE &amp; OPERATING EXPENSES | 2018–2025</t>
  </si>
  <si>
    <t>HISTORICAL WORKFORCE | 2018–2025 • inferred monthly headcount, compensation and departmental cost allocations</t>
  </si>
  <si>
    <t>Year-end headcount (FTE)</t>
  </si>
  <si>
    <t>Base salary / employee</t>
  </si>
  <si>
    <t>Benefits and employer taxes</t>
  </si>
  <si>
    <t>INTEGRATED MONTHLY WORKFORCE &amp; EXPENSES</t>
  </si>
  <si>
    <t>Headcount (FTE)</t>
  </si>
  <si>
    <t>Annual base salary / FTE</t>
  </si>
  <si>
    <t>Research delivery payroll</t>
  </si>
  <si>
    <t>THX-202 research payroll</t>
  </si>
  <si>
    <t>THX-303 research payroll</t>
  </si>
  <si>
    <t>Research delivery cost</t>
  </si>
  <si>
    <t>Research delivery nonpayroll</t>
  </si>
  <si>
    <t>Research delivery total</t>
  </si>
  <si>
    <t>Marketing expense</t>
  </si>
  <si>
    <t>Marketing nonpayroll</t>
  </si>
  <si>
    <t>Marketing total</t>
  </si>
  <si>
    <t>G&amp;A expense</t>
  </si>
  <si>
    <t>G&amp;A nonpayroll</t>
  </si>
  <si>
    <t>G&amp;A total</t>
  </si>
  <si>
    <t>Payroll check (0)</t>
  </si>
  <si>
    <t>Manufacturing cost</t>
  </si>
  <si>
    <t>Licensing delivery expense</t>
  </si>
  <si>
    <t>Stock compensation</t>
  </si>
  <si>
    <t>Historical fills</t>
  </si>
  <si>
    <t>Projected fills</t>
  </si>
  <si>
    <t>INTEGRATED MONTHLY MANUFACTURING &amp; PRODUCTION</t>
  </si>
  <si>
    <t>Manufacturing expense</t>
  </si>
  <si>
    <t>Production payroll</t>
  </si>
  <si>
    <t>Manufacturing nonpayroll</t>
  </si>
  <si>
    <t>Manufacturing cost derived</t>
  </si>
  <si>
    <t>THX-101 royalties</t>
  </si>
  <si>
    <t>THX-101 total COGS</t>
  </si>
  <si>
    <t>THX-202 delivery COGS</t>
  </si>
  <si>
    <t>Collaboration delivery COGS</t>
  </si>
  <si>
    <t>Production check (0)</t>
  </si>
  <si>
    <t>ASSUMPTION RATIONALE • PHASE / ACTIVITY DRIVERS</t>
  </si>
  <si>
    <t>Synthetic preapproval volume reflects active study participants and clinical sites. Fee rates apply to each participant/site-month; fixed CRO and lab costs continue while trials are active.</t>
  </si>
  <si>
    <t>THX-202 switches to lower postapproval monitoring costs only in an assumed approval-and-launch scenario. No launch leaves trials and associated expenses active.</t>
  </si>
  <si>
    <t>THX-303 costs come from discovery experiments, outsourced lab studies, preclinical safety work and its research payroll. There is no THX-303 revenue through 2029.</t>
  </si>
  <si>
    <t>Not estimates from a real trial budget. Context sources: https://clinicaltrials.gov/ ; https://www.fda.gov/drugs/development-approval-process-drugs</t>
  </si>
  <si>
    <t>HISTORICAL CLINICAL TRIALS &amp; R&amp;D | 2018–2025</t>
  </si>
  <si>
    <t>Historical research program budgets separated into inferred scientific payroll and external trial/laboratory costs.</t>
  </si>
  <si>
    <t>THX-202 budget ($)</t>
  </si>
  <si>
    <t>THX-202 payroll ($)</t>
  </si>
  <si>
    <t>THX-202 external ($)</t>
  </si>
  <si>
    <t>THX-202 R&amp;D output ($)</t>
  </si>
  <si>
    <t>THX-303 budget ($)</t>
  </si>
  <si>
    <t>THX-303 payroll ($)</t>
  </si>
  <si>
    <t>THX-303 external ($)</t>
  </si>
  <si>
    <t>THX-303 R&amp;D output ($)</t>
  </si>
  <si>
    <t>Total R&amp;D ($)</t>
  </si>
  <si>
    <t>Stage</t>
  </si>
  <si>
    <t>Early research</t>
  </si>
  <si>
    <t>Clinical development</t>
  </si>
  <si>
    <t>Clinical expansion</t>
  </si>
  <si>
    <t>INTEGRATED MONTHLY CLINICAL TRIALS &amp; R&amp;D</t>
  </si>
  <si>
    <t>THX-202 R&amp;D total</t>
  </si>
  <si>
    <t>THX-303 R&amp;D total</t>
  </si>
  <si>
    <t>THX-202 nonpayroll</t>
  </si>
  <si>
    <t>THX-202 R&amp;D derived</t>
  </si>
  <si>
    <t>THX-303 nonpayroll</t>
  </si>
  <si>
    <t>THX-303 R&amp;D derived</t>
  </si>
  <si>
    <t>Research check (0)</t>
  </si>
  <si>
    <t>THX-202 sites / participants</t>
  </si>
  <si>
    <t>THX-202 CROs</t>
  </si>
  <si>
    <t>THX-202 labs / other</t>
  </si>
  <si>
    <t>THX-303 discovery labs</t>
  </si>
  <si>
    <t>THX-303 other</t>
  </si>
  <si>
    <t>REVENUE &amp; DEMAND</t>
  </si>
  <si>
    <t xml:space="preserve">Research services monthly revenue follows client volume using historic price per client                        
THX-101 pricing starts from Dec 2025 net realized revenue per prescription                        
Hybrid pricing uses a 70% insured / 30% cash-pay mix by default                        
Patient growth is a hypothetical optimistic planning assumption, not approval probability                        </t>
  </si>
  <si>
    <t>THX-202 • CONDITIONAL COMMERCIAL LAUNCH</t>
  </si>
  <si>
    <t>ANNUAL PRODUCT AND RESEARCH REVENUE ASSUMPTIONS</t>
  </si>
  <si>
    <t>Launch outcome</t>
  </si>
  <si>
    <t>Assumed approval + launch</t>
  </si>
  <si>
    <t>Business driver</t>
  </si>
  <si>
    <t>First commercial sale (date)</t>
  </si>
  <si>
    <t>THX-101 fills • annual change</t>
  </si>
  <si>
    <t>Active patients at launch</t>
  </si>
  <si>
    <t>Additional research clients vs prior-year month</t>
  </si>
  <si>
    <t>Initial Monthly active patient growth</t>
  </si>
  <si>
    <t>THX-101 realized price / fill growth</t>
  </si>
  <si>
    <t>Insured share of patients</t>
  </si>
  <si>
    <t>Annual collaboration/license renewal uplift</t>
  </si>
  <si>
    <t>Insured net revenue / patient-month ($)</t>
  </si>
  <si>
    <t>THX-202 monthly patient growth</t>
  </si>
  <si>
    <t>Cash-pay net revenue / patient-month ($)</t>
  </si>
  <si>
    <t>Blended net revenue per patient-month ($)</t>
  </si>
  <si>
    <t>ANNUAL REVENUE SUMMARY ($) • DERIVED FROM MONTHLY RECORDS</t>
  </si>
  <si>
    <t>THX-101</t>
  </si>
  <si>
    <t>Licensing</t>
  </si>
  <si>
    <t>THX-202</t>
  </si>
  <si>
    <t>Total revenue</t>
  </si>
  <si>
    <t>Dec active patients</t>
  </si>
  <si>
    <t>2026 BUDGET BASELINE (JAN–SEP) + LIVE FORECAST (OCT–DEC 2026, 2027–2032)</t>
  </si>
  <si>
    <t>Net THX-101 price per fill ($)</t>
  </si>
  <si>
    <t>THX-101 revenue ($)</t>
  </si>
  <si>
    <t>THX-202 patients</t>
  </si>
  <si>
    <t>Net revenue / patient-month ($)</t>
  </si>
  <si>
    <t>THX-202 revenue ($)</t>
  </si>
  <si>
    <t>Total commercial and contract revenue ($)</t>
  </si>
  <si>
    <t>Revenue reconciliation check ($)</t>
  </si>
  <si>
    <t>FUNDING &amp; CAPITALIZATION</t>
  </si>
  <si>
    <t>Financing history and 2026–2032 funding scenarios</t>
  </si>
  <si>
    <t>2026–2032 FUNDING SCENARIOS</t>
  </si>
  <si>
    <t>PUBLIC FUNDING / IPO SCENARIO</t>
  </si>
  <si>
    <t>2026 Series D closed ($)</t>
  </si>
  <si>
    <t/>
  </si>
  <si>
    <t>Base funding ($)</t>
  </si>
  <si>
    <t>Funding path</t>
  </si>
  <si>
    <t>Private funding</t>
  </si>
  <si>
    <t>Reference funding ($)</t>
  </si>
  <si>
    <t>IPO 2028 gross ($)</t>
  </si>
  <si>
    <t>Funding Δ → CapEx</t>
  </si>
  <si>
    <t>Input vs. baseline ($)</t>
  </si>
  <si>
    <t>IPO 2029 gross ($)</t>
  </si>
  <si>
    <t>Projected liquidity</t>
  </si>
  <si>
    <t>Year-end cash ($)</t>
  </si>
  <si>
    <t>Issuance costs</t>
  </si>
  <si>
    <t>2026 Series D is closed and fixed in actuals. Funding scenario controls apply prospectively; the rest of the 2026 forecast remains editable through operating schedules.</t>
  </si>
  <si>
    <t>IPO close month</t>
  </si>
  <si>
    <t>Debt principal repaid ($)</t>
  </si>
  <si>
    <t>Net IPO proceeds</t>
  </si>
  <si>
    <t>Applied net funding ($)</t>
  </si>
  <si>
    <t>2028 ending cash</t>
  </si>
  <si>
    <t>Modeled funding type</t>
  </si>
  <si>
    <t>2029 ending cash</t>
  </si>
  <si>
    <t>EQUITY FUNDING HISTORY &amp; OFFERING SCENARIOS</t>
  </si>
  <si>
    <t>Minimum forecast cash</t>
  </si>
  <si>
    <t>Liquidity warning</t>
  </si>
  <si>
    <t>Round</t>
  </si>
  <si>
    <t>Net equity proceeds ($)</t>
  </si>
  <si>
    <t>Status</t>
  </si>
  <si>
    <t>2032 ending cash</t>
  </si>
  <si>
    <t>Seed</t>
  </si>
  <si>
    <t>Closed / Received</t>
  </si>
  <si>
    <t>Series A</t>
  </si>
  <si>
    <t>2032 model coverage</t>
  </si>
  <si>
    <t>Series B</t>
  </si>
  <si>
    <t>Monthly dataset rows</t>
  </si>
  <si>
    <t>Series C</t>
  </si>
  <si>
    <t>Last modeled month</t>
  </si>
  <si>
    <t>Series D</t>
  </si>
  <si>
    <t>Historical input reconciliation</t>
  </si>
  <si>
    <t>Series E</t>
  </si>
  <si>
    <t>Scenario-controlled</t>
  </si>
  <si>
    <t>Historical cash reconciliation</t>
  </si>
  <si>
    <t>Three-statement integration</t>
  </si>
  <si>
    <t>2026 cutoff: 9 actual months / 3 forecast months</t>
  </si>
  <si>
    <t>No financing</t>
  </si>
  <si>
    <t>No raise planned</t>
  </si>
  <si>
    <t>FY2026 ACTUAL + FORECAST BRIDGE | nine completed months + three projected months</t>
  </si>
  <si>
    <t>Metric</t>
  </si>
  <si>
    <t>Jan–Sep 2026 actual</t>
  </si>
  <si>
    <t>Oct–Dec 2026 forecast</t>
  </si>
  <si>
    <t>FY 2026E</t>
  </si>
  <si>
    <t>Total equity funding</t>
  </si>
  <si>
    <t>Revenue</t>
  </si>
  <si>
    <t>Cost of revenue</t>
  </si>
  <si>
    <t>ILLUSTRATIVE OWNERSHIP — DILUTION NOT MODELED</t>
  </si>
  <si>
    <t>General &amp; administration</t>
  </si>
  <si>
    <t>Owner class</t>
  </si>
  <si>
    <t>Fully diluted shares</t>
  </si>
  <si>
    <t>Ownership fraction</t>
  </si>
  <si>
    <t>Stock compensation + depreciation</t>
  </si>
  <si>
    <t>Founders</t>
  </si>
  <si>
    <t>Operating profit/(loss)</t>
  </si>
  <si>
    <t>VC investors</t>
  </si>
  <si>
    <t>Net income/(loss)</t>
  </si>
  <si>
    <t>Employee stock options / awards</t>
  </si>
  <si>
    <t>Equity financing</t>
  </si>
  <si>
    <t>Strategic investors</t>
  </si>
  <si>
    <t>Ending cash</t>
  </si>
  <si>
    <t>TOTAL FULLY DILUTED SHARES</t>
  </si>
  <si>
    <t>Months</t>
  </si>
  <si>
    <t>YTD cutoff</t>
  </si>
  <si>
    <t>Sep 30, 2026</t>
  </si>
  <si>
    <t>WORKFORCE &amp; PAYROLL PLANNING</t>
  </si>
  <si>
    <t>Actual months</t>
  </si>
  <si>
    <t>2026 headcount (FTE)</t>
  </si>
  <si>
    <t>Remaining forecast months</t>
  </si>
  <si>
    <t>2032 headcount (FTE)</t>
  </si>
  <si>
    <t>2026 actual/forecast split</t>
  </si>
  <si>
    <t>2026 loaded payroll ($)</t>
  </si>
  <si>
    <t>Source note: 2026 YTD values are constructed synthetic actuals, not verified real-company accounting records.</t>
  </si>
  <si>
    <t>2032 loaded payroll ($)</t>
  </si>
  <si>
    <t>Edit headcount, salaries, benefits and hiring rates in Workforce &amp; Expenses</t>
  </si>
  <si>
    <t>Manufacturing and R&amp;D payroll feeds operating schedules; service, marketing and G&amp;A use the payroll bridge.</t>
  </si>
  <si>
    <t>HISTORICAL FINANCING &amp; VENTURE DEBT | 2018–2025</t>
  </si>
  <si>
    <t>Financing event dates, equity and debt cash flows, interest expense and current debt classification.</t>
  </si>
  <si>
    <t>Financing event</t>
  </si>
  <si>
    <t>Equity raised ($)</t>
  </si>
  <si>
    <t>New debt ($)</t>
  </si>
  <si>
    <t>Principal repaid ($)</t>
  </si>
  <si>
    <t>Interest expense ($)</t>
  </si>
  <si>
    <t>Current debt ($)</t>
  </si>
  <si>
    <t>Total debt rollforward ($)</t>
  </si>
  <si>
    <t>HISTORICAL FINANCING &amp; ASSET DRIVERS</t>
  </si>
  <si>
    <t>Equity proceeds</t>
  </si>
  <si>
    <t>New debt</t>
  </si>
  <si>
    <t>Debt repayment</t>
  </si>
  <si>
    <t>Capex baseline</t>
  </si>
  <si>
    <t>Depreciation</t>
  </si>
  <si>
    <t>Interest expense</t>
  </si>
  <si>
    <t>Taxes</t>
  </si>
  <si>
    <t>Receivables baseline</t>
  </si>
  <si>
    <t>Inventory baseline</t>
  </si>
  <si>
    <t>Prepaids baseline</t>
  </si>
  <si>
    <t>Payables baseline</t>
  </si>
  <si>
    <t>Accrued expenses baseline</t>
  </si>
  <si>
    <t>Deferred revenue baseline</t>
  </si>
  <si>
    <t>Current debt</t>
  </si>
  <si>
    <t>Debt total • derived</t>
  </si>
  <si>
    <t>Equipment capex</t>
  </si>
  <si>
    <t>Facilities capex</t>
  </si>
  <si>
    <t>Capex total • derived</t>
  </si>
  <si>
    <t>Total debt baseline</t>
  </si>
  <si>
    <t>Debt check (0)</t>
  </si>
  <si>
    <t>DATA OWNERSHIP: all four projected revenue streams originate here; Monthly Data is the monthly accounting ledger.</t>
  </si>
  <si>
    <t>Values and growth rates are synthetic planning assumptions; no real product approval or vendor agreement is implied.</t>
  </si>
  <si>
    <t>THX-101 rights premise: an already-authorized fictional GLP-1 medicine licensed from a fictional developer; TitanHelix manufactures/distributes in the U.S. and pays royalties.</t>
  </si>
  <si>
    <t>All THX-101 agreements, intellectual property, and regulatory authorizations are hypothetical. These assumptions do not describe rights to semaglutide or any branded medicine.</t>
  </si>
  <si>
    <t>HISTORICAL REVENUE &amp; DEMAND | 2018–2025</t>
  </si>
  <si>
    <t>Monthly source inputs and price/seasonality; projected 2026–2032 data remains above.</t>
  </si>
  <si>
    <t>Implied price per fill ($)</t>
  </si>
  <si>
    <t>THX-101 sales ($)</t>
  </si>
  <si>
    <t>Research services ($)</t>
  </si>
  <si>
    <t>Collaboration milestones ($)</t>
  </si>
  <si>
    <t>Total revenue ($)</t>
  </si>
  <si>
    <t>THX-202 sales ($)</t>
  </si>
  <si>
    <t>Research seasonal index</t>
  </si>
  <si>
    <t>Product sales adjustment ($)</t>
  </si>
  <si>
    <t>Revenue check ($)</t>
  </si>
  <si>
    <t>INTEGRATED MONTHLY REVENUE</t>
  </si>
  <si>
    <t>THX-101 price / fill</t>
  </si>
  <si>
    <t>THX-101 sales</t>
  </si>
  <si>
    <t>Research bill / client</t>
  </si>
  <si>
    <t>Research revenue</t>
  </si>
  <si>
    <t>Collaboration receipts</t>
  </si>
  <si>
    <t>Licensing revenue</t>
  </si>
  <si>
    <t>THX-101 reference</t>
  </si>
  <si>
    <t>Research reference</t>
  </si>
  <si>
    <t>Reconciliation (0)</t>
  </si>
  <si>
    <t>Seasonality / YTD variance</t>
  </si>
  <si>
    <t>THX-202 sales</t>
  </si>
  <si>
    <t>2026 plan THX-101 fills</t>
  </si>
  <si>
    <t>2026 plan research clients</t>
  </si>
  <si>
    <t>2026 plan research revenue</t>
  </si>
  <si>
    <t>VENTURE-DEBT MATURITY &amp; RECONCILIATION | 2022-2033</t>
  </si>
  <si>
    <t>Current debt is principal due in the following 12 months, based on dated repayments in Monthly Data; 2033 residual principal is a separate terminal assumption. No hypothetical extensions are needed.</t>
  </si>
  <si>
    <t>Year-end</t>
  </si>
  <si>
    <t>Next-year principal due ($)</t>
  </si>
  <si>
    <t>Classification difference ($)</t>
  </si>
  <si>
    <t>Timing check</t>
  </si>
  <si>
    <t>Total debt ($)</t>
  </si>
  <si>
    <t>Debt rollforward difference ($)</t>
  </si>
  <si>
    <t>Debt-event explanation</t>
  </si>
  <si>
    <t>2022 year-end: no principal due within 2023; $22m remains long-term.</t>
  </si>
  <si>
    <t>2023 year-end: $5m due and repaid during 2024; remaining borrowings are long-term.</t>
  </si>
  <si>
    <t>2024 year-end: no principal repayments scheduled in 2025.</t>
  </si>
  <si>
    <t>2025 year-end: no principal repayments scheduled in 2026.</t>
  </si>
  <si>
    <t>2026 year-end: next year's scheduled principal repayments are classified as current debt.</t>
  </si>
  <si>
    <t>2027 year-end: next year's scheduled principal repayments are classified as current debt.</t>
  </si>
  <si>
    <t>2028 year-end: next year's scheduled principal repayments are classified as current debt.</t>
  </si>
  <si>
    <t>2029 year-end: next year's scheduled principal repayments are classified as current debt.</t>
  </si>
  <si>
    <t>2030 year-end: next year's scheduled principal repayments are classified as current debt.</t>
  </si>
  <si>
    <t>2031 year-end: next year's scheduled principal repayments are classified as current debt.</t>
  </si>
  <si>
    <t>2032 year-end: residual $7m due December 2033 (terminal assumption; outside forecast).</t>
  </si>
  <si>
    <t>Debt timing mismatch count</t>
  </si>
  <si>
    <t>Expected: zero; no assumed maturity extensions</t>
  </si>
  <si>
    <t>Debt current/long-term classification follows actual scheduled principal outflows; debt balances still reconcile.</t>
  </si>
  <si>
    <t>2033 scheduled residual principal repayment ($)</t>
  </si>
  <si>
    <t>WORKING CAPITAL &amp; ASSETS</t>
  </si>
  <si>
    <t>Historical noncash, investing and balance-sheet drivers. Future working capital remains calculated from operating activity and prior-year balances in Monthly Data.</t>
  </si>
  <si>
    <t>Depreciation ($)</t>
  </si>
  <si>
    <t>Income taxes ($)</t>
  </si>
  <si>
    <t>Capital expenditures ($)</t>
  </si>
  <si>
    <t>Accounts receivable ($)</t>
  </si>
  <si>
    <t>Inventory ($)</t>
  </si>
  <si>
    <t>Prepaid expenses ($)</t>
  </si>
  <si>
    <t>Accounts payable ($)</t>
  </si>
  <si>
    <t>Accrued expenses ($)</t>
  </si>
  <si>
    <t>Deferred revenue ($)</t>
  </si>
  <si>
    <t>HISTORICAL AUDIT | ORIGINAL FINANCIAL RECORDS 2018–2025</t>
  </si>
  <si>
    <t>Values preserved from the live workbook before historical schedules were reconnected; checks must remain zero.</t>
  </si>
  <si>
    <t>2026 YTD SYNTHETIC ACTUALS | realized depreciation, capital spending and working capital</t>
  </si>
  <si>
    <t>Accrued expenses</t>
  </si>
  <si>
    <t>Deferred revenue</t>
  </si>
  <si>
    <t>ARCHIVED 2018–2025 BASELINE • reconciliation only; operating schedules now source Monthly Data</t>
  </si>
  <si>
    <t>HISTORICAL RECONCILIATION | MONTHLY ABSOLUTE DIFFERENCES</t>
  </si>
  <si>
    <t>HISTORICAL CONTROL</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</si>
</sst>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0.0;[Red](#,##0.0);&quot;-&quot;"/>
    <numFmt numFmtId="165" formatCode="yyyy-mm-dd"/>
    <numFmt numFmtId="166" formatCode="$#,##0;[Red]($#,##0);$0"/>
    <numFmt numFmtId="167" formatCode="#,##0;[Red](#,##0);0"/>
    <numFmt numFmtId="168" formatCode="0.0%"/>
    <numFmt numFmtId="169" formatCode="#,##0;[Red](#,##0);-"/>
    <numFmt numFmtId="170" formatCode="0.0%;[Red](0.0%);0.0%"/>
    <numFmt numFmtId="171" formatCode="mmm yyyy"/>
    <numFmt numFmtId="172" formatCode="&quot;$&quot;#,##0;(&quot;$&quot;#,##0)"/>
    <numFmt numFmtId="173" formatCode="mmm d, yyyy"/>
    <numFmt numFmtId="174" formatCode="&quot;$&quot;#,##0.00;(&quot;$&quot;#,##0.00)"/>
    <numFmt numFmtId="175" formatCode="$#,##0;($#,##0)"/>
  </numFmts>
  <fonts count="35">
    <font>
      <sz val="10.0"/>
      <color rgb="FF000000"/>
      <name val="Arial"/>
      <scheme val="minor"/>
    </font>
    <font>
      <b/>
      <sz val="17.0"/>
      <color rgb="FFFFFFFF"/>
      <name val="Arial"/>
      <scheme val="minor"/>
    </font>
    <font>
      <b/>
      <sz val="10.0"/>
      <color rgb="FFFFFFFF"/>
      <name val="Arial"/>
      <scheme val="minor"/>
    </font>
    <font>
      <i/>
      <sz val="10.0"/>
      <color rgb="FF285471"/>
      <name val="Arial"/>
      <scheme val="minor"/>
    </font>
    <font>
      <color theme="1"/>
      <name val="Arial"/>
      <scheme val="minor"/>
    </font>
    <font>
      <sz val="10.0"/>
      <color rgb="FF1D2939"/>
      <name val="Arial"/>
      <scheme val="minor"/>
    </font>
    <font>
      <sz val="10.0"/>
      <color rgb="FF263544"/>
      <name val="Arial"/>
      <scheme val="minor"/>
    </font>
    <font>
      <sz val="10.0"/>
      <color rgb="FF18744E"/>
      <name val="Arial"/>
      <scheme val="minor"/>
    </font>
    <font>
      <sz val="10.0"/>
      <color rgb="FF1A5BA7"/>
      <name val="Arial"/>
      <scheme val="minor"/>
    </font>
    <font>
      <sz val="10.0"/>
      <color rgb="FF1453D1"/>
      <name val="Arial"/>
      <scheme val="minor"/>
    </font>
    <font>
      <sz val="10.0"/>
      <color rgb="FF147451"/>
      <name val="Arial"/>
      <scheme val="minor"/>
    </font>
    <font>
      <b/>
      <color theme="1"/>
      <name val="Arial"/>
      <scheme val="minor"/>
    </font>
    <font>
      <b/>
      <sz val="10.0"/>
      <color rgb="FF1D2939"/>
      <name val="Arial"/>
      <scheme val="minor"/>
    </font>
    <font>
      <u/>
      <color rgb="FF0000FF"/>
    </font>
    <font>
      <b/>
      <color rgb="FFFFFFFF"/>
      <name val="Arial"/>
      <scheme val="minor"/>
    </font>
    <font>
      <color rgb="FF1749C7"/>
      <name val="Arial"/>
      <scheme val="minor"/>
    </font>
    <font>
      <u/>
      <color rgb="FF0000FF"/>
    </font>
    <font>
      <color rgb="FFFFFFFF"/>
      <name val="Arial"/>
      <scheme val="minor"/>
    </font>
    <font>
      <color rgb="FF164EC1"/>
      <name val="Arial"/>
      <scheme val="minor"/>
    </font>
    <font>
      <b/>
      <color rgb="FF193354"/>
      <name val="Arial"/>
      <scheme val="minor"/>
    </font>
    <font>
      <b/>
      <color rgb="FF183860"/>
      <name val="Arial"/>
      <scheme val="minor"/>
    </font>
    <font>
      <color rgb="FF183860"/>
      <name val="Arial"/>
      <scheme val="minor"/>
    </font>
    <font>
      <color rgb="FF000000"/>
      <name val="Arial"/>
      <scheme val="minor"/>
    </font>
    <font>
      <color rgb="FF8C4F16"/>
      <name val="Arial"/>
      <scheme val="minor"/>
    </font>
    <font>
      <b/>
      <sz val="11.0"/>
      <color rgb="FFFFFFFF"/>
      <name val="Arial"/>
      <scheme val="minor"/>
    </font>
    <font>
      <b/>
      <sz val="11.0"/>
      <color rgb="FF147451"/>
      <name val="Arial"/>
      <scheme val="minor"/>
    </font>
    <font>
      <b/>
      <sz val="10.0"/>
      <color rgb="FF147451"/>
      <name val="Arial"/>
      <scheme val="minor"/>
    </font>
    <font>
      <b/>
      <sz val="11.0"/>
      <color rgb="FF1453D1"/>
      <name val="Arial"/>
      <scheme val="minor"/>
    </font>
    <font>
      <color rgb="FF3F4751"/>
      <name val="Arial"/>
      <scheme val="minor"/>
    </font>
    <font>
      <b/>
      <sz val="10.0"/>
      <color theme="1"/>
      <name val="Arial"/>
      <scheme val="minor"/>
    </font>
    <font>
      <b/>
      <color rgb="FF263544"/>
      <name val="Arial"/>
      <scheme val="minor"/>
    </font>
    <font>
      <i/>
      <sz val="9.0"/>
      <color rgb="FF263544"/>
      <name val="Arial"/>
      <scheme val="minor"/>
    </font>
    <font>
      <b/>
      <sz val="10.0"/>
      <color rgb="FF1453D1"/>
      <name val="Arial"/>
      <scheme val="minor"/>
    </font>
    <font>
      <sz val="9.0"/>
      <color rgb="FF263544"/>
      <name val="Arial"/>
      <scheme val="minor"/>
    </font>
    <font>
      <b/>
      <sz val="16.0"/>
      <color rgb="FFFFFFFF"/>
      <name val="Arial"/>
      <scheme val="minor"/>
    </font>
  </fonts>
  <fills count="37">
    <fill>
      <patternFill patternType="none"/>
    </fill>
    <fill>
      <patternFill patternType="lightGray"/>
    </fill>
    <fill>
      <patternFill patternType="solid">
        <fgColor rgb="FF17324D"/>
        <bgColor rgb="FF17324D"/>
      </patternFill>
    </fill>
    <fill>
      <patternFill patternType="solid">
        <fgColor rgb="FF264B63"/>
        <bgColor rgb="FF264B63"/>
      </patternFill>
    </fill>
    <fill>
      <patternFill patternType="solid">
        <fgColor rgb="FFEAF3F6"/>
        <bgColor rgb="FFEAF3F6"/>
      </patternFill>
    </fill>
    <fill>
      <patternFill patternType="solid">
        <fgColor rgb="FF285471"/>
        <bgColor rgb="FF285471"/>
      </patternFill>
    </fill>
    <fill>
      <patternFill patternType="solid">
        <fgColor rgb="FF0F857C"/>
        <bgColor rgb="FF0F857C"/>
      </patternFill>
    </fill>
    <fill>
      <patternFill patternType="solid">
        <fgColor rgb="FFFFFFFF"/>
        <bgColor rgb="FFFFFFFF"/>
      </patternFill>
    </fill>
    <fill>
      <patternFill patternType="solid">
        <fgColor rgb="FFFFF5D7"/>
        <bgColor rgb="FFFFF5D7"/>
      </patternFill>
    </fill>
    <fill>
      <patternFill patternType="solid">
        <fgColor rgb="FFF0F7F4"/>
        <bgColor rgb="FFF0F7F4"/>
      </patternFill>
    </fill>
    <fill>
      <patternFill patternType="solid">
        <fgColor rgb="FF152A43"/>
        <bgColor rgb="FF152A43"/>
      </patternFill>
    </fill>
    <fill>
      <patternFill patternType="solid">
        <fgColor rgb="FFEAF2FF"/>
        <bgColor rgb="FFEAF2FF"/>
      </patternFill>
    </fill>
    <fill>
      <patternFill patternType="solid">
        <fgColor rgb="FFFFF2E2"/>
        <bgColor rgb="FFFFF2E2"/>
      </patternFill>
    </fill>
    <fill>
      <patternFill patternType="solid">
        <fgColor rgb="FF0D9488"/>
        <bgColor rgb="FF0D9488"/>
      </patternFill>
    </fill>
    <fill>
      <patternFill patternType="solid">
        <fgColor rgb="FFFFF3CF"/>
        <bgColor rgb="FFFFF3CF"/>
      </patternFill>
    </fill>
    <fill>
      <patternFill patternType="solid">
        <fgColor rgb="FF1D3048"/>
        <bgColor rgb="FF1D3048"/>
      </patternFill>
    </fill>
    <fill>
      <patternFill patternType="solid">
        <fgColor rgb="FFE8F1FF"/>
        <bgColor rgb="FFE8F1FF"/>
      </patternFill>
    </fill>
    <fill>
      <patternFill patternType="solid">
        <fgColor rgb="FF21364E"/>
        <bgColor rgb="FF21364E"/>
      </patternFill>
    </fill>
    <fill>
      <patternFill patternType="solid">
        <fgColor rgb="FFE9F3FF"/>
        <bgColor rgb="FFE9F3FF"/>
      </patternFill>
    </fill>
    <fill>
      <patternFill patternType="solid">
        <fgColor rgb="FF1C2F48"/>
        <bgColor rgb="FF1C2F48"/>
      </patternFill>
    </fill>
    <fill>
      <patternFill patternType="solid">
        <fgColor rgb="FFE5EFFC"/>
        <bgColor rgb="FFE5EFFC"/>
      </patternFill>
    </fill>
    <fill>
      <patternFill patternType="solid">
        <fgColor rgb="FF19385E"/>
        <bgColor rgb="FF19385E"/>
      </patternFill>
    </fill>
    <fill>
      <patternFill patternType="solid">
        <fgColor rgb="FFEDF4FD"/>
        <bgColor rgb="FFEDF4FD"/>
      </patternFill>
    </fill>
    <fill>
      <patternFill patternType="solid">
        <fgColor rgb="FFDDEAFC"/>
        <bgColor rgb="FFDDEAFC"/>
      </patternFill>
    </fill>
    <fill>
      <patternFill patternType="solid">
        <fgColor rgb="FF183860"/>
        <bgColor rgb="FF183860"/>
      </patternFill>
    </fill>
    <fill>
      <patternFill patternType="solid">
        <fgColor rgb="FFEFF6FC"/>
        <bgColor rgb="FFEFF6FC"/>
      </patternFill>
    </fill>
    <fill>
      <patternFill patternType="solid">
        <fgColor rgb="FFDFEBFB"/>
        <bgColor rgb="FFDFEBFB"/>
      </patternFill>
    </fill>
    <fill>
      <patternFill patternType="solid">
        <fgColor rgb="FFEFF7FF"/>
        <bgColor rgb="FFEFF7FF"/>
      </patternFill>
    </fill>
    <fill>
      <patternFill patternType="solid">
        <fgColor rgb="FFFFF7EB"/>
        <bgColor rgb="FFFFF7EB"/>
      </patternFill>
    </fill>
    <fill>
      <patternFill patternType="solid">
        <fgColor rgb="FFFFF8E7"/>
        <bgColor rgb="FFFFF8E7"/>
      </patternFill>
    </fill>
    <fill>
      <patternFill patternType="solid">
        <fgColor rgb="FFF0F4F6"/>
        <bgColor rgb="FFF0F4F6"/>
      </patternFill>
    </fill>
    <fill>
      <patternFill patternType="solid">
        <fgColor rgb="FFE9EEF2"/>
        <bgColor rgb="FFE9EEF2"/>
      </patternFill>
    </fill>
    <fill>
      <patternFill patternType="solid">
        <fgColor rgb="FF18385E"/>
        <bgColor rgb="FF18385E"/>
      </patternFill>
    </fill>
    <fill>
      <patternFill patternType="solid">
        <fgColor rgb="FF162A43"/>
        <bgColor rgb="FF162A43"/>
      </patternFill>
    </fill>
    <fill>
      <patternFill patternType="solid">
        <fgColor rgb="FFEAF6F4"/>
        <bgColor rgb="FFEAF6F4"/>
      </patternFill>
    </fill>
    <fill>
      <patternFill patternType="solid">
        <fgColor rgb="FF1E3556"/>
        <bgColor rgb="FF1E3556"/>
      </patternFill>
    </fill>
    <fill>
      <patternFill patternType="solid">
        <fgColor rgb="FFE2EAF2"/>
        <bgColor rgb="FFE2EAF2"/>
      </patternFill>
    </fill>
  </fills>
  <borders count="3">
    <border/>
    <border>
      <top style="medium">
        <color rgb="FF285471"/>
      </top>
    </border>
    <border>
      <bottom style="thin">
        <color rgb="FF1453D1"/>
      </bottom>
    </border>
  </borders>
  <cellStyleXfs count="1">
    <xf borderId="0" fillId="0" fontId="0" numFmtId="0" applyAlignment="1" applyFont="1"/>
  </cellStyleXfs>
  <cellXfs count="243">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ill="1" applyFont="1">
      <alignment vertical="center"/>
    </xf>
    <xf borderId="0" fillId="3" fontId="2" numFmtId="0" xfId="0" applyAlignment="1" applyFill="1" applyFont="1">
      <alignment horizontal="left" shrinkToFit="0" vertical="center" wrapText="1"/>
    </xf>
    <xf borderId="0" fillId="2" fontId="1" numFmtId="0" xfId="0" applyFill="1" applyFont="1"/>
    <xf borderId="0" fillId="3" fontId="2" numFmtId="0" xfId="0" applyAlignment="1" applyFill="1" applyFont="1">
      <alignment horizontal="left" readingOrder="0" shrinkToFit="0" vertical="center" wrapText="1"/>
    </xf>
    <xf borderId="0" fillId="4" fontId="3" numFmtId="0" xfId="0" applyAlignment="1" applyFill="1" applyFont="1">
      <alignment readingOrder="0" vertical="center"/>
    </xf>
    <xf borderId="0" fillId="4" fontId="3" numFmtId="0" xfId="0" applyFill="1" applyFont="1"/>
    <xf borderId="0" fillId="5" fontId="2" numFmtId="0" xfId="0" applyAlignment="1" applyFill="1" applyFont="1">
      <alignment horizontal="right"/>
    </xf>
    <xf borderId="0" fillId="6" fontId="2" numFmtId="0" xfId="0" applyAlignment="1" applyFill="1" applyFont="1">
      <alignment horizontal="right" readingOrder="0"/>
    </xf>
    <xf borderId="0" fillId="6" fontId="2" numFmtId="0" xfId="0" applyAlignment="1" applyFill="1" applyFont="1">
      <alignment horizontal="right"/>
    </xf>
    <xf borderId="0" fillId="0" fontId="4" numFmtId="0" xfId="0" applyAlignment="1" applyFont="1">
      <alignment horizontal="right"/>
    </xf>
    <xf borderId="0" fillId="0" fontId="5" numFmtId="164" xfId="0" applyAlignment="1" applyFont="1" applyNumberFormat="1">
      <alignment horizontal="right"/>
    </xf>
    <xf borderId="0" fillId="5" fontId="2" numFmtId="0" xfId="0" applyAlignment="1" applyFill="1" applyFont="1">
      <alignment vertical="center"/>
    </xf>
    <xf borderId="0" fillId="5" fontId="2" numFmtId="164" xfId="0" applyAlignment="1" applyFill="1" applyFont="1" applyNumberFormat="1">
      <alignment horizontal="right"/>
    </xf>
    <xf borderId="0" fillId="7" fontId="6" numFmtId="165" xfId="0" applyAlignment="1" applyFill="1" applyFont="1" applyNumberFormat="1">
      <alignment readingOrder="0" vertical="center"/>
    </xf>
    <xf borderId="0" fillId="0" fontId="4" numFmtId="0" xfId="0" applyAlignment="1" applyFont="1">
      <alignment readingOrder="0"/>
    </xf>
    <xf borderId="0" fillId="0" fontId="5" numFmtId="166" xfId="0" applyAlignment="1" applyFont="1" applyNumberFormat="1">
      <alignment horizontal="right"/>
    </xf>
    <xf borderId="0" fillId="7" fontId="7" numFmtId="1" xfId="0" applyAlignment="1" applyFill="1" applyFont="1" applyNumberFormat="1">
      <alignment readingOrder="0" vertical="center"/>
    </xf>
    <xf borderId="0" fillId="7" fontId="8" numFmtId="167" xfId="0" applyAlignment="1" applyFill="1" applyFont="1" applyNumberFormat="1">
      <alignment readingOrder="0" vertical="center"/>
    </xf>
    <xf borderId="0" fillId="8" fontId="5" numFmtId="166" xfId="0" applyAlignment="1" applyFill="1" applyFont="1" applyNumberFormat="1">
      <alignment horizontal="right"/>
    </xf>
    <xf borderId="0" fillId="7" fontId="8" numFmtId="166" xfId="0" applyAlignment="1" applyFill="1" applyFont="1" applyNumberFormat="1">
      <alignment horizontal="right" readingOrder="0" vertical="center"/>
    </xf>
    <xf borderId="0" fillId="9" fontId="7" numFmtId="166" xfId="0" applyAlignment="1" applyFill="1" applyFont="1" applyNumberFormat="1">
      <alignment horizontal="right" vertical="center"/>
    </xf>
    <xf borderId="0" fillId="9" fontId="7" numFmtId="167" xfId="0" applyAlignment="1" applyFill="1" applyFont="1" applyNumberFormat="1">
      <alignment horizontal="right" readingOrder="0" vertical="center"/>
    </xf>
    <xf borderId="0" fillId="9" fontId="7" numFmtId="166" xfId="0" applyAlignment="1" applyFill="1" applyFont="1" applyNumberFormat="1">
      <alignment horizontal="right" readingOrder="0" vertical="center"/>
    </xf>
    <xf borderId="0" fillId="0" fontId="4" numFmtId="166" xfId="0" applyAlignment="1" applyFont="1" applyNumberFormat="1">
      <alignment horizontal="right"/>
    </xf>
    <xf borderId="0" fillId="0" fontId="4" numFmtId="166" xfId="0" applyAlignment="1" applyFont="1" applyNumberFormat="1">
      <alignment horizontal="right" readingOrder="0"/>
    </xf>
    <xf borderId="0" fillId="0" fontId="4" numFmtId="0" xfId="0" applyFont="1"/>
    <xf borderId="0" fillId="0" fontId="4" numFmtId="166" xfId="0" applyFont="1" applyNumberFormat="1"/>
    <xf borderId="0" fillId="0" fontId="4" numFmtId="166" xfId="0" applyAlignment="1" applyFont="1" applyNumberFormat="1">
      <alignment readingOrder="0"/>
    </xf>
    <xf borderId="0" fillId="0" fontId="9" numFmtId="166" xfId="0" applyAlignment="1" applyFont="1" applyNumberFormat="1">
      <alignment horizontal="right" readingOrder="0"/>
    </xf>
    <xf borderId="0" fillId="8" fontId="9" numFmtId="166" xfId="0" applyAlignment="1" applyFill="1" applyFont="1" applyNumberFormat="1">
      <alignment horizontal="right" readingOrder="0"/>
    </xf>
    <xf borderId="0" fillId="0" fontId="10" numFmtId="166" xfId="0" applyAlignment="1" applyFont="1" applyNumberFormat="1">
      <alignment horizontal="right" readingOrder="0"/>
    </xf>
    <xf borderId="0" fillId="8" fontId="10" numFmtId="166" xfId="0" applyAlignment="1" applyFill="1" applyFont="1" applyNumberFormat="1">
      <alignment horizontal="right" readingOrder="0"/>
    </xf>
    <xf borderId="0" fillId="7" fontId="6" numFmtId="165" xfId="0" applyAlignment="1" applyFill="1" applyFont="1" applyNumberFormat="1">
      <alignment readingOrder="0" shrinkToFit="0" vertical="center" wrapText="1"/>
    </xf>
    <xf borderId="0" fillId="7" fontId="7" numFmtId="1" xfId="0" applyAlignment="1" applyFill="1" applyFont="1" applyNumberFormat="1">
      <alignment readingOrder="0" shrinkToFit="0" vertical="center" wrapText="1"/>
    </xf>
    <xf borderId="0" fillId="7" fontId="8" numFmtId="167" xfId="0" applyAlignment="1" applyFill="1" applyFont="1" applyNumberFormat="1">
      <alignment readingOrder="0" shrinkToFit="0" vertical="center" wrapText="1"/>
    </xf>
    <xf borderId="0" fillId="7" fontId="8" numFmtId="166" xfId="0" applyAlignment="1" applyFill="1" applyFont="1" applyNumberFormat="1">
      <alignment horizontal="right" readingOrder="0" shrinkToFit="0" vertical="center" wrapText="1"/>
    </xf>
    <xf borderId="1" fillId="4" fontId="11" numFmtId="0" xfId="0" applyAlignment="1" applyBorder="1" applyFill="1" applyFont="1">
      <alignment readingOrder="0"/>
    </xf>
    <xf borderId="1" fillId="4" fontId="12" numFmtId="166" xfId="0" applyAlignment="1" applyBorder="1" applyFill="1" applyFont="1" applyNumberFormat="1">
      <alignment horizontal="right"/>
    </xf>
    <xf borderId="0" fillId="5" fontId="2" numFmtId="166" xfId="0" applyAlignment="1" applyFill="1" applyFont="1" applyNumberFormat="1">
      <alignment horizontal="right"/>
    </xf>
    <xf borderId="0" fillId="0" fontId="7" numFmtId="166" xfId="0" applyAlignment="1" applyFont="1" applyNumberFormat="1">
      <alignment horizontal="right"/>
    </xf>
    <xf borderId="0" fillId="8" fontId="7" numFmtId="166" xfId="0" applyAlignment="1" applyFill="1" applyFont="1" applyNumberFormat="1">
      <alignment horizontal="right"/>
    </xf>
    <xf borderId="0" fillId="0" fontId="10" numFmtId="166" xfId="0" applyAlignment="1" applyFont="1" applyNumberFormat="1">
      <alignment horizontal="right"/>
    </xf>
    <xf borderId="0" fillId="8" fontId="10" numFmtId="166" xfId="0" applyAlignment="1" applyFill="1" applyFont="1" applyNumberFormat="1">
      <alignment horizontal="right"/>
    </xf>
    <xf borderId="0" fillId="10" fontId="1" numFmtId="0" xfId="0" applyAlignment="1" applyFill="1" applyFont="1">
      <alignment readingOrder="0"/>
    </xf>
    <xf borderId="0" fillId="0" fontId="13" numFmtId="0" xfId="0" applyAlignment="1" applyFont="1">
      <alignment readingOrder="0"/>
    </xf>
    <xf borderId="0" fillId="10" fontId="14" numFmtId="0" xfId="0" applyAlignment="1" applyFill="1" applyFont="1">
      <alignment readingOrder="0"/>
    </xf>
    <xf borderId="0" fillId="10" fontId="14" numFmtId="0" xfId="0" applyFill="1" applyFont="1"/>
    <xf borderId="0" fillId="11" fontId="15" numFmtId="168" xfId="0" applyAlignment="1" applyFill="1" applyFont="1" applyNumberFormat="1">
      <alignment readingOrder="0"/>
    </xf>
    <xf borderId="0" fillId="12" fontId="4" numFmtId="0" xfId="0" applyFill="1" applyFont="1"/>
    <xf borderId="0" fillId="12" fontId="4" numFmtId="169" xfId="0" applyFill="1" applyFont="1" applyNumberFormat="1"/>
    <xf borderId="0" fillId="13" fontId="14" numFmtId="0" xfId="0" applyAlignment="1" applyFill="1" applyFont="1">
      <alignment readingOrder="0" shrinkToFit="0" wrapText="1"/>
    </xf>
    <xf borderId="0" fillId="13" fontId="14" numFmtId="0" xfId="0" applyAlignment="1" applyFill="1" applyFont="1">
      <alignment readingOrder="0" shrinkToFit="0" wrapText="1"/>
    </xf>
    <xf borderId="0" fillId="11" fontId="15" numFmtId="0" xfId="0" applyAlignment="1" applyFill="1" applyFont="1">
      <alignment readingOrder="0"/>
    </xf>
    <xf borderId="0" fillId="11" fontId="15" numFmtId="169" xfId="0" applyAlignment="1" applyFill="1" applyFont="1" applyNumberFormat="1">
      <alignment readingOrder="0"/>
    </xf>
    <xf borderId="0" fillId="14" fontId="4" numFmtId="169" xfId="0" applyFill="1" applyFont="1" applyNumberFormat="1"/>
    <xf borderId="0" fillId="0" fontId="4" numFmtId="169" xfId="0" applyAlignment="1" applyFont="1" applyNumberFormat="1">
      <alignment readingOrder="0"/>
    </xf>
    <xf borderId="0" fillId="14" fontId="4" numFmtId="0" xfId="0" applyFill="1" applyFont="1"/>
    <xf borderId="0" fillId="0" fontId="16" numFmtId="0" xfId="0" applyAlignment="1" applyFont="1">
      <alignment readingOrder="0"/>
    </xf>
    <xf borderId="0" fillId="0" fontId="5" numFmtId="170" xfId="0" applyAlignment="1" applyFont="1" applyNumberFormat="1">
      <alignment horizontal="right"/>
    </xf>
    <xf borderId="0" fillId="8" fontId="5" numFmtId="170" xfId="0" applyAlignment="1" applyFill="1" applyFont="1" applyNumberFormat="1">
      <alignment horizontal="right"/>
    </xf>
    <xf borderId="0" fillId="10" fontId="14" numFmtId="0" xfId="0" applyAlignment="1" applyFill="1" applyFont="1">
      <alignment readingOrder="0"/>
    </xf>
    <xf borderId="0" fillId="0" fontId="14" numFmtId="0" xfId="0" applyFont="1"/>
    <xf borderId="0" fillId="13" fontId="14" numFmtId="0" xfId="0" applyAlignment="1" applyFill="1" applyFont="1">
      <alignment readingOrder="0"/>
    </xf>
    <xf borderId="0" fillId="13" fontId="14" numFmtId="0" xfId="0" applyFill="1" applyFont="1"/>
    <xf borderId="0" fillId="0" fontId="4" numFmtId="0" xfId="0" applyAlignment="1" applyFont="1">
      <alignment readingOrder="0" shrinkToFit="0" wrapText="1"/>
    </xf>
    <xf borderId="0" fillId="0" fontId="4" numFmtId="171" xfId="0" applyFont="1" applyNumberFormat="1"/>
    <xf borderId="0" fillId="0" fontId="4" numFmtId="169" xfId="0" applyFont="1" applyNumberFormat="1"/>
    <xf borderId="0" fillId="15" fontId="1" numFmtId="0" xfId="0" applyAlignment="1" applyFill="1" applyFont="1">
      <alignment readingOrder="0"/>
    </xf>
    <xf borderId="0" fillId="15" fontId="14" numFmtId="0" xfId="0" applyAlignment="1" applyFill="1" applyFont="1">
      <alignment readingOrder="0"/>
    </xf>
    <xf borderId="0" fillId="0" fontId="14" numFmtId="0" xfId="0" applyAlignment="1" applyFont="1">
      <alignment readingOrder="0"/>
    </xf>
    <xf borderId="0" fillId="0" fontId="4" numFmtId="0" xfId="0" applyAlignment="1" applyFont="1">
      <alignment readingOrder="0"/>
    </xf>
    <xf borderId="0" fillId="15" fontId="14" numFmtId="0" xfId="0" applyFill="1" applyFont="1"/>
    <xf borderId="0" fillId="0" fontId="17" numFmtId="0" xfId="0" applyFont="1"/>
    <xf borderId="0" fillId="16" fontId="18" numFmtId="0" xfId="0" applyAlignment="1" applyFill="1" applyFont="1">
      <alignment readingOrder="0"/>
    </xf>
    <xf borderId="0" fillId="16" fontId="18" numFmtId="168" xfId="0" applyAlignment="1" applyFill="1" applyFont="1" applyNumberFormat="1">
      <alignment readingOrder="0"/>
    </xf>
    <xf borderId="0" fillId="13" fontId="17" numFmtId="0" xfId="0" applyAlignment="1" applyFill="1" applyFont="1">
      <alignment readingOrder="0" shrinkToFit="0" wrapText="1"/>
    </xf>
    <xf borderId="0" fillId="16" fontId="18" numFmtId="0" xfId="0" applyAlignment="1" applyFill="1" applyFont="1">
      <alignment readingOrder="0"/>
    </xf>
    <xf borderId="0" fillId="16" fontId="18" numFmtId="0" xfId="0" applyFill="1" applyFont="1"/>
    <xf borderId="0" fillId="17" fontId="14" numFmtId="0" xfId="0" applyAlignment="1" applyFill="1" applyFont="1">
      <alignment readingOrder="0"/>
    </xf>
    <xf borderId="0" fillId="18" fontId="18" numFmtId="0" xfId="0" applyAlignment="1" applyFill="1" applyFont="1">
      <alignment readingOrder="0"/>
    </xf>
    <xf borderId="0" fillId="18" fontId="18" numFmtId="168" xfId="0" applyAlignment="1" applyFill="1" applyFont="1" applyNumberFormat="1">
      <alignment readingOrder="0"/>
    </xf>
    <xf borderId="0" fillId="19" fontId="14" numFmtId="0" xfId="0" applyAlignment="1" applyFill="1" applyFont="1">
      <alignment readingOrder="0"/>
    </xf>
    <xf borderId="0" fillId="0" fontId="4" numFmtId="172" xfId="0" applyFont="1" applyNumberFormat="1"/>
    <xf borderId="0" fillId="20" fontId="19" numFmtId="0" xfId="0" applyAlignment="1" applyFill="1" applyFont="1">
      <alignment readingOrder="0" vertical="center"/>
    </xf>
    <xf borderId="0" fillId="20" fontId="19" numFmtId="0" xfId="0" applyAlignment="1" applyFill="1" applyFont="1">
      <alignment vertical="center"/>
    </xf>
    <xf borderId="0" fillId="0" fontId="19" numFmtId="0" xfId="0" applyAlignment="1" applyFont="1">
      <alignment vertical="center"/>
    </xf>
    <xf borderId="0" fillId="21" fontId="14" numFmtId="0" xfId="0" applyAlignment="1" applyFill="1" applyFont="1">
      <alignment horizontal="right" readingOrder="0" shrinkToFit="0" vertical="center" wrapText="1"/>
    </xf>
    <xf borderId="0" fillId="21" fontId="14" numFmtId="0" xfId="0" applyAlignment="1" applyFill="1" applyFont="1">
      <alignment readingOrder="0" shrinkToFit="0" vertical="center" wrapText="1"/>
    </xf>
    <xf borderId="0" fillId="22" fontId="4" numFmtId="0" xfId="0" applyAlignment="1" applyFill="1" applyFont="1">
      <alignment readingOrder="0"/>
    </xf>
    <xf borderId="0" fillId="22" fontId="4" numFmtId="172" xfId="0" applyAlignment="1" applyFill="1" applyFont="1" applyNumberFormat="1">
      <alignment readingOrder="0"/>
    </xf>
    <xf borderId="0" fillId="22" fontId="4" numFmtId="9" xfId="0" applyAlignment="1" applyFill="1" applyFont="1" applyNumberFormat="1">
      <alignment readingOrder="0"/>
    </xf>
    <xf borderId="0" fillId="0" fontId="11" numFmtId="0" xfId="0" applyAlignment="1" applyFont="1">
      <alignment readingOrder="0" vertical="center"/>
    </xf>
    <xf borderId="0" fillId="0" fontId="11" numFmtId="0" xfId="0" applyAlignment="1" applyFont="1">
      <alignment readingOrder="0" vertical="center"/>
    </xf>
    <xf borderId="0" fillId="0" fontId="20" numFmtId="0" xfId="0" applyAlignment="1" applyFont="1">
      <alignment readingOrder="0" vertical="center"/>
    </xf>
    <xf borderId="0" fillId="0" fontId="20" numFmtId="0" xfId="0" applyAlignment="1" applyFont="1">
      <alignment vertical="center"/>
    </xf>
    <xf borderId="0" fillId="23" fontId="20" numFmtId="0" xfId="0" applyAlignment="1" applyFill="1" applyFont="1">
      <alignment readingOrder="0" vertical="center"/>
    </xf>
    <xf borderId="0" fillId="24" fontId="14" numFmtId="0" xfId="0" applyAlignment="1" applyFill="1" applyFont="1">
      <alignment readingOrder="0" shrinkToFit="0" vertical="center" wrapText="1"/>
    </xf>
    <xf borderId="0" fillId="25" fontId="4" numFmtId="171" xfId="0" applyFill="1" applyFont="1" applyNumberFormat="1"/>
    <xf borderId="0" fillId="25" fontId="4" numFmtId="3" xfId="0" applyAlignment="1" applyFill="1" applyFont="1" applyNumberFormat="1">
      <alignment readingOrder="0"/>
    </xf>
    <xf borderId="0" fillId="25" fontId="4" numFmtId="172" xfId="0" applyAlignment="1" applyFill="1" applyFont="1" applyNumberFormat="1">
      <alignment readingOrder="0"/>
    </xf>
    <xf borderId="0" fillId="25" fontId="4" numFmtId="172" xfId="0" applyFill="1" applyFont="1" applyNumberFormat="1"/>
    <xf borderId="0" fillId="0" fontId="4" numFmtId="1" xfId="0" applyFont="1" applyNumberFormat="1"/>
    <xf borderId="0" fillId="0" fontId="4" numFmtId="171" xfId="0" applyAlignment="1" applyFont="1" applyNumberFormat="1">
      <alignment readingOrder="0"/>
    </xf>
    <xf borderId="0" fillId="9" fontId="7" numFmtId="171" xfId="0" applyAlignment="1" applyFill="1" applyFont="1" applyNumberFormat="1">
      <alignment horizontal="right" vertical="center"/>
    </xf>
    <xf borderId="0" fillId="23" fontId="20" numFmtId="0" xfId="0" applyAlignment="1" applyFill="1" applyFont="1">
      <alignment vertical="center"/>
    </xf>
    <xf borderId="0" fillId="9" fontId="7" numFmtId="167" xfId="0" applyAlignment="1" applyFill="1" applyFont="1" applyNumberFormat="1">
      <alignment horizontal="right" vertical="center"/>
    </xf>
    <xf borderId="0" fillId="23" fontId="20" numFmtId="0" xfId="0" applyAlignment="1" applyFill="1" applyFont="1">
      <alignment readingOrder="0" vertical="center"/>
    </xf>
    <xf borderId="0" fillId="0" fontId="21" numFmtId="0" xfId="0" applyAlignment="1" applyFont="1">
      <alignment vertical="center"/>
    </xf>
    <xf borderId="0" fillId="0" fontId="17" numFmtId="0" xfId="0" applyAlignment="1" applyFont="1">
      <alignment readingOrder="0" shrinkToFit="0" vertical="center" wrapText="1"/>
    </xf>
    <xf borderId="0" fillId="25" fontId="4" numFmtId="3" xfId="0" applyFill="1" applyFont="1" applyNumberFormat="1"/>
    <xf borderId="0" fillId="25" fontId="4" numFmtId="168" xfId="0" applyFill="1" applyFont="1" applyNumberFormat="1"/>
    <xf borderId="0" fillId="26" fontId="4" numFmtId="171" xfId="0" applyAlignment="1" applyFill="1" applyFont="1" applyNumberFormat="1">
      <alignment readingOrder="0"/>
    </xf>
    <xf borderId="0" fillId="26" fontId="4" numFmtId="3" xfId="0" applyAlignment="1" applyFill="1" applyFont="1" applyNumberFormat="1">
      <alignment readingOrder="0"/>
    </xf>
    <xf borderId="0" fillId="26" fontId="4" numFmtId="172" xfId="0" applyFill="1" applyFont="1" applyNumberFormat="1"/>
    <xf borderId="0" fillId="26" fontId="4" numFmtId="172" xfId="0" applyAlignment="1" applyFill="1" applyFont="1" applyNumberFormat="1">
      <alignment readingOrder="0"/>
    </xf>
    <xf borderId="0" fillId="26" fontId="22" numFmtId="171" xfId="0" applyAlignment="1" applyFill="1" applyFont="1" applyNumberFormat="1">
      <alignment readingOrder="0" shrinkToFit="0" vertical="center" wrapText="1"/>
    </xf>
    <xf borderId="0" fillId="26" fontId="22" numFmtId="3" xfId="0" applyAlignment="1" applyFill="1" applyFont="1" applyNumberFormat="1">
      <alignment readingOrder="0" shrinkToFit="0" vertical="center" wrapText="1"/>
    </xf>
    <xf borderId="0" fillId="26" fontId="22" numFmtId="172" xfId="0" applyAlignment="1" applyFill="1" applyFont="1" applyNumberFormat="1">
      <alignment readingOrder="0" shrinkToFit="0" vertical="center" wrapText="1"/>
    </xf>
    <xf borderId="0" fillId="26" fontId="22" numFmtId="172" xfId="0" applyFill="1" applyFont="1" applyNumberFormat="1"/>
    <xf borderId="0" fillId="26" fontId="22" numFmtId="172" xfId="0" applyAlignment="1" applyFill="1" applyFont="1" applyNumberFormat="1">
      <alignment readingOrder="0"/>
    </xf>
    <xf borderId="0" fillId="12" fontId="4" numFmtId="171" xfId="0" applyAlignment="1" applyFill="1" applyFont="1" applyNumberFormat="1">
      <alignment readingOrder="0"/>
    </xf>
    <xf borderId="0" fillId="12" fontId="4" numFmtId="3" xfId="0" applyAlignment="1" applyFill="1" applyFont="1" applyNumberFormat="1">
      <alignment readingOrder="0"/>
    </xf>
    <xf borderId="0" fillId="12" fontId="4" numFmtId="172" xfId="0" applyFill="1" applyFont="1" applyNumberFormat="1"/>
    <xf borderId="0" fillId="12" fontId="4" numFmtId="172" xfId="0" applyAlignment="1" applyFill="1" applyFont="1" applyNumberFormat="1">
      <alignment readingOrder="0"/>
    </xf>
    <xf borderId="0" fillId="12" fontId="4" numFmtId="171" xfId="0" applyFill="1" applyFont="1" applyNumberFormat="1"/>
    <xf borderId="0" fillId="12" fontId="4" numFmtId="3" xfId="0" applyFill="1" applyFont="1" applyNumberFormat="1"/>
    <xf borderId="0" fillId="26" fontId="4" numFmtId="3" xfId="0" applyFill="1" applyFont="1" applyNumberFormat="1"/>
    <xf borderId="0" fillId="26" fontId="4" numFmtId="168" xfId="0" applyFill="1" applyFont="1" applyNumberFormat="1"/>
    <xf borderId="0" fillId="0" fontId="21" numFmtId="0" xfId="0" applyAlignment="1" applyFont="1">
      <alignment readingOrder="0"/>
    </xf>
    <xf borderId="0" fillId="26" fontId="22" numFmtId="171" xfId="0" applyAlignment="1" applyFill="1" applyFont="1" applyNumberFormat="1">
      <alignment readingOrder="0"/>
    </xf>
    <xf borderId="0" fillId="26" fontId="22" numFmtId="3" xfId="0" applyFill="1" applyFont="1" applyNumberFormat="1"/>
    <xf borderId="0" fillId="26" fontId="22" numFmtId="168" xfId="0" applyFill="1" applyFont="1" applyNumberFormat="1"/>
    <xf borderId="0" fillId="0" fontId="22" numFmtId="0" xfId="0" applyAlignment="1" applyFont="1">
      <alignment readingOrder="0"/>
    </xf>
    <xf borderId="0" fillId="0" fontId="22" numFmtId="0" xfId="0" applyFont="1"/>
    <xf borderId="0" fillId="26" fontId="22" numFmtId="168" xfId="0" applyAlignment="1" applyFill="1" applyFont="1" applyNumberFormat="1">
      <alignment readingOrder="0" shrinkToFit="0" vertical="center" wrapText="1"/>
    </xf>
    <xf borderId="0" fillId="12" fontId="4" numFmtId="168" xfId="0" applyFill="1" applyFont="1" applyNumberFormat="1"/>
    <xf borderId="0" fillId="0" fontId="23" numFmtId="0" xfId="0" applyAlignment="1" applyFont="1">
      <alignment readingOrder="0"/>
    </xf>
    <xf borderId="0" fillId="27" fontId="6" numFmtId="165" xfId="0" applyAlignment="1" applyFill="1" applyFont="1" applyNumberFormat="1">
      <alignment readingOrder="0" vertical="center"/>
    </xf>
    <xf borderId="0" fillId="27" fontId="7" numFmtId="1" xfId="0" applyAlignment="1" applyFill="1" applyFont="1" applyNumberFormat="1">
      <alignment readingOrder="0" vertical="center"/>
    </xf>
    <xf borderId="0" fillId="27" fontId="7" numFmtId="167" xfId="0" applyAlignment="1" applyFill="1" applyFont="1" applyNumberFormat="1">
      <alignment readingOrder="0" vertical="center"/>
    </xf>
    <xf borderId="0" fillId="27" fontId="7" numFmtId="166" xfId="0" applyAlignment="1" applyFill="1" applyFont="1" applyNumberFormat="1">
      <alignment horizontal="right" readingOrder="0" vertical="center"/>
    </xf>
    <xf borderId="0" fillId="27" fontId="7" numFmtId="166" xfId="0" applyAlignment="1" applyFill="1" applyFont="1" applyNumberFormat="1">
      <alignment horizontal="right" vertical="center"/>
    </xf>
    <xf borderId="0" fillId="27" fontId="10" numFmtId="167" xfId="0" applyAlignment="1" applyFill="1" applyFont="1" applyNumberFormat="1">
      <alignment horizontal="right" vertical="center"/>
    </xf>
    <xf borderId="0" fillId="27" fontId="10" numFmtId="166" xfId="0" applyAlignment="1" applyFill="1" applyFont="1" applyNumberFormat="1">
      <alignment horizontal="right" vertical="center"/>
    </xf>
    <xf borderId="0" fillId="0" fontId="21" numFmtId="0" xfId="0" applyAlignment="1" applyFont="1">
      <alignment readingOrder="0" vertical="center"/>
    </xf>
    <xf borderId="0" fillId="28" fontId="6" numFmtId="165" xfId="0" applyAlignment="1" applyFill="1" applyFont="1" applyNumberFormat="1">
      <alignment readingOrder="0" vertical="center"/>
    </xf>
    <xf borderId="0" fillId="28" fontId="7" numFmtId="1" xfId="0" applyAlignment="1" applyFill="1" applyFont="1" applyNumberFormat="1">
      <alignment readingOrder="0" vertical="center"/>
    </xf>
    <xf borderId="0" fillId="28" fontId="7" numFmtId="167" xfId="0" applyAlignment="1" applyFill="1" applyFont="1" applyNumberFormat="1">
      <alignment readingOrder="0" vertical="center"/>
    </xf>
    <xf borderId="0" fillId="28" fontId="7" numFmtId="166" xfId="0" applyAlignment="1" applyFill="1" applyFont="1" applyNumberFormat="1">
      <alignment horizontal="right" readingOrder="0" vertical="center"/>
    </xf>
    <xf borderId="0" fillId="28" fontId="7" numFmtId="166" xfId="0" applyAlignment="1" applyFill="1" applyFont="1" applyNumberFormat="1">
      <alignment horizontal="right" vertical="center"/>
    </xf>
    <xf borderId="0" fillId="28" fontId="10" numFmtId="167" xfId="0" applyAlignment="1" applyFill="1" applyFont="1" applyNumberFormat="1">
      <alignment horizontal="right" vertical="center"/>
    </xf>
    <xf borderId="0" fillId="28" fontId="10" numFmtId="166" xfId="0" applyAlignment="1" applyFill="1" applyFont="1" applyNumberFormat="1">
      <alignment horizontal="right" vertical="center"/>
    </xf>
    <xf borderId="0" fillId="29" fontId="6" numFmtId="165" xfId="0" applyAlignment="1" applyFill="1" applyFont="1" applyNumberFormat="1">
      <alignment readingOrder="0" vertical="center"/>
    </xf>
    <xf borderId="0" fillId="29" fontId="10" numFmtId="1" xfId="0" applyAlignment="1" applyFill="1" applyFont="1" applyNumberFormat="1">
      <alignment readingOrder="0" vertical="center"/>
    </xf>
    <xf borderId="0" fillId="29" fontId="10" numFmtId="167" xfId="0" applyAlignment="1" applyFill="1" applyFont="1" applyNumberFormat="1">
      <alignment readingOrder="0" vertical="center"/>
    </xf>
    <xf borderId="0" fillId="29" fontId="10" numFmtId="166" xfId="0" applyAlignment="1" applyFill="1" applyFont="1" applyNumberFormat="1">
      <alignment horizontal="right" readingOrder="0" vertical="center"/>
    </xf>
    <xf borderId="0" fillId="29" fontId="10" numFmtId="166" xfId="0" applyAlignment="1" applyFill="1" applyFont="1" applyNumberFormat="1">
      <alignment horizontal="right" vertical="center"/>
    </xf>
    <xf borderId="0" fillId="29" fontId="10" numFmtId="167" xfId="0" applyAlignment="1" applyFill="1" applyFont="1" applyNumberFormat="1">
      <alignment horizontal="right" vertical="center"/>
    </xf>
    <xf borderId="0" fillId="29" fontId="10" numFmtId="171" xfId="0" applyAlignment="1" applyFill="1" applyFont="1" applyNumberFormat="1">
      <alignment horizontal="right" vertical="center"/>
    </xf>
    <xf borderId="0" fillId="17" fontId="1" numFmtId="0" xfId="0" applyAlignment="1" applyFill="1" applyFont="1">
      <alignment readingOrder="0"/>
    </xf>
    <xf borderId="0" fillId="0" fontId="1" numFmtId="0" xfId="0" applyAlignment="1" applyFont="1">
      <alignment readingOrder="0"/>
    </xf>
    <xf borderId="0" fillId="17" fontId="14" numFmtId="0" xfId="0" applyFill="1" applyFont="1"/>
    <xf borderId="0" fillId="18" fontId="18" numFmtId="0" xfId="0" applyAlignment="1" applyFill="1" applyFont="1">
      <alignment readingOrder="0"/>
    </xf>
    <xf borderId="0" fillId="18" fontId="18" numFmtId="173" xfId="0" applyAlignment="1" applyFill="1" applyFont="1" applyNumberFormat="1">
      <alignment readingOrder="0"/>
    </xf>
    <xf borderId="0" fillId="14" fontId="4" numFmtId="168" xfId="0" applyAlignment="1" applyFill="1" applyFont="1" applyNumberFormat="1">
      <alignment readingOrder="0"/>
    </xf>
    <xf borderId="0" fillId="12" fontId="22" numFmtId="0" xfId="0" applyFill="1" applyFont="1"/>
    <xf borderId="0" fillId="2" fontId="1" numFmtId="0" xfId="0" applyAlignment="1" applyFill="1" applyFont="1">
      <alignment readingOrder="0" vertical="center"/>
    </xf>
    <xf borderId="0" fillId="3" fontId="24" numFmtId="0" xfId="0" applyAlignment="1" applyFill="1" applyFont="1">
      <alignment readingOrder="0" vertical="center"/>
    </xf>
    <xf borderId="0" fillId="3" fontId="2" numFmtId="0" xfId="0" applyAlignment="1" applyFill="1" applyFont="1">
      <alignment horizontal="center" readingOrder="0" vertical="center"/>
    </xf>
    <xf borderId="0" fillId="3" fontId="24" numFmtId="0" xfId="0" applyAlignment="1" applyFill="1" applyFont="1">
      <alignment readingOrder="0" vertical="center"/>
    </xf>
    <xf borderId="0" fillId="7" fontId="6" numFmtId="0" xfId="0" applyAlignment="1" applyFill="1" applyFont="1">
      <alignment readingOrder="0" vertical="center"/>
    </xf>
    <xf borderId="2" fillId="0" fontId="25" numFmtId="166" xfId="0" applyAlignment="1" applyBorder="1" applyFont="1" applyNumberFormat="1">
      <alignment horizontal="right" readingOrder="0" vertical="center"/>
    </xf>
    <xf borderId="0" fillId="0" fontId="26" numFmtId="166" xfId="0" applyAlignment="1" applyFont="1" applyNumberFormat="1">
      <alignment horizontal="right" readingOrder="0" vertical="center"/>
    </xf>
    <xf borderId="0" fillId="18" fontId="27" numFmtId="166" xfId="0" applyAlignment="1" applyFill="1" applyFont="1" applyNumberFormat="1">
      <alignment horizontal="right" readingOrder="0"/>
    </xf>
    <xf borderId="0" fillId="0" fontId="6" numFmtId="0" xfId="0" applyAlignment="1" applyFont="1">
      <alignment readingOrder="0" vertical="center"/>
    </xf>
    <xf borderId="0" fillId="18" fontId="27" numFmtId="0" xfId="0" applyAlignment="1" applyFill="1" applyFont="1">
      <alignment horizontal="right" readingOrder="0"/>
    </xf>
    <xf borderId="0" fillId="7" fontId="28" numFmtId="0" xfId="0" applyAlignment="1" applyFill="1" applyFont="1">
      <alignment readingOrder="0" vertical="center"/>
    </xf>
    <xf borderId="2" fillId="7" fontId="28" numFmtId="170" xfId="0" applyAlignment="1" applyBorder="1" applyFill="1" applyFont="1" applyNumberFormat="1">
      <alignment horizontal="right" readingOrder="0" vertical="center"/>
    </xf>
    <xf borderId="0" fillId="0" fontId="29" numFmtId="166" xfId="0" applyAlignment="1" applyFont="1" applyNumberFormat="1">
      <alignment horizontal="right" readingOrder="0"/>
    </xf>
    <xf borderId="2" fillId="18" fontId="27" numFmtId="170" xfId="0" applyAlignment="1" applyBorder="1" applyFill="1" applyFont="1" applyNumberFormat="1">
      <alignment horizontal="right" readingOrder="0" vertical="center"/>
    </xf>
    <xf borderId="0" fillId="7" fontId="30" numFmtId="0" xfId="0" applyAlignment="1" applyFill="1" applyFont="1">
      <alignment readingOrder="0" vertical="center"/>
    </xf>
    <xf borderId="0" fillId="0" fontId="26" numFmtId="166" xfId="0" applyAlignment="1" applyFont="1" applyNumberFormat="1">
      <alignment horizontal="right" vertical="center"/>
    </xf>
    <xf borderId="0" fillId="14" fontId="26" numFmtId="166" xfId="0" applyAlignment="1" applyFill="1" applyFont="1" applyNumberFormat="1">
      <alignment horizontal="right"/>
    </xf>
    <xf borderId="0" fillId="0" fontId="30" numFmtId="0" xfId="0" applyAlignment="1" applyFont="1">
      <alignment readingOrder="0"/>
    </xf>
    <xf borderId="0" fillId="30" fontId="26" numFmtId="0" xfId="0" applyAlignment="1" applyFill="1" applyFont="1">
      <alignment horizontal="center"/>
    </xf>
    <xf borderId="0" fillId="0" fontId="26" numFmtId="166" xfId="0" applyAlignment="1" applyFont="1" applyNumberFormat="1">
      <alignment horizontal="right"/>
    </xf>
    <xf borderId="0" fillId="18" fontId="27" numFmtId="170" xfId="0" applyAlignment="1" applyFill="1" applyFont="1" applyNumberFormat="1">
      <alignment horizontal="right" readingOrder="0"/>
    </xf>
    <xf borderId="0" fillId="31" fontId="31" numFmtId="0" xfId="0" applyAlignment="1" applyFill="1" applyFont="1">
      <alignment readingOrder="0" shrinkToFit="0" vertical="center" wrapText="1"/>
    </xf>
    <xf borderId="0" fillId="0" fontId="29" numFmtId="0" xfId="0" applyAlignment="1" applyFont="1">
      <alignment horizontal="center" vertical="center"/>
    </xf>
    <xf borderId="0" fillId="18" fontId="27" numFmtId="1" xfId="0" applyAlignment="1" applyFill="1" applyFont="1" applyNumberFormat="1">
      <alignment horizontal="right" readingOrder="0"/>
    </xf>
    <xf borderId="0" fillId="18" fontId="32" numFmtId="166" xfId="0" applyAlignment="1" applyFill="1" applyFont="1" applyNumberFormat="1">
      <alignment horizontal="right" readingOrder="0"/>
    </xf>
    <xf borderId="0" fillId="14" fontId="33" numFmtId="0" xfId="0" applyAlignment="1" applyFill="1" applyFont="1">
      <alignment horizontal="center"/>
    </xf>
    <xf borderId="0" fillId="5" fontId="2" numFmtId="0" xfId="0" applyAlignment="1" applyFill="1" applyFont="1">
      <alignment readingOrder="0" vertical="center"/>
    </xf>
    <xf borderId="0" fillId="14" fontId="26" numFmtId="0" xfId="0" applyAlignment="1" applyFill="1" applyFont="1">
      <alignment horizontal="center"/>
    </xf>
    <xf borderId="0" fillId="5" fontId="14" numFmtId="0" xfId="0" applyAlignment="1" applyFill="1" applyFont="1">
      <alignment shrinkToFit="0" wrapText="1"/>
    </xf>
    <xf borderId="0" fillId="5" fontId="14" numFmtId="0" xfId="0" applyAlignment="1" applyFill="1" applyFont="1">
      <alignment readingOrder="0" shrinkToFit="0" wrapText="1"/>
    </xf>
    <xf borderId="0" fillId="14" fontId="7" numFmtId="166" xfId="0" applyAlignment="1" applyFill="1" applyFont="1" applyNumberFormat="1">
      <alignment horizontal="right"/>
    </xf>
    <xf borderId="0" fillId="4" fontId="11" numFmtId="0" xfId="0" applyAlignment="1" applyFill="1" applyFont="1">
      <alignment readingOrder="0"/>
    </xf>
    <xf borderId="0" fillId="32" fontId="14" numFmtId="0" xfId="0" applyAlignment="1" applyFill="1" applyFont="1">
      <alignment readingOrder="0" shrinkToFit="0" wrapText="1"/>
    </xf>
    <xf borderId="1" fillId="4" fontId="11" numFmtId="0" xfId="0" applyBorder="1" applyFill="1" applyFont="1"/>
    <xf borderId="1" fillId="14" fontId="12" numFmtId="166" xfId="0" applyAlignment="1" applyBorder="1" applyFill="1" applyFont="1" applyNumberFormat="1">
      <alignment horizontal="right"/>
    </xf>
    <xf borderId="0" fillId="0" fontId="4" numFmtId="167" xfId="0" applyAlignment="1" applyFont="1" applyNumberFormat="1">
      <alignment readingOrder="0"/>
    </xf>
    <xf borderId="0" fillId="0" fontId="4" numFmtId="168" xfId="0" applyAlignment="1" applyFont="1" applyNumberFormat="1">
      <alignment horizontal="right"/>
    </xf>
    <xf borderId="1" fillId="4" fontId="11" numFmtId="167" xfId="0" applyBorder="1" applyFill="1" applyFont="1" applyNumberFormat="1"/>
    <xf borderId="1" fillId="4" fontId="11" numFmtId="168" xfId="0" applyAlignment="1" applyBorder="1" applyFill="1" applyFont="1" applyNumberFormat="1">
      <alignment horizontal="right"/>
    </xf>
    <xf quotePrefix="1" borderId="0" fillId="0" fontId="4" numFmtId="0" xfId="0" applyAlignment="1" applyFont="1">
      <alignment readingOrder="0"/>
    </xf>
    <xf borderId="0" fillId="33" fontId="14" numFmtId="0" xfId="0" applyAlignment="1" applyFill="1" applyFont="1">
      <alignment readingOrder="0"/>
    </xf>
    <xf borderId="0" fillId="34" fontId="11" numFmtId="0" xfId="0" applyFill="1" applyFont="1"/>
    <xf borderId="0" fillId="34" fontId="11" numFmtId="169" xfId="0" applyFill="1" applyFont="1" applyNumberFormat="1"/>
    <xf borderId="0" fillId="20" fontId="19" numFmtId="0" xfId="0" applyAlignment="1" applyFill="1" applyFont="1">
      <alignment readingOrder="0" vertical="center"/>
    </xf>
    <xf borderId="0" fillId="0" fontId="19" numFmtId="0" xfId="0" applyAlignment="1" applyFont="1">
      <alignment readingOrder="0" vertical="center"/>
    </xf>
    <xf borderId="0" fillId="0" fontId="19" numFmtId="0" xfId="0" applyAlignment="1" applyFont="1">
      <alignment readingOrder="0" vertical="center"/>
    </xf>
    <xf borderId="0" fillId="18" fontId="4" numFmtId="171" xfId="0" applyAlignment="1" applyFill="1" applyFont="1" applyNumberFormat="1">
      <alignment readingOrder="0"/>
    </xf>
    <xf borderId="0" fillId="18" fontId="4" numFmtId="172" xfId="0" applyFill="1" applyFont="1" applyNumberFormat="1"/>
    <xf borderId="0" fillId="18" fontId="4" numFmtId="172" xfId="0" applyAlignment="1" applyFill="1" applyFont="1" applyNumberFormat="1">
      <alignment readingOrder="0"/>
    </xf>
    <xf borderId="0" fillId="25" fontId="4" numFmtId="171" xfId="0" applyAlignment="1" applyFill="1" applyFont="1" applyNumberFormat="1">
      <alignment readingOrder="0"/>
    </xf>
    <xf borderId="0" fillId="25" fontId="4" numFmtId="1" xfId="0" applyAlignment="1" applyFill="1" applyFont="1" applyNumberFormat="1">
      <alignment readingOrder="0"/>
    </xf>
    <xf borderId="0" fillId="25" fontId="4" numFmtId="174" xfId="0" applyAlignment="1" applyFill="1" applyFont="1" applyNumberFormat="1">
      <alignment readingOrder="0"/>
    </xf>
    <xf borderId="0" fillId="25" fontId="4" numFmtId="2" xfId="0" applyFill="1" applyFont="1" applyNumberFormat="1"/>
    <xf borderId="0" fillId="18" fontId="4" numFmtId="171" xfId="0" applyFill="1" applyFont="1" applyNumberFormat="1"/>
    <xf borderId="0" fillId="25" fontId="4" numFmtId="1" xfId="0" applyFill="1" applyFont="1" applyNumberFormat="1"/>
    <xf borderId="0" fillId="25" fontId="4" numFmtId="174" xfId="0" applyFill="1" applyFont="1" applyNumberFormat="1"/>
    <xf borderId="0" fillId="26" fontId="4" numFmtId="1" xfId="0" applyAlignment="1" applyFill="1" applyFont="1" applyNumberFormat="1">
      <alignment readingOrder="0"/>
    </xf>
    <xf borderId="0" fillId="26" fontId="4" numFmtId="174" xfId="0" applyAlignment="1" applyFill="1" applyFont="1" applyNumberFormat="1">
      <alignment readingOrder="0"/>
    </xf>
    <xf borderId="0" fillId="26" fontId="22" numFmtId="1" xfId="0" applyAlignment="1" applyFill="1" applyFont="1" applyNumberFormat="1">
      <alignment readingOrder="0" shrinkToFit="0" vertical="center" wrapText="1"/>
    </xf>
    <xf borderId="0" fillId="26" fontId="22" numFmtId="174" xfId="0" applyAlignment="1" applyFill="1" applyFont="1" applyNumberFormat="1">
      <alignment readingOrder="0" shrinkToFit="0" vertical="center" wrapText="1"/>
    </xf>
    <xf borderId="0" fillId="35" fontId="14" numFmtId="0" xfId="0" applyAlignment="1" applyFill="1" applyFont="1">
      <alignment readingOrder="0"/>
    </xf>
    <xf borderId="0" fillId="35" fontId="14" numFmtId="0" xfId="0" applyFill="1" applyFont="1"/>
    <xf borderId="0" fillId="36" fontId="11" numFmtId="0" xfId="0" applyAlignment="1" applyFill="1" applyFont="1">
      <alignment readingOrder="0"/>
    </xf>
    <xf borderId="0" fillId="0" fontId="4" numFmtId="175" xfId="0" applyFont="1" applyNumberFormat="1"/>
    <xf borderId="0" fillId="12" fontId="4" numFmtId="1" xfId="0" applyAlignment="1" applyFill="1" applyFont="1" applyNumberFormat="1">
      <alignment readingOrder="0"/>
    </xf>
    <xf borderId="0" fillId="12" fontId="4" numFmtId="174" xfId="0" applyAlignment="1" applyFill="1" applyFont="1" applyNumberFormat="1">
      <alignment readingOrder="0"/>
    </xf>
    <xf borderId="0" fillId="12" fontId="4" numFmtId="2" xfId="0" applyFill="1" applyFont="1" applyNumberFormat="1"/>
    <xf borderId="0" fillId="12" fontId="4" numFmtId="1" xfId="0" applyFill="1" applyFont="1" applyNumberFormat="1"/>
    <xf borderId="0" fillId="12" fontId="4" numFmtId="174" xfId="0" applyFill="1" applyFont="1" applyNumberFormat="1"/>
    <xf borderId="0" fillId="0" fontId="4" numFmtId="175" xfId="0" applyAlignment="1" applyFont="1" applyNumberFormat="1">
      <alignment readingOrder="0"/>
    </xf>
    <xf borderId="0" fillId="17" fontId="34" numFmtId="0" xfId="0" applyAlignment="1" applyFill="1" applyFont="1">
      <alignment readingOrder="0"/>
    </xf>
    <xf borderId="0" fillId="20" fontId="11" numFmtId="0" xfId="0" applyAlignment="1" applyFill="1" applyFont="1">
      <alignment readingOrder="0"/>
    </xf>
    <xf borderId="0" fillId="20" fontId="11" numFmtId="0" xfId="0" applyFill="1" applyFont="1"/>
    <xf borderId="0" fillId="32" fontId="14" numFmtId="0" xfId="0" applyAlignment="1" applyFill="1" applyFont="1">
      <alignment readingOrder="0" shrinkToFit="0" vertical="center" wrapText="1"/>
    </xf>
    <xf borderId="0" fillId="20" fontId="4" numFmtId="172" xfId="0" applyAlignment="1" applyFill="1" applyFont="1" applyNumberFormat="1">
      <alignment readingOrder="0"/>
    </xf>
  </cellXfs>
  <cellStyles count="1">
    <cellStyle xfId="0" name="Normal" builtinId="0"/>
  </cellStyles>
  <dxfs count="2">
    <dxf>
      <font>
        <b/>
        <color rgb="FFB42318"/>
      </font>
      <fill>
        <patternFill patternType="solid">
          <fgColor rgb="FFFDECE8"/>
          <bgColor rgb="FFFDECE8"/>
        </patternFill>
      </fill>
      <border/>
    </dxf>
    <dxf>
      <font>
        <b/>
        <color rgb="FFB52319"/>
      </font>
      <fill>
        <patternFill patternType="solid">
          <fgColor rgb="FFFFEAE5"/>
          <bgColor rgb="FFFFEAE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THX-101 | Historical &amp; Projected Monthly Prescription Fills</a:t>
            </a:r>
          </a:p>
        </c:rich>
      </c:tx>
      <c:overlay val="0"/>
    </c:title>
    <c:plotArea>
      <c:layout/>
      <c:lineChart>
        <c:ser>
          <c:idx val="0"/>
          <c:order val="0"/>
          <c:tx>
            <c:strRef>
              <c:f>'Monthly Data'!$AL$73</c:f>
            </c:strRef>
          </c:tx>
          <c:spPr>
            <a:ln cmpd="sng" w="28575">
              <a:solidFill>
                <a:srgbClr val="264B63"/>
              </a:solidFill>
            </a:ln>
          </c:spPr>
          <c:marker>
            <c:symbol val="none"/>
          </c:marker>
          <c:cat>
            <c:strRef>
              <c:f>'Monthly Data'!$AK$74:$AK$145</c:f>
            </c:strRef>
          </c:cat>
          <c:val>
            <c:numRef>
              <c:f>'Monthly Data'!$AL$74:$AL$145</c:f>
              <c:numCache/>
            </c:numRef>
          </c:val>
          <c:smooth val="0"/>
        </c:ser>
        <c:ser>
          <c:idx val="1"/>
          <c:order val="1"/>
          <c:tx>
            <c:strRef>
              <c:f>'Monthly Data'!$AM$73</c:f>
            </c:strRef>
          </c:tx>
          <c:spPr>
            <a:ln cmpd="sng" w="28575">
              <a:solidFill>
                <a:srgbClr val="147451"/>
              </a:solidFill>
            </a:ln>
          </c:spPr>
          <c:marker>
            <c:symbol val="none"/>
          </c:marker>
          <c:cat>
            <c:strRef>
              <c:f>'Monthly Data'!$AK$74:$AK$145</c:f>
            </c:strRef>
          </c:cat>
          <c:val>
            <c:numRef>
              <c:f>'Monthly Data'!$AM$74:$AM$145</c:f>
              <c:numCache/>
            </c:numRef>
          </c:val>
          <c:smooth val="0"/>
        </c:ser>
        <c:axId val="1339878362"/>
        <c:axId val="2071235592"/>
      </c:lineChart>
      <c:catAx>
        <c:axId val="1339878362"/>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Month</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2071235592"/>
      </c:catAx>
      <c:valAx>
        <c:axId val="20712355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Monthly prescription fills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339878362"/>
      </c:valAx>
    </c:plotArea>
    <c:legend>
      <c:legendPos val="b"/>
      <c:overlay val="0"/>
      <c:txPr>
        <a:bodyPr/>
        <a:lstStyle/>
        <a:p>
          <a:pPr lvl="0">
            <a:defRPr b="0">
              <a:solidFill>
                <a:srgbClr val="1A1A1A"/>
              </a:solidFill>
              <a:latin typeface="Arial"/>
            </a:defRPr>
          </a:pPr>
        </a:p>
      </c:txPr>
    </c:legend>
    <c:plotVisOnly val="0"/>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TitanHelix | Operating Income: Path to Break-even</a:t>
            </a:r>
          </a:p>
        </c:rich>
      </c:tx>
      <c:overlay val="0"/>
    </c:title>
    <c:plotArea>
      <c:layout/>
      <c:lineChart>
        <c:ser>
          <c:idx val="0"/>
          <c:order val="0"/>
          <c:tx>
            <c:strRef>
              <c:f>'Income Statement'!$R$3</c:f>
            </c:strRef>
          </c:tx>
          <c:spPr>
            <a:ln cmpd="sng" w="28575">
              <a:solidFill>
                <a:srgbClr val="264B63"/>
              </a:solidFill>
            </a:ln>
          </c:spPr>
          <c:marker>
            <c:symbol val="none"/>
          </c:marker>
          <c:cat>
            <c:strRef>
              <c:f>'Income Statement'!$Q$4:$Q$18</c:f>
            </c:strRef>
          </c:cat>
          <c:val>
            <c:numRef>
              <c:f>'Income Statement'!$R$4:$R$18</c:f>
              <c:numCache/>
            </c:numRef>
          </c:val>
          <c:smooth val="0"/>
        </c:ser>
        <c:ser>
          <c:idx val="1"/>
          <c:order val="1"/>
          <c:tx>
            <c:strRef>
              <c:f>'Income Statement'!$S$3</c:f>
            </c:strRef>
          </c:tx>
          <c:spPr>
            <a:ln cmpd="sng" w="28575">
              <a:solidFill>
                <a:srgbClr val="147451"/>
              </a:solidFill>
            </a:ln>
          </c:spPr>
          <c:marker>
            <c:symbol val="none"/>
          </c:marker>
          <c:cat>
            <c:strRef>
              <c:f>'Income Statement'!$Q$4:$Q$18</c:f>
            </c:strRef>
          </c:cat>
          <c:val>
            <c:numRef>
              <c:f>'Income Statement'!$S$4:$S$18</c:f>
              <c:numCache/>
            </c:numRef>
          </c:val>
          <c:smooth val="0"/>
        </c:ser>
        <c:ser>
          <c:idx val="2"/>
          <c:order val="2"/>
          <c:tx>
            <c:strRef>
              <c:f>'Income Statement'!$T$3</c:f>
            </c:strRef>
          </c:tx>
          <c:spPr>
            <a:ln cmpd="sng" w="9525">
              <a:solidFill>
                <a:srgbClr val="9EA6AE"/>
              </a:solidFill>
            </a:ln>
          </c:spPr>
          <c:marker>
            <c:symbol val="none"/>
          </c:marker>
          <c:cat>
            <c:strRef>
              <c:f>'Income Statement'!$Q$4:$Q$18</c:f>
            </c:strRef>
          </c:cat>
          <c:val>
            <c:numRef>
              <c:f>'Income Statement'!$T$4:$T$18</c:f>
              <c:numCache/>
            </c:numRef>
          </c:val>
          <c:smooth val="0"/>
        </c:ser>
        <c:axId val="721578504"/>
        <c:axId val="2001061287"/>
      </c:lineChart>
      <c:catAx>
        <c:axId val="721578504"/>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Fiscal year</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2001061287"/>
      </c:catAx>
      <c:valAx>
        <c:axId val="20010612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Operating income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721578504"/>
      </c:valAx>
    </c:plotArea>
    <c:legend>
      <c:legendPos val="b"/>
      <c:overlay val="0"/>
      <c:txPr>
        <a:bodyPr/>
        <a:lstStyle/>
        <a:p>
          <a:pPr lvl="0">
            <a:defRPr b="0">
              <a:solidFill>
                <a:srgbClr val="1A1A1A"/>
              </a:solidFill>
              <a:latin typeface="Arial"/>
            </a:defRPr>
          </a:pPr>
        </a:p>
      </c:txPr>
    </c:legend>
    <c:plotVisOnly val="0"/>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Annual loaded payroll forecast ($)</a:t>
            </a:r>
          </a:p>
        </c:rich>
      </c:tx>
      <c:overlay val="0"/>
    </c:title>
    <c:plotArea>
      <c:layout/>
      <c:lineChart>
        <c:varyColors val="0"/>
        <c:ser>
          <c:idx val="0"/>
          <c:order val="0"/>
          <c:spPr>
            <a:ln cmpd="sng">
              <a:solidFill>
                <a:srgbClr val="4285F4"/>
              </a:solidFill>
            </a:ln>
          </c:spPr>
          <c:marker>
            <c:symbol val="none"/>
          </c:marker>
          <c:cat>
            <c:strRef>
              <c:f>'Workforce &amp; Expenses'!$B$37:$H$37</c:f>
            </c:strRef>
          </c:cat>
          <c:val>
            <c:numRef>
              <c:f>'Workforce &amp; Expenses'!$B$46:$H$46</c:f>
              <c:numCache/>
            </c:numRef>
          </c:val>
          <c:smooth val="0"/>
        </c:ser>
        <c:axId val="1293281794"/>
        <c:axId val="2139712403"/>
      </c:lineChart>
      <c:catAx>
        <c:axId val="12932817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Fiscal 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39712403"/>
      </c:catAx>
      <c:valAx>
        <c:axId val="21397124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USD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93281794"/>
      </c:valAx>
    </c:plotArea>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39</xdr:row>
      <xdr:rowOff>180975</xdr:rowOff>
    </xdr:from>
    <xdr:ext cx="11049000" cy="4191000"/>
    <xdr:graphicFrame>
      <xdr:nvGraphicFramePr>
        <xdr:cNvPr id="1" name="Chart 1" title="THX-101 | Historical &amp; Projected Monthly Prescription Fills"/>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38100</xdr:colOff>
      <xdr:row>69</xdr:row>
      <xdr:rowOff>76200</xdr:rowOff>
    </xdr:from>
    <xdr:ext cx="10858500" cy="3810000"/>
    <xdr:graphicFrame>
      <xdr:nvGraphicFramePr>
        <xdr:cNvPr id="2" name="Chart 2" title="TitanHelix | Operating Income: Path to Break-even"/>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28575</xdr:colOff>
      <xdr:row>22</xdr:row>
      <xdr:rowOff>0</xdr:rowOff>
    </xdr:from>
    <xdr:ext cx="9582150" cy="5238750"/>
    <xdr:graphicFrame>
      <xdr:nvGraphicFramePr>
        <xdr:cNvPr id="3" name="Chart 3" title="Annual loaded payroll forecast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ww.bls.gov/news.release/ecec.nr0.htm" TargetMode="External"/><Relationship Id="rId3" Type="http://schemas.openxmlformats.org/officeDocument/2006/relationships/hyperlink" Target="https://www.bls.gov/news.release/ocwage.t01.htm" TargetMode="External"/><Relationship Id="rId4" Type="http://schemas.openxmlformats.org/officeDocument/2006/relationships/hyperlink" Target="https://www.bls.gov/news.release/ocwage.t01.htm" TargetMode="External"/><Relationship Id="rId11" Type="http://schemas.openxmlformats.org/officeDocument/2006/relationships/drawing" Target="../drawings/drawing5.xml"/><Relationship Id="rId10" Type="http://schemas.openxmlformats.org/officeDocument/2006/relationships/hyperlink" Target="https://www.bls.gov/news.release/ocwage.t01.htm" TargetMode="External"/><Relationship Id="rId12" Type="http://schemas.openxmlformats.org/officeDocument/2006/relationships/vmlDrawing" Target="../drawings/vmlDrawing5.vml"/><Relationship Id="rId9" Type="http://schemas.openxmlformats.org/officeDocument/2006/relationships/hyperlink" Target="https://www.bls.gov/news.release/ocwage.t01.htm" TargetMode="External"/><Relationship Id="rId5" Type="http://schemas.openxmlformats.org/officeDocument/2006/relationships/hyperlink" Target="https://www.bls.gov/ooh/life-physical-and-social-science/medical-scientists.htm" TargetMode="External"/><Relationship Id="rId6" Type="http://schemas.openxmlformats.org/officeDocument/2006/relationships/hyperlink" Target="https://www.bls.gov/news.release/ocwage.t01.htm" TargetMode="External"/><Relationship Id="rId7" Type="http://schemas.openxmlformats.org/officeDocument/2006/relationships/hyperlink" Target="https://www.bls.gov/ooh/life-physical-and-social-science/medical-scientists.htm" TargetMode="External"/><Relationship Id="rId8" Type="http://schemas.openxmlformats.org/officeDocument/2006/relationships/hyperlink" Target="https://www.bls.gov/news.release/ocwage.t01.htm"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3CF"/>
    <outlinePr summaryBelow="0" summaryRight="0"/>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75"/>
  <cols>
    <col customWidth="1" min="1" max="1" width="40.75"/>
    <col customWidth="1" min="2" max="10" width="18.25"/>
  </cols>
  <sheetData>
    <row r="1" ht="36.0" customHeight="1">
      <c r="A1" s="1" t="s">
        <v>1</v>
      </c>
      <c r="B1" s="2"/>
      <c r="C1" s="2"/>
      <c r="D1" s="2"/>
      <c r="E1" s="2"/>
      <c r="F1" s="2"/>
      <c r="G1" s="4"/>
      <c r="H1" s="4"/>
      <c r="I1" s="4"/>
      <c r="J1" s="4"/>
      <c r="K1" s="4"/>
      <c r="L1" s="4"/>
      <c r="M1" s="4"/>
      <c r="N1" s="4"/>
      <c r="O1" s="4"/>
      <c r="P1" s="4"/>
    </row>
    <row r="2" ht="22.5" hidden="1" customHeight="1">
      <c r="A2" s="6" t="s">
        <v>10</v>
      </c>
      <c r="B2" s="6"/>
      <c r="C2" s="6"/>
      <c r="D2" s="6"/>
      <c r="E2" s="6"/>
      <c r="F2" s="6"/>
      <c r="G2" s="7"/>
      <c r="H2" s="7"/>
      <c r="I2" s="7"/>
      <c r="J2" s="7"/>
      <c r="K2" s="7"/>
      <c r="L2" s="7"/>
      <c r="M2" s="7"/>
      <c r="N2" s="7"/>
      <c r="O2" s="7"/>
      <c r="P2" s="7"/>
    </row>
    <row r="3" hidden="1"/>
    <row r="4" ht="16.5" hidden="1" customHeight="1">
      <c r="A4" s="8" t="s">
        <v>19</v>
      </c>
      <c r="B4" s="8" t="s">
        <v>24</v>
      </c>
      <c r="C4" s="8" t="s">
        <v>25</v>
      </c>
      <c r="D4" s="8" t="s">
        <v>27</v>
      </c>
      <c r="E4" s="8" t="s">
        <v>28</v>
      </c>
      <c r="F4" s="8" t="s">
        <v>30</v>
      </c>
      <c r="G4" s="8" t="s">
        <v>31</v>
      </c>
      <c r="H4" s="8" t="s">
        <v>32</v>
      </c>
      <c r="I4" s="8" t="s">
        <v>33</v>
      </c>
      <c r="J4" s="9" t="s">
        <v>35</v>
      </c>
      <c r="K4" s="9" t="s">
        <v>37</v>
      </c>
      <c r="L4" s="9" t="s">
        <v>38</v>
      </c>
      <c r="M4" s="9" t="s">
        <v>40</v>
      </c>
      <c r="N4" s="9" t="s">
        <v>41</v>
      </c>
      <c r="O4" s="9" t="s">
        <v>42</v>
      </c>
      <c r="P4" s="9" t="s">
        <v>43</v>
      </c>
    </row>
    <row r="5" ht="16.5" customHeight="1">
      <c r="A5" s="8" t="s">
        <v>45</v>
      </c>
      <c r="B5" s="8">
        <v>2018.0</v>
      </c>
      <c r="C5" s="8">
        <v>2019.0</v>
      </c>
      <c r="D5" s="8">
        <v>2020.0</v>
      </c>
      <c r="E5" s="8">
        <v>2021.0</v>
      </c>
      <c r="F5" s="8">
        <v>2022.0</v>
      </c>
      <c r="G5" s="8">
        <v>2023.0</v>
      </c>
      <c r="H5" s="8">
        <v>2024.0</v>
      </c>
      <c r="I5" s="8">
        <v>2025.0</v>
      </c>
      <c r="J5" s="10">
        <v>2026.0</v>
      </c>
      <c r="K5" s="9">
        <v>2027.0</v>
      </c>
      <c r="L5" s="9">
        <v>2028.0</v>
      </c>
      <c r="M5" s="9">
        <v>2029.0</v>
      </c>
      <c r="N5" s="9">
        <v>2030.0</v>
      </c>
      <c r="O5" s="9">
        <v>2031.0</v>
      </c>
      <c r="P5" s="9">
        <v>2032.0</v>
      </c>
      <c r="Q5" s="11"/>
      <c r="R5" s="11"/>
      <c r="S5" s="11"/>
      <c r="T5" s="11"/>
      <c r="U5" s="11"/>
      <c r="V5" s="11"/>
      <c r="W5" s="11"/>
      <c r="X5" s="11"/>
      <c r="Y5" s="11"/>
      <c r="Z5" s="11"/>
    </row>
    <row r="6">
      <c r="B6" s="12"/>
      <c r="C6" s="12"/>
      <c r="D6" s="12"/>
      <c r="E6" s="12"/>
      <c r="F6" s="12"/>
      <c r="G6" s="12"/>
      <c r="H6" s="12"/>
      <c r="I6" s="12"/>
      <c r="J6" s="12"/>
      <c r="K6" s="12"/>
      <c r="L6" s="12"/>
      <c r="M6" s="12"/>
      <c r="N6" s="12"/>
      <c r="O6" s="12"/>
      <c r="P6" s="12"/>
    </row>
    <row r="7" ht="19.5" customHeight="1">
      <c r="A7" s="13" t="s">
        <v>57</v>
      </c>
      <c r="B7" s="13"/>
      <c r="C7" s="13"/>
      <c r="D7" s="13"/>
      <c r="E7" s="13"/>
      <c r="F7" s="14"/>
      <c r="G7" s="14"/>
      <c r="H7" s="14"/>
      <c r="I7" s="14"/>
      <c r="J7" s="14"/>
      <c r="K7" s="14"/>
      <c r="L7" s="14"/>
      <c r="M7" s="14"/>
      <c r="N7" s="14"/>
      <c r="O7" s="14"/>
      <c r="P7" s="14"/>
    </row>
    <row r="8">
      <c r="A8" s="16" t="s">
        <v>59</v>
      </c>
      <c r="B8" s="17">
        <f>'Income Statement'!B36</f>
        <v>-1920000</v>
      </c>
      <c r="C8" s="17">
        <f>'Income Statement'!C36</f>
        <v>-2650000</v>
      </c>
      <c r="D8" s="17">
        <f>'Income Statement'!D36</f>
        <v>-4300000</v>
      </c>
      <c r="E8" s="20">
        <f>'Income Statement'!E36</f>
        <v>-5682000</v>
      </c>
      <c r="F8" s="17">
        <f>'Income Statement'!F36</f>
        <v>-21085000</v>
      </c>
      <c r="G8" s="17">
        <f>'Income Statement'!G36</f>
        <v>-40000000</v>
      </c>
      <c r="H8" s="17">
        <f>'Income Statement'!H36</f>
        <v>-62437500</v>
      </c>
      <c r="I8" s="17">
        <f>'Income Statement'!I36</f>
        <v>-90065000</v>
      </c>
      <c r="J8" s="20">
        <f>'Income Statement'!J36</f>
        <v>-146412406</v>
      </c>
      <c r="K8" s="20">
        <f>'Income Statement'!K36</f>
        <v>-95871205</v>
      </c>
      <c r="L8" s="20">
        <f>'Income Statement'!L36</f>
        <v>-50719065</v>
      </c>
      <c r="M8" s="20">
        <f>'Income Statement'!M36</f>
        <v>-52662101</v>
      </c>
      <c r="N8" s="20">
        <f>'Income Statement'!N36</f>
        <v>-61129099</v>
      </c>
      <c r="O8" s="20">
        <f>'Income Statement'!O36</f>
        <v>-77519297</v>
      </c>
      <c r="P8" s="20">
        <f>'Income Statement'!P36</f>
        <v>-104128599</v>
      </c>
    </row>
    <row r="9">
      <c r="A9" s="16" t="s">
        <v>61</v>
      </c>
      <c r="B9" s="17">
        <f>'Income Statement'!B27</f>
        <v>30000</v>
      </c>
      <c r="C9" s="17">
        <f>'Income Statement'!C27</f>
        <v>120000</v>
      </c>
      <c r="D9" s="17">
        <f>'Income Statement'!D27</f>
        <v>240000</v>
      </c>
      <c r="E9" s="20">
        <f>'Income Statement'!E27</f>
        <v>450000</v>
      </c>
      <c r="F9" s="17">
        <f>'Income Statement'!F27</f>
        <v>1100000</v>
      </c>
      <c r="G9" s="17">
        <f>'Income Statement'!G27</f>
        <v>3000000</v>
      </c>
      <c r="H9" s="17">
        <f>'Income Statement'!H27</f>
        <v>5000000</v>
      </c>
      <c r="I9" s="17">
        <f>'Income Statement'!I27</f>
        <v>7000000</v>
      </c>
      <c r="J9" s="20">
        <f>'Income Statement'!J27</f>
        <v>9799998</v>
      </c>
      <c r="K9" s="20">
        <f>'Income Statement'!K27</f>
        <v>13066664</v>
      </c>
      <c r="L9" s="20">
        <f>'Income Statement'!L27</f>
        <v>17422222</v>
      </c>
      <c r="M9" s="20">
        <f>'Income Statement'!M27</f>
        <v>23229626</v>
      </c>
      <c r="N9" s="20">
        <f>'Income Statement'!N27</f>
        <v>30972835</v>
      </c>
      <c r="O9" s="20">
        <f>'Income Statement'!O27</f>
        <v>41297113</v>
      </c>
      <c r="P9" s="20">
        <f>'Income Statement'!P27</f>
        <v>55062814</v>
      </c>
    </row>
    <row r="10">
      <c r="A10" s="16" t="s">
        <v>62</v>
      </c>
      <c r="B10" s="17">
        <f>'Income Statement'!B26</f>
        <v>40000</v>
      </c>
      <c r="C10" s="17">
        <f>'Income Statement'!C26</f>
        <v>100000</v>
      </c>
      <c r="D10" s="17">
        <f>'Income Statement'!D26</f>
        <v>240000</v>
      </c>
      <c r="E10" s="20">
        <f>'Income Statement'!E26</f>
        <v>450000</v>
      </c>
      <c r="F10" s="17">
        <f>'Income Statement'!F26</f>
        <v>750000</v>
      </c>
      <c r="G10" s="17">
        <f>'Income Statement'!G26</f>
        <v>2000000</v>
      </c>
      <c r="H10" s="17">
        <f>'Income Statement'!H26</f>
        <v>4000000</v>
      </c>
      <c r="I10" s="17">
        <f>'Income Statement'!I26</f>
        <v>7000000</v>
      </c>
      <c r="J10" s="20">
        <f>'Income Statement'!J26</f>
        <v>12280536</v>
      </c>
      <c r="K10" s="20">
        <f>'Income Statement'!K26</f>
        <v>14736643</v>
      </c>
      <c r="L10" s="20">
        <f>'Income Statement'!L26</f>
        <v>17683973</v>
      </c>
      <c r="M10" s="20">
        <f>'Income Statement'!M26</f>
        <v>21220768</v>
      </c>
      <c r="N10" s="20">
        <f>'Income Statement'!N26</f>
        <v>25464921</v>
      </c>
      <c r="O10" s="20">
        <f>'Income Statement'!O26</f>
        <v>30557908</v>
      </c>
      <c r="P10" s="20">
        <f>'Income Statement'!P26</f>
        <v>36669490</v>
      </c>
    </row>
    <row r="11">
      <c r="A11" s="16" t="s">
        <v>63</v>
      </c>
      <c r="B11" s="17">
        <f>-('Balance Sheet'!B9-0)</f>
        <v>0</v>
      </c>
      <c r="C11" s="17">
        <f>-('Balance Sheet'!C9-'Balance Sheet'!B9)</f>
        <v>-43836</v>
      </c>
      <c r="D11" s="17">
        <f>-('Balance Sheet'!D9-'Balance Sheet'!C9)</f>
        <v>-98630</v>
      </c>
      <c r="E11" s="20">
        <f>-('Balance Sheet'!E9-'Balance Sheet'!D9)</f>
        <v>-202739</v>
      </c>
      <c r="F11" s="17">
        <f>-('Balance Sheet'!F9-'Balance Sheet'!E9)</f>
        <v>-394521</v>
      </c>
      <c r="G11" s="17">
        <f>-('Balance Sheet'!G9-'Balance Sheet'!F9)</f>
        <v>-1495890</v>
      </c>
      <c r="H11" s="17">
        <f>-('Balance Sheet'!H9-'Balance Sheet'!G9)</f>
        <v>-4745206</v>
      </c>
      <c r="I11" s="17">
        <f>-('Balance Sheet'!I9-'Balance Sheet'!H9)</f>
        <v>-7441096</v>
      </c>
      <c r="J11" s="20">
        <f>-('Balance Sheet'!J9-'Balance Sheet'!I9)</f>
        <v>-5872874</v>
      </c>
      <c r="K11" s="20">
        <f>-('Balance Sheet'!K9-'Balance Sheet'!J9)</f>
        <v>-14203762</v>
      </c>
      <c r="L11" s="20">
        <f>-('Balance Sheet'!L9-'Balance Sheet'!K9)</f>
        <v>-6841120</v>
      </c>
      <c r="M11" s="20">
        <f>-('Balance Sheet'!M9-'Balance Sheet'!L9)</f>
        <v>-7016852</v>
      </c>
      <c r="N11" s="20">
        <f>-('Balance Sheet'!N9-'Balance Sheet'!M9)</f>
        <v>-7476249</v>
      </c>
      <c r="O11" s="20">
        <f>-('Balance Sheet'!O9-'Balance Sheet'!N9)</f>
        <v>-8213193</v>
      </c>
      <c r="P11" s="20">
        <f>-('Balance Sheet'!P9-'Balance Sheet'!O9)</f>
        <v>-9095031</v>
      </c>
    </row>
    <row r="12">
      <c r="A12" s="16" t="s">
        <v>65</v>
      </c>
      <c r="B12" s="17">
        <f>-('Balance Sheet'!B10-0)</f>
        <v>0</v>
      </c>
      <c r="C12" s="17">
        <f>-('Balance Sheet'!C10-'Balance Sheet'!B10)</f>
        <v>0</v>
      </c>
      <c r="D12" s="17">
        <f>-('Balance Sheet'!D10-'Balance Sheet'!C10)</f>
        <v>0</v>
      </c>
      <c r="E12" s="20">
        <f>-('Balance Sheet'!E10-'Balance Sheet'!D10)</f>
        <v>0</v>
      </c>
      <c r="F12" s="17">
        <f>-('Balance Sheet'!F10-'Balance Sheet'!E10)</f>
        <v>0</v>
      </c>
      <c r="G12" s="17">
        <f>-('Balance Sheet'!G10-'Balance Sheet'!F10)</f>
        <v>0</v>
      </c>
      <c r="H12" s="17">
        <f>-('Balance Sheet'!H10-'Balance Sheet'!G10)</f>
        <v>-2591600</v>
      </c>
      <c r="I12" s="17">
        <f>-('Balance Sheet'!I10-'Balance Sheet'!H10)</f>
        <v>-3648400</v>
      </c>
      <c r="J12" s="20">
        <f>-('Balance Sheet'!J10-'Balance Sheet'!I10)</f>
        <v>-2572626</v>
      </c>
      <c r="K12" s="20">
        <f>-('Balance Sheet'!K10-'Balance Sheet'!J10)</f>
        <v>-7836740</v>
      </c>
      <c r="L12" s="20">
        <f>-('Balance Sheet'!L10-'Balance Sheet'!K10)</f>
        <v>-3747967</v>
      </c>
      <c r="M12" s="20">
        <f>-('Balance Sheet'!M10-'Balance Sheet'!L10)</f>
        <v>-4260822</v>
      </c>
      <c r="N12" s="20">
        <f>-('Balance Sheet'!N10-'Balance Sheet'!M10)</f>
        <v>-4773883</v>
      </c>
      <c r="O12" s="20">
        <f>-('Balance Sheet'!O10-'Balance Sheet'!N10)</f>
        <v>-5584002</v>
      </c>
      <c r="P12" s="20">
        <f>-('Balance Sheet'!P10-'Balance Sheet'!O10)</f>
        <v>-6561095</v>
      </c>
    </row>
    <row r="13">
      <c r="A13" s="16" t="s">
        <v>73</v>
      </c>
      <c r="B13" s="17">
        <f>-('Balance Sheet'!B11-0)</f>
        <v>0</v>
      </c>
      <c r="C13" s="17">
        <f>-('Balance Sheet'!C11-'Balance Sheet'!B11)</f>
        <v>-20000</v>
      </c>
      <c r="D13" s="17">
        <f>-('Balance Sheet'!D11-'Balance Sheet'!C11)</f>
        <v>-45000</v>
      </c>
      <c r="E13" s="20">
        <f>-('Balance Sheet'!E11-'Balance Sheet'!D11)</f>
        <v>-85000</v>
      </c>
      <c r="F13" s="17">
        <f>-('Balance Sheet'!F11-'Balance Sheet'!E11)</f>
        <v>-210000</v>
      </c>
      <c r="G13" s="17">
        <f>-('Balance Sheet'!G11-'Balance Sheet'!F11)</f>
        <v>-660000</v>
      </c>
      <c r="H13" s="17">
        <f>-('Balance Sheet'!H11-'Balance Sheet'!G11)</f>
        <v>-1920000</v>
      </c>
      <c r="I13" s="17">
        <f>-('Balance Sheet'!I11-'Balance Sheet'!H11)</f>
        <v>-2700000</v>
      </c>
      <c r="J13" s="20">
        <f>-('Balance Sheet'!J11-'Balance Sheet'!I11)</f>
        <v>-2296713</v>
      </c>
      <c r="K13" s="20">
        <f>-('Balance Sheet'!K11-'Balance Sheet'!J11)</f>
        <v>-2030336</v>
      </c>
      <c r="L13" s="20">
        <f>-('Balance Sheet'!L11-'Balance Sheet'!K11)</f>
        <v>-1729634</v>
      </c>
      <c r="M13" s="20">
        <f>-('Balance Sheet'!M11-'Balance Sheet'!L11)</f>
        <v>-1545364</v>
      </c>
      <c r="N13" s="20">
        <f>-('Balance Sheet'!N11-'Balance Sheet'!M11)</f>
        <v>-1402595</v>
      </c>
      <c r="O13" s="20">
        <f>-('Balance Sheet'!O11-'Balance Sheet'!N11)</f>
        <v>-1283768</v>
      </c>
      <c r="P13" s="20">
        <f>-('Balance Sheet'!P11-'Balance Sheet'!O11)</f>
        <v>-1110672</v>
      </c>
    </row>
    <row r="14">
      <c r="A14" s="16" t="s">
        <v>76</v>
      </c>
      <c r="B14" s="17">
        <f>'Balance Sheet'!B17-0</f>
        <v>9452</v>
      </c>
      <c r="C14" s="17">
        <f>'Balance Sheet'!C17-'Balance Sheet'!B17</f>
        <v>26747</v>
      </c>
      <c r="D14" s="17">
        <f>'Balance Sheet'!D17-'Balance Sheet'!C17</f>
        <v>75582</v>
      </c>
      <c r="E14" s="20">
        <f>'Balance Sheet'!E17-'Balance Sheet'!D17</f>
        <v>98411</v>
      </c>
      <c r="F14" s="17">
        <f>'Balance Sheet'!F17-'Balance Sheet'!E17</f>
        <v>535698</v>
      </c>
      <c r="G14" s="17">
        <f>'Balance Sheet'!G17-'Balance Sheet'!F17</f>
        <v>601644</v>
      </c>
      <c r="H14" s="17">
        <f>'Balance Sheet'!H17-'Balance Sheet'!G17</f>
        <v>2178110</v>
      </c>
      <c r="I14" s="17">
        <f>'Balance Sheet'!I17-'Balance Sheet'!H17</f>
        <v>2657808</v>
      </c>
      <c r="J14" s="20">
        <f>'Balance Sheet'!J17-'Balance Sheet'!I17</f>
        <v>2860156</v>
      </c>
      <c r="K14" s="20">
        <f>'Balance Sheet'!K17-'Balance Sheet'!J17</f>
        <v>3369506</v>
      </c>
      <c r="L14" s="20">
        <f>'Balance Sheet'!L17-'Balance Sheet'!K17</f>
        <v>2207546</v>
      </c>
      <c r="M14" s="20">
        <f>'Balance Sheet'!M17-'Balance Sheet'!L17</f>
        <v>2427085</v>
      </c>
      <c r="N14" s="20">
        <f>'Balance Sheet'!N17-'Balance Sheet'!M17</f>
        <v>2626760</v>
      </c>
      <c r="O14" s="20">
        <f>'Balance Sheet'!O17-'Balance Sheet'!N17</f>
        <v>2994691</v>
      </c>
      <c r="P14" s="20">
        <f>'Balance Sheet'!P17-'Balance Sheet'!O17</f>
        <v>3413623</v>
      </c>
    </row>
    <row r="15">
      <c r="A15" s="16" t="s">
        <v>78</v>
      </c>
      <c r="B15" s="17">
        <f>'Balance Sheet'!B18-0</f>
        <v>92500</v>
      </c>
      <c r="C15" s="17">
        <f>'Balance Sheet'!C18-'Balance Sheet'!B18</f>
        <v>69500</v>
      </c>
      <c r="D15" s="17">
        <f>'Balance Sheet'!D18-'Balance Sheet'!C18</f>
        <v>163500</v>
      </c>
      <c r="E15" s="20">
        <f>'Balance Sheet'!E18-'Balance Sheet'!D18</f>
        <v>210500</v>
      </c>
      <c r="F15" s="17">
        <f>'Balance Sheet'!F18-'Balance Sheet'!E18</f>
        <v>1664000</v>
      </c>
      <c r="G15" s="17">
        <f>'Balance Sheet'!G18-'Balance Sheet'!F18</f>
        <v>2100000</v>
      </c>
      <c r="H15" s="17">
        <f>'Balance Sheet'!H18-'Balance Sheet'!G18</f>
        <v>4205000</v>
      </c>
      <c r="I15" s="17">
        <f>'Balance Sheet'!I18-'Balance Sheet'!H18</f>
        <v>6235000</v>
      </c>
      <c r="J15" s="20">
        <f>'Balance Sheet'!J18-'Balance Sheet'!I18</f>
        <v>5369630</v>
      </c>
      <c r="K15" s="20">
        <f>'Balance Sheet'!K18-'Balance Sheet'!J18</f>
        <v>169056</v>
      </c>
      <c r="L15" s="20">
        <f>'Balance Sheet'!L18-'Balance Sheet'!K18</f>
        <v>3005513</v>
      </c>
      <c r="M15" s="20">
        <f>'Balance Sheet'!M18-'Balance Sheet'!L18</f>
        <v>3390118</v>
      </c>
      <c r="N15" s="20">
        <f>'Balance Sheet'!N18-'Balance Sheet'!M18</f>
        <v>3806203</v>
      </c>
      <c r="O15" s="20">
        <f>'Balance Sheet'!O18-'Balance Sheet'!N18</f>
        <v>4538756</v>
      </c>
      <c r="P15" s="20">
        <f>'Balance Sheet'!P18-'Balance Sheet'!O18</f>
        <v>5391922</v>
      </c>
    </row>
    <row r="16">
      <c r="A16" s="16" t="s">
        <v>81</v>
      </c>
      <c r="B16" s="17">
        <f>'Balance Sheet'!B19-0</f>
        <v>0</v>
      </c>
      <c r="C16" s="17">
        <f>'Balance Sheet'!C19-'Balance Sheet'!B19</f>
        <v>40000</v>
      </c>
      <c r="D16" s="17">
        <f>'Balance Sheet'!D19-'Balance Sheet'!C19</f>
        <v>116000</v>
      </c>
      <c r="E16" s="20">
        <f>'Balance Sheet'!E19-'Balance Sheet'!D19</f>
        <v>324000</v>
      </c>
      <c r="F16" s="17">
        <f>'Balance Sheet'!F19-'Balance Sheet'!E19</f>
        <v>840000</v>
      </c>
      <c r="G16" s="17">
        <f>'Balance Sheet'!G19-'Balance Sheet'!F19</f>
        <v>2420000</v>
      </c>
      <c r="H16" s="17">
        <f>'Balance Sheet'!H19-'Balance Sheet'!G19</f>
        <v>2200000</v>
      </c>
      <c r="I16" s="17">
        <f>'Balance Sheet'!I19-'Balance Sheet'!H19</f>
        <v>1020000</v>
      </c>
      <c r="J16" s="20">
        <f>'Balance Sheet'!J19-'Balance Sheet'!I19</f>
        <v>1566872</v>
      </c>
      <c r="K16" s="20">
        <f>'Balance Sheet'!K19-'Balance Sheet'!J19</f>
        <v>1253496</v>
      </c>
      <c r="L16" s="20">
        <f>'Balance Sheet'!L19-'Balance Sheet'!K19</f>
        <v>974942</v>
      </c>
      <c r="M16" s="20">
        <f>'Balance Sheet'!M19-'Balance Sheet'!L19</f>
        <v>835665</v>
      </c>
      <c r="N16" s="20">
        <f>'Balance Sheet'!N19-'Balance Sheet'!M19</f>
        <v>696386</v>
      </c>
      <c r="O16" s="20">
        <f>'Balance Sheet'!O19-'Balance Sheet'!N19</f>
        <v>557110</v>
      </c>
      <c r="P16" s="20">
        <f>'Balance Sheet'!P19-'Balance Sheet'!O19</f>
        <v>417833</v>
      </c>
    </row>
    <row r="17" ht="17.25" customHeight="1">
      <c r="A17" s="38" t="s">
        <v>83</v>
      </c>
      <c r="B17" s="39">
        <f t="shared" ref="B17:P17" si="1">SUM(B8:B16)</f>
        <v>-1748048</v>
      </c>
      <c r="C17" s="39">
        <f t="shared" si="1"/>
        <v>-2357589</v>
      </c>
      <c r="D17" s="39">
        <f t="shared" si="1"/>
        <v>-3608548</v>
      </c>
      <c r="E17" s="39">
        <f t="shared" si="1"/>
        <v>-4436828</v>
      </c>
      <c r="F17" s="39">
        <f t="shared" si="1"/>
        <v>-16799823</v>
      </c>
      <c r="G17" s="39">
        <f t="shared" si="1"/>
        <v>-32034246</v>
      </c>
      <c r="H17" s="39">
        <f t="shared" si="1"/>
        <v>-54111196</v>
      </c>
      <c r="I17" s="39">
        <f t="shared" si="1"/>
        <v>-79941688</v>
      </c>
      <c r="J17" s="39">
        <f t="shared" si="1"/>
        <v>-125277427</v>
      </c>
      <c r="K17" s="39">
        <f t="shared" si="1"/>
        <v>-87346678</v>
      </c>
      <c r="L17" s="39">
        <f t="shared" si="1"/>
        <v>-21743590</v>
      </c>
      <c r="M17" s="39">
        <f t="shared" si="1"/>
        <v>-14381877</v>
      </c>
      <c r="N17" s="39">
        <f t="shared" si="1"/>
        <v>-11214721</v>
      </c>
      <c r="O17" s="39">
        <f t="shared" si="1"/>
        <v>-12654682</v>
      </c>
      <c r="P17" s="39">
        <f t="shared" si="1"/>
        <v>-19939715</v>
      </c>
    </row>
    <row r="18">
      <c r="B18" s="17"/>
      <c r="C18" s="17"/>
      <c r="D18" s="17"/>
      <c r="E18" s="20"/>
      <c r="F18" s="17"/>
      <c r="G18" s="17"/>
      <c r="H18" s="17"/>
      <c r="I18" s="17"/>
      <c r="J18" s="20"/>
      <c r="K18" s="20"/>
      <c r="L18" s="20"/>
      <c r="M18" s="20"/>
      <c r="N18" s="20"/>
      <c r="O18" s="20"/>
      <c r="P18" s="20"/>
    </row>
    <row r="19" ht="19.5" customHeight="1">
      <c r="A19" s="13" t="s">
        <v>84</v>
      </c>
      <c r="B19" s="13"/>
      <c r="C19" s="13"/>
      <c r="D19" s="13"/>
      <c r="E19" s="13"/>
      <c r="F19" s="40"/>
      <c r="G19" s="40"/>
      <c r="H19" s="40"/>
      <c r="I19" s="40"/>
      <c r="J19" s="40"/>
      <c r="K19" s="40"/>
      <c r="L19" s="40"/>
      <c r="M19" s="40"/>
      <c r="N19" s="40"/>
      <c r="O19" s="40"/>
      <c r="P19" s="40"/>
    </row>
    <row r="20">
      <c r="A20" s="16" t="s">
        <v>85</v>
      </c>
      <c r="B20" s="30">
        <f>-SUMIF('Monthly Data'!$B$2:$B1000,B$5,'Monthly Data'!$T$2:$T1000)</f>
        <v>-350000</v>
      </c>
      <c r="C20" s="30">
        <f>-SUMIF('Monthly Data'!$B$2:$B1000,C$5,'Monthly Data'!$T$2:$T1000)</f>
        <v>-750000</v>
      </c>
      <c r="D20" s="30">
        <f>-SUMIF('Monthly Data'!$B$2:$B1000,D$5,'Monthly Data'!$T$2:$T1000)</f>
        <v>-1250000</v>
      </c>
      <c r="E20" s="31">
        <f>-SUMIF('Monthly Data'!$B$2:$B1000,E$5,'Monthly Data'!$T$2:$T1000)</f>
        <v>-2500000</v>
      </c>
      <c r="F20" s="30">
        <f>-SUMIF('Monthly Data'!$B$2:$B1000,F$5,'Monthly Data'!$T$2:$T1000)</f>
        <v>-3000000</v>
      </c>
      <c r="G20" s="30">
        <f>-SUMIF('Monthly Data'!$B$2:$B1000,G$5,'Monthly Data'!$T$2:$T1000)</f>
        <v>-6000000</v>
      </c>
      <c r="H20" s="30">
        <f>-SUMIF('Monthly Data'!$B$2:$B1000,H$5,'Monthly Data'!$T$2:$T1000)</f>
        <v>-12000000</v>
      </c>
      <c r="I20" s="30">
        <f>-SUMIF('Monthly Data'!$B$2:$B1000,I$5,'Monthly Data'!$T$2:$T1000)</f>
        <v>-16000000</v>
      </c>
      <c r="J20" s="31">
        <f>-SUMIF('Monthly Data'!$B$2:$B1000,J$5,'Monthly Data'!$T$2:$T1000)</f>
        <v>-21407247</v>
      </c>
      <c r="K20" s="31">
        <f>-SUMIF('Monthly Data'!$B$2:$B1000,K$5,'Monthly Data'!$T$2:$T1000)</f>
        <v>-28542997</v>
      </c>
      <c r="L20" s="31">
        <f>-SUMIF('Monthly Data'!$B$2:$B1000,L$5,'Monthly Data'!$T$2:$T1000)</f>
        <v>-38057330</v>
      </c>
      <c r="M20" s="31">
        <f>-SUMIF('Monthly Data'!$B$2:$B1000,M$5,'Monthly Data'!$T$2:$T1000)</f>
        <v>-50743107</v>
      </c>
      <c r="N20" s="31">
        <f>-SUMIF('Monthly Data'!$B$2:$B1000,N$5,'Monthly Data'!$T$2:$T1000)</f>
        <v>-67657474</v>
      </c>
      <c r="O20" s="31">
        <f>-SUMIF('Monthly Data'!$B$2:$B1000,O$5,'Monthly Data'!$T$2:$T1000)</f>
        <v>-90209965</v>
      </c>
      <c r="P20" s="31">
        <f>-SUMIF('Monthly Data'!$B$2:$B1000,P$5,'Monthly Data'!$T$2:$T1000)</f>
        <v>-120279954</v>
      </c>
    </row>
    <row r="21" ht="17.25" customHeight="1">
      <c r="A21" s="38" t="s">
        <v>88</v>
      </c>
      <c r="B21" s="39">
        <f t="shared" ref="B21:P21" si="2">B20</f>
        <v>-350000</v>
      </c>
      <c r="C21" s="39">
        <f t="shared" si="2"/>
        <v>-750000</v>
      </c>
      <c r="D21" s="39">
        <f t="shared" si="2"/>
        <v>-1250000</v>
      </c>
      <c r="E21" s="39">
        <f t="shared" si="2"/>
        <v>-2500000</v>
      </c>
      <c r="F21" s="39">
        <f t="shared" si="2"/>
        <v>-3000000</v>
      </c>
      <c r="G21" s="39">
        <f t="shared" si="2"/>
        <v>-6000000</v>
      </c>
      <c r="H21" s="39">
        <f t="shared" si="2"/>
        <v>-12000000</v>
      </c>
      <c r="I21" s="39">
        <f t="shared" si="2"/>
        <v>-16000000</v>
      </c>
      <c r="J21" s="39">
        <f t="shared" si="2"/>
        <v>-21407247</v>
      </c>
      <c r="K21" s="39">
        <f t="shared" si="2"/>
        <v>-28542997</v>
      </c>
      <c r="L21" s="39">
        <f t="shared" si="2"/>
        <v>-38057330</v>
      </c>
      <c r="M21" s="39">
        <f t="shared" si="2"/>
        <v>-50743107</v>
      </c>
      <c r="N21" s="39">
        <f t="shared" si="2"/>
        <v>-67657474</v>
      </c>
      <c r="O21" s="39">
        <f t="shared" si="2"/>
        <v>-90209965</v>
      </c>
      <c r="P21" s="39">
        <f t="shared" si="2"/>
        <v>-120279954</v>
      </c>
    </row>
    <row r="22">
      <c r="B22" s="17"/>
      <c r="C22" s="17"/>
      <c r="D22" s="17"/>
      <c r="E22" s="20"/>
      <c r="F22" s="17"/>
      <c r="G22" s="17"/>
      <c r="H22" s="17"/>
      <c r="I22" s="17"/>
      <c r="J22" s="20"/>
      <c r="K22" s="20"/>
      <c r="L22" s="20"/>
      <c r="M22" s="20"/>
      <c r="N22" s="20"/>
      <c r="O22" s="20"/>
      <c r="P22" s="20"/>
    </row>
    <row r="23" ht="19.5" customHeight="1">
      <c r="A23" s="13" t="s">
        <v>89</v>
      </c>
      <c r="B23" s="13"/>
      <c r="C23" s="13"/>
      <c r="D23" s="13"/>
      <c r="E23" s="13"/>
      <c r="F23" s="40"/>
      <c r="G23" s="40"/>
      <c r="H23" s="40"/>
      <c r="I23" s="40"/>
      <c r="J23" s="40"/>
      <c r="K23" s="40"/>
      <c r="L23" s="40"/>
      <c r="M23" s="40"/>
      <c r="N23" s="40"/>
      <c r="O23" s="40"/>
      <c r="P23" s="40"/>
    </row>
    <row r="24">
      <c r="A24" s="16" t="s">
        <v>90</v>
      </c>
      <c r="B24" s="41">
        <f>SUMIF('Monthly Data'!$B$2:$B1000,B$5,'Monthly Data'!$U$2:$U1000)</f>
        <v>6000000</v>
      </c>
      <c r="C24" s="41">
        <f>SUMIF('Monthly Data'!$B$2:$B1000,C$5,'Monthly Data'!$U$2:$U1000)</f>
        <v>0</v>
      </c>
      <c r="D24" s="41">
        <f>SUMIF('Monthly Data'!$B$2:$B1000,D$5,'Monthly Data'!$U$2:$U1000)</f>
        <v>24000000</v>
      </c>
      <c r="E24" s="42">
        <f>SUMIF('Monthly Data'!$B$2:$B1000,E$5,'Monthly Data'!$U$2:$U1000)</f>
        <v>0</v>
      </c>
      <c r="F24" s="41">
        <f>SUMIF('Monthly Data'!$B$2:$B1000,F$5,'Monthly Data'!$U$2:$U1000)</f>
        <v>60000000</v>
      </c>
      <c r="G24" s="41">
        <f>SUMIF('Monthly Data'!$B$2:$B1000,G$5,'Monthly Data'!$U$2:$U1000)</f>
        <v>0</v>
      </c>
      <c r="H24" s="41">
        <f>SUMIF('Monthly Data'!$B$2:$B1000,H$5,'Monthly Data'!$U$2:$U1000)</f>
        <v>110000000</v>
      </c>
      <c r="I24" s="41">
        <f>SUMIF('Monthly Data'!$B$2:$B1000,I$5,'Monthly Data'!$U$2:$U1000)</f>
        <v>0</v>
      </c>
      <c r="J24" s="42">
        <f>SUMIF('Monthly Data'!$B$2:$B1000,J$5,'Monthly Data'!$U$2:$U1000)</f>
        <v>155000000</v>
      </c>
      <c r="K24" s="42">
        <f>SUMIF('Monthly Data'!$B$2:$B1000,K$5,'Monthly Data'!$U$2:$U1000)</f>
        <v>200000000</v>
      </c>
      <c r="L24" s="42">
        <f>SUMIF('Monthly Data'!$B$2:$B1000,L$5,'Monthly Data'!$U$2:$U1000)</f>
        <v>225000000</v>
      </c>
      <c r="M24" s="42">
        <f>SUMIF('Monthly Data'!$B$2:$B1000,M$5,'Monthly Data'!$U$2:$U1000)</f>
        <v>0</v>
      </c>
      <c r="N24" s="42">
        <f>SUMIF('Monthly Data'!$B$2:$B1000,N$5,'Monthly Data'!$U$2:$U1000)</f>
        <v>0</v>
      </c>
      <c r="O24" s="42">
        <f>SUMIF('Monthly Data'!$B$2:$B1000,O$5,'Monthly Data'!$U$2:$U1000)</f>
        <v>0</v>
      </c>
      <c r="P24" s="42">
        <f>SUMIF('Monthly Data'!$B$2:$B1000,P$5,'Monthly Data'!$U$2:$U1000)</f>
        <v>0</v>
      </c>
    </row>
    <row r="25">
      <c r="A25" s="16" t="s">
        <v>92</v>
      </c>
      <c r="B25" s="30">
        <f>SUMIF('Monthly Data'!$B$2:$B1000,B$5,'Monthly Data'!$V$2:$V1000)</f>
        <v>0</v>
      </c>
      <c r="C25" s="30">
        <f>SUMIF('Monthly Data'!$B$2:$B1000,C$5,'Monthly Data'!$V$2:$V1000)</f>
        <v>0</v>
      </c>
      <c r="D25" s="30">
        <f>SUMIF('Monthly Data'!$B$2:$B1000,D$5,'Monthly Data'!$V$2:$V1000)</f>
        <v>0</v>
      </c>
      <c r="E25" s="31">
        <f>SUMIF('Monthly Data'!$B$2:$B1000,E$5,'Monthly Data'!$V$2:$V1000)</f>
        <v>0</v>
      </c>
      <c r="F25" s="30">
        <f>SUMIF('Monthly Data'!$B$2:$B1000,F$5,'Monthly Data'!$V$2:$V1000)</f>
        <v>22000000</v>
      </c>
      <c r="G25" s="30">
        <f>SUMIF('Monthly Data'!$B$2:$B1000,G$5,'Monthly Data'!$V$2:$V1000)</f>
        <v>40000000</v>
      </c>
      <c r="H25" s="30">
        <f>SUMIF('Monthly Data'!$B$2:$B1000,H$5,'Monthly Data'!$V$2:$V1000)</f>
        <v>0</v>
      </c>
      <c r="I25" s="30">
        <f>SUMIF('Monthly Data'!$B$2:$B1000,I$5,'Monthly Data'!$V$2:$V1000)</f>
        <v>40000000</v>
      </c>
      <c r="J25" s="31">
        <f>SUMIF('Monthly Data'!$B$2:$B1000,J$5,'Monthly Data'!$V$2:$V1000)</f>
        <v>0</v>
      </c>
      <c r="K25" s="31">
        <f>SUMIF('Monthly Data'!$B$2:$B1000,K$5,'Monthly Data'!$V$2:$V1000)</f>
        <v>0</v>
      </c>
      <c r="L25" s="31">
        <f>SUMIF('Monthly Data'!$B$2:$B1000,L$5,'Monthly Data'!$V$2:$V1000)</f>
        <v>0</v>
      </c>
      <c r="M25" s="31">
        <f>SUMIF('Monthly Data'!$B$2:$B1000,M$5,'Monthly Data'!$V$2:$V1000)</f>
        <v>0</v>
      </c>
      <c r="N25" s="31">
        <f>SUMIF('Monthly Data'!$B$2:$B1000,N$5,'Monthly Data'!$V$2:$V1000)</f>
        <v>0</v>
      </c>
      <c r="O25" s="31">
        <f>SUMIF('Monthly Data'!$B$2:$B1000,O$5,'Monthly Data'!$V$2:$V1000)</f>
        <v>0</v>
      </c>
      <c r="P25" s="31">
        <f>SUMIF('Monthly Data'!$B$2:$B1000,P$5,'Monthly Data'!$V$2:$V1000)</f>
        <v>0</v>
      </c>
    </row>
    <row r="26">
      <c r="A26" s="16" t="s">
        <v>95</v>
      </c>
      <c r="B26" s="30">
        <f>-SUMIF('Monthly Data'!$B$2:$B1000,B$5,'Monthly Data'!$W$2:$W1000)</f>
        <v>0</v>
      </c>
      <c r="C26" s="30">
        <f>-SUMIF('Monthly Data'!$B$2:$B1000,C$5,'Monthly Data'!$W$2:$W1000)</f>
        <v>0</v>
      </c>
      <c r="D26" s="30">
        <f>-SUMIF('Monthly Data'!$B$2:$B1000,D$5,'Monthly Data'!$W$2:$W1000)</f>
        <v>0</v>
      </c>
      <c r="E26" s="31">
        <f>-SUMIF('Monthly Data'!$B$2:$B1000,E$5,'Monthly Data'!$W$2:$W1000)</f>
        <v>0</v>
      </c>
      <c r="F26" s="30">
        <f>-SUMIF('Monthly Data'!$B$2:$B1000,F$5,'Monthly Data'!$W$2:$W1000)</f>
        <v>0</v>
      </c>
      <c r="G26" s="30">
        <f>-SUMIF('Monthly Data'!$B$2:$B1000,G$5,'Monthly Data'!$W$2:$W1000)</f>
        <v>0</v>
      </c>
      <c r="H26" s="30">
        <f>-SUMIF('Monthly Data'!$B$2:$B1000,H$5,'Monthly Data'!$W$2:$W1000)</f>
        <v>-5000000</v>
      </c>
      <c r="I26" s="30">
        <f>-SUMIF('Monthly Data'!$B$2:$B1000,I$5,'Monthly Data'!$W$2:$W1000)</f>
        <v>0</v>
      </c>
      <c r="J26" s="31">
        <f>-SUMIF('Monthly Data'!$B$2:$B1000,J$5,'Monthly Data'!$W$2:$W1000)</f>
        <v>0</v>
      </c>
      <c r="K26" s="31">
        <f>-SUMIF('Monthly Data'!$B$2:$B1000,K$5,'Monthly Data'!$W$2:$W1000)</f>
        <v>-15000000</v>
      </c>
      <c r="L26" s="31">
        <f>-SUMIF('Monthly Data'!$B$2:$B1000,L$5,'Monthly Data'!$W$2:$W1000)</f>
        <v>-15000000</v>
      </c>
      <c r="M26" s="31">
        <f>-SUMIF('Monthly Data'!$B$2:$B1000,M$5,'Monthly Data'!$W$2:$W1000)</f>
        <v>-15000000</v>
      </c>
      <c r="N26" s="31">
        <f>-SUMIF('Monthly Data'!$B$2:$B1000,N$5,'Monthly Data'!$W$2:$W1000)</f>
        <v>-15000000</v>
      </c>
      <c r="O26" s="31">
        <f>-SUMIF('Monthly Data'!$B$2:$B1000,O$5,'Monthly Data'!$W$2:$W1000)</f>
        <v>-15000000</v>
      </c>
      <c r="P26" s="31">
        <f>-SUMIF('Monthly Data'!$B$2:$B1000,P$5,'Monthly Data'!$W$2:$W1000)</f>
        <v>-15000000</v>
      </c>
    </row>
    <row r="27" ht="17.25" customHeight="1">
      <c r="A27" s="38" t="s">
        <v>98</v>
      </c>
      <c r="B27" s="39">
        <f t="shared" ref="B27:P27" si="3">SUM(B24:B26)</f>
        <v>6000000</v>
      </c>
      <c r="C27" s="39">
        <f t="shared" si="3"/>
        <v>0</v>
      </c>
      <c r="D27" s="39">
        <f t="shared" si="3"/>
        <v>24000000</v>
      </c>
      <c r="E27" s="39">
        <f t="shared" si="3"/>
        <v>0</v>
      </c>
      <c r="F27" s="39">
        <f t="shared" si="3"/>
        <v>82000000</v>
      </c>
      <c r="G27" s="39">
        <f t="shared" si="3"/>
        <v>40000000</v>
      </c>
      <c r="H27" s="39">
        <f t="shared" si="3"/>
        <v>105000000</v>
      </c>
      <c r="I27" s="39">
        <f t="shared" si="3"/>
        <v>40000000</v>
      </c>
      <c r="J27" s="39">
        <f t="shared" si="3"/>
        <v>155000000</v>
      </c>
      <c r="K27" s="39">
        <f t="shared" si="3"/>
        <v>185000000</v>
      </c>
      <c r="L27" s="39">
        <f t="shared" si="3"/>
        <v>210000000</v>
      </c>
      <c r="M27" s="39">
        <f t="shared" si="3"/>
        <v>-15000000</v>
      </c>
      <c r="N27" s="39">
        <f t="shared" si="3"/>
        <v>-15000000</v>
      </c>
      <c r="O27" s="39">
        <f t="shared" si="3"/>
        <v>-15000000</v>
      </c>
      <c r="P27" s="39">
        <f t="shared" si="3"/>
        <v>-15000000</v>
      </c>
    </row>
    <row r="28">
      <c r="B28" s="17"/>
      <c r="C28" s="17"/>
      <c r="D28" s="17"/>
      <c r="E28" s="20"/>
      <c r="F28" s="17"/>
      <c r="G28" s="17"/>
      <c r="H28" s="17"/>
      <c r="I28" s="17"/>
      <c r="J28" s="20"/>
      <c r="K28" s="20"/>
      <c r="L28" s="20"/>
      <c r="M28" s="20"/>
      <c r="N28" s="20"/>
      <c r="O28" s="20"/>
      <c r="P28" s="20"/>
    </row>
    <row r="29" ht="19.5" customHeight="1">
      <c r="A29" s="13" t="s">
        <v>99</v>
      </c>
      <c r="B29" s="13"/>
      <c r="C29" s="13"/>
      <c r="D29" s="13"/>
      <c r="E29" s="13"/>
      <c r="F29" s="40"/>
      <c r="G29" s="40"/>
      <c r="H29" s="40"/>
      <c r="I29" s="40"/>
      <c r="J29" s="40"/>
      <c r="K29" s="40"/>
      <c r="L29" s="40"/>
      <c r="M29" s="40"/>
      <c r="N29" s="40"/>
      <c r="O29" s="40"/>
      <c r="P29" s="40"/>
    </row>
    <row r="30" ht="17.25" customHeight="1">
      <c r="A30" s="38" t="s">
        <v>100</v>
      </c>
      <c r="B30" s="39">
        <f t="shared" ref="B30:P30" si="4">SUM(B17,B21,B27)</f>
        <v>3901952</v>
      </c>
      <c r="C30" s="39">
        <f t="shared" si="4"/>
        <v>-3107589</v>
      </c>
      <c r="D30" s="39">
        <f t="shared" si="4"/>
        <v>19141452</v>
      </c>
      <c r="E30" s="39">
        <f t="shared" si="4"/>
        <v>-6936828</v>
      </c>
      <c r="F30" s="39">
        <f t="shared" si="4"/>
        <v>62200177</v>
      </c>
      <c r="G30" s="39">
        <f t="shared" si="4"/>
        <v>1965754</v>
      </c>
      <c r="H30" s="39">
        <f t="shared" si="4"/>
        <v>38888804</v>
      </c>
      <c r="I30" s="39">
        <f t="shared" si="4"/>
        <v>-55941688</v>
      </c>
      <c r="J30" s="39">
        <f t="shared" si="4"/>
        <v>8315326</v>
      </c>
      <c r="K30" s="39">
        <f t="shared" si="4"/>
        <v>69110325</v>
      </c>
      <c r="L30" s="39">
        <f t="shared" si="4"/>
        <v>150199080</v>
      </c>
      <c r="M30" s="39">
        <f t="shared" si="4"/>
        <v>-80124984</v>
      </c>
      <c r="N30" s="39">
        <f t="shared" si="4"/>
        <v>-93872195</v>
      </c>
      <c r="O30" s="39">
        <f t="shared" si="4"/>
        <v>-117864647</v>
      </c>
      <c r="P30" s="39">
        <f t="shared" si="4"/>
        <v>-155219669</v>
      </c>
    </row>
    <row r="31">
      <c r="A31" s="16" t="s">
        <v>102</v>
      </c>
      <c r="B31" s="17">
        <f>0</f>
        <v>0</v>
      </c>
      <c r="C31" s="17">
        <f>'Balance Sheet'!B8</f>
        <v>3901952</v>
      </c>
      <c r="D31" s="17">
        <f>'Balance Sheet'!C8</f>
        <v>794363</v>
      </c>
      <c r="E31" s="20">
        <f>'Balance Sheet'!D8</f>
        <v>19935815</v>
      </c>
      <c r="F31" s="17">
        <f>'Balance Sheet'!E8</f>
        <v>12998987</v>
      </c>
      <c r="G31" s="17">
        <f>'Balance Sheet'!F8</f>
        <v>75199164</v>
      </c>
      <c r="H31" s="17">
        <f>'Balance Sheet'!G8</f>
        <v>77164918</v>
      </c>
      <c r="I31" s="17">
        <f>'Balance Sheet'!H8</f>
        <v>116053722</v>
      </c>
      <c r="J31" s="20">
        <f>'Balance Sheet'!I8</f>
        <v>60112034</v>
      </c>
      <c r="K31" s="20">
        <f>'Balance Sheet'!J8</f>
        <v>68427360</v>
      </c>
      <c r="L31" s="20">
        <f>'Balance Sheet'!K8</f>
        <v>137537685</v>
      </c>
      <c r="M31" s="20">
        <f>'Balance Sheet'!L8</f>
        <v>287736765</v>
      </c>
      <c r="N31" s="20">
        <f>'Balance Sheet'!M8</f>
        <v>207611781</v>
      </c>
      <c r="O31" s="20">
        <f>'Balance Sheet'!N8</f>
        <v>113739586</v>
      </c>
      <c r="P31" s="20">
        <f>'Balance Sheet'!O8</f>
        <v>-4125061</v>
      </c>
    </row>
    <row r="32" ht="17.25" customHeight="1">
      <c r="A32" s="38" t="s">
        <v>104</v>
      </c>
      <c r="B32" s="39">
        <f t="shared" ref="B32:P32" si="5">SUM(B30:B31)</f>
        <v>3901952</v>
      </c>
      <c r="C32" s="39">
        <f t="shared" si="5"/>
        <v>794363</v>
      </c>
      <c r="D32" s="39">
        <f t="shared" si="5"/>
        <v>19935815</v>
      </c>
      <c r="E32" s="39">
        <f t="shared" si="5"/>
        <v>12998987</v>
      </c>
      <c r="F32" s="39">
        <f t="shared" si="5"/>
        <v>75199164</v>
      </c>
      <c r="G32" s="39">
        <f t="shared" si="5"/>
        <v>77164918</v>
      </c>
      <c r="H32" s="39">
        <f t="shared" si="5"/>
        <v>116053722</v>
      </c>
      <c r="I32" s="39">
        <f t="shared" si="5"/>
        <v>60112034</v>
      </c>
      <c r="J32" s="39">
        <f t="shared" si="5"/>
        <v>68427360</v>
      </c>
      <c r="K32" s="39">
        <f t="shared" si="5"/>
        <v>137537685</v>
      </c>
      <c r="L32" s="39">
        <f t="shared" si="5"/>
        <v>287736765</v>
      </c>
      <c r="M32" s="39">
        <f t="shared" si="5"/>
        <v>207611781</v>
      </c>
      <c r="N32" s="39">
        <f t="shared" si="5"/>
        <v>113739586</v>
      </c>
      <c r="O32" s="39">
        <f t="shared" si="5"/>
        <v>-4125061</v>
      </c>
      <c r="P32" s="39">
        <f t="shared" si="5"/>
        <v>-159344730</v>
      </c>
    </row>
    <row r="33">
      <c r="A33" s="16" t="s">
        <v>105</v>
      </c>
      <c r="B33" s="17">
        <f>'Balance Sheet'!B8</f>
        <v>3901952</v>
      </c>
      <c r="C33" s="17">
        <f>'Balance Sheet'!C8</f>
        <v>794363</v>
      </c>
      <c r="D33" s="17">
        <f>'Balance Sheet'!D8</f>
        <v>19935815</v>
      </c>
      <c r="E33" s="20">
        <f>'Balance Sheet'!E8</f>
        <v>12998987</v>
      </c>
      <c r="F33" s="17">
        <f>'Balance Sheet'!F8</f>
        <v>75199164</v>
      </c>
      <c r="G33" s="17">
        <f>'Balance Sheet'!G8</f>
        <v>77164918</v>
      </c>
      <c r="H33" s="17">
        <f>'Balance Sheet'!H8</f>
        <v>116053722</v>
      </c>
      <c r="I33" s="17">
        <f>'Balance Sheet'!I8</f>
        <v>60112034</v>
      </c>
      <c r="J33" s="20">
        <f>'Balance Sheet'!J8</f>
        <v>68427360</v>
      </c>
      <c r="K33" s="20">
        <f>'Balance Sheet'!K8</f>
        <v>137537685</v>
      </c>
      <c r="L33" s="20">
        <f>'Balance Sheet'!L8</f>
        <v>287736765</v>
      </c>
      <c r="M33" s="20">
        <f>'Balance Sheet'!M8</f>
        <v>207611781</v>
      </c>
      <c r="N33" s="20">
        <f>'Balance Sheet'!N8</f>
        <v>113739586</v>
      </c>
      <c r="O33" s="20">
        <f>'Balance Sheet'!O8</f>
        <v>-4125061</v>
      </c>
      <c r="P33" s="20">
        <f>'Balance Sheet'!P8</f>
        <v>-159344730</v>
      </c>
    </row>
    <row r="34" ht="17.25" customHeight="1">
      <c r="A34" s="38" t="s">
        <v>108</v>
      </c>
      <c r="B34" s="39">
        <f t="shared" ref="B34:P34" si="6">B32-B33</f>
        <v>0</v>
      </c>
      <c r="C34" s="39">
        <f t="shared" si="6"/>
        <v>0</v>
      </c>
      <c r="D34" s="39">
        <f t="shared" si="6"/>
        <v>0</v>
      </c>
      <c r="E34" s="39">
        <f t="shared" si="6"/>
        <v>0</v>
      </c>
      <c r="F34" s="39">
        <f t="shared" si="6"/>
        <v>0</v>
      </c>
      <c r="G34" s="39">
        <f t="shared" si="6"/>
        <v>0</v>
      </c>
      <c r="H34" s="39">
        <f t="shared" si="6"/>
        <v>0</v>
      </c>
      <c r="I34" s="39">
        <f t="shared" si="6"/>
        <v>0</v>
      </c>
      <c r="J34" s="39">
        <f t="shared" si="6"/>
        <v>0</v>
      </c>
      <c r="K34" s="39">
        <f t="shared" si="6"/>
        <v>0</v>
      </c>
      <c r="L34" s="39">
        <f t="shared" si="6"/>
        <v>0</v>
      </c>
      <c r="M34" s="39">
        <f t="shared" si="6"/>
        <v>0</v>
      </c>
      <c r="N34" s="39">
        <f t="shared" si="6"/>
        <v>0</v>
      </c>
      <c r="O34" s="39">
        <f t="shared" si="6"/>
        <v>0</v>
      </c>
      <c r="P34" s="39">
        <f t="shared" si="6"/>
        <v>0</v>
      </c>
    </row>
    <row r="35">
      <c r="B35" s="12"/>
      <c r="C35" s="12"/>
      <c r="D35" s="12"/>
      <c r="E35" s="12"/>
      <c r="F35" s="12"/>
      <c r="G35" s="12"/>
      <c r="H35" s="12"/>
      <c r="I35" s="12"/>
      <c r="J35" s="12"/>
    </row>
    <row r="36">
      <c r="B36" s="12"/>
      <c r="C36" s="12"/>
      <c r="D36" s="12"/>
      <c r="E36" s="12"/>
      <c r="F36" s="12"/>
      <c r="G36" s="12"/>
      <c r="H36" s="12"/>
      <c r="I36" s="12"/>
      <c r="J36" s="12"/>
    </row>
    <row r="37">
      <c r="B37" s="12"/>
      <c r="C37" s="12"/>
      <c r="D37" s="12"/>
      <c r="E37" s="12"/>
      <c r="F37" s="12"/>
      <c r="G37" s="12"/>
      <c r="H37" s="12"/>
      <c r="I37" s="12"/>
      <c r="J37" s="12"/>
    </row>
    <row r="38">
      <c r="B38" s="12"/>
      <c r="C38" s="12"/>
      <c r="D38" s="12"/>
      <c r="E38" s="12"/>
      <c r="F38" s="12"/>
      <c r="G38" s="12"/>
      <c r="H38" s="12"/>
      <c r="I38" s="12"/>
      <c r="J38" s="12"/>
    </row>
    <row r="39">
      <c r="B39" s="12"/>
      <c r="C39" s="12"/>
      <c r="D39" s="12"/>
      <c r="E39" s="12"/>
      <c r="F39" s="12"/>
      <c r="G39" s="12"/>
      <c r="H39" s="12"/>
      <c r="I39" s="12"/>
      <c r="J39" s="12"/>
    </row>
    <row r="40">
      <c r="B40" s="12"/>
      <c r="C40" s="12"/>
      <c r="D40" s="12"/>
      <c r="E40" s="12"/>
      <c r="F40" s="12"/>
      <c r="G40" s="12"/>
      <c r="H40" s="12"/>
      <c r="I40" s="12"/>
      <c r="J40" s="12"/>
    </row>
    <row r="41">
      <c r="B41" s="12"/>
      <c r="C41" s="12"/>
      <c r="D41" s="12"/>
      <c r="E41" s="12"/>
      <c r="F41" s="12"/>
      <c r="G41" s="12"/>
      <c r="H41" s="12"/>
      <c r="I41" s="12"/>
      <c r="J41" s="12"/>
    </row>
    <row r="42">
      <c r="B42" s="12"/>
      <c r="C42" s="12"/>
      <c r="D42" s="12"/>
      <c r="E42" s="12"/>
      <c r="F42" s="12"/>
      <c r="G42" s="12"/>
      <c r="H42" s="12"/>
      <c r="I42" s="12"/>
      <c r="J42" s="12"/>
    </row>
    <row r="43">
      <c r="B43" s="12"/>
      <c r="C43" s="12"/>
      <c r="D43" s="12"/>
      <c r="E43" s="12"/>
      <c r="F43" s="12"/>
      <c r="G43" s="12"/>
      <c r="H43" s="12"/>
      <c r="I43" s="12"/>
      <c r="J43" s="12"/>
    </row>
    <row r="44">
      <c r="B44" s="12"/>
      <c r="C44" s="12"/>
      <c r="D44" s="12"/>
      <c r="E44" s="12"/>
      <c r="F44" s="12"/>
      <c r="G44" s="12"/>
      <c r="H44" s="12"/>
      <c r="I44" s="12"/>
      <c r="J44" s="12"/>
    </row>
    <row r="45">
      <c r="B45" s="12"/>
      <c r="C45" s="12"/>
      <c r="D45" s="12"/>
      <c r="E45" s="12"/>
      <c r="F45" s="12"/>
      <c r="G45" s="12"/>
      <c r="H45" s="12"/>
      <c r="I45" s="12"/>
      <c r="J45" s="12"/>
    </row>
    <row r="46">
      <c r="B46" s="12"/>
      <c r="C46" s="12"/>
      <c r="D46" s="12"/>
      <c r="E46" s="12"/>
      <c r="F46" s="12"/>
      <c r="G46" s="12"/>
      <c r="H46" s="12"/>
      <c r="I46" s="12"/>
      <c r="J46" s="12"/>
    </row>
    <row r="47">
      <c r="B47" s="12"/>
      <c r="C47" s="12"/>
      <c r="D47" s="12"/>
      <c r="E47" s="12"/>
      <c r="F47" s="12"/>
      <c r="G47" s="12"/>
      <c r="H47" s="12"/>
      <c r="I47" s="12"/>
      <c r="J47" s="12"/>
    </row>
    <row r="48">
      <c r="B48" s="12"/>
      <c r="C48" s="12"/>
      <c r="D48" s="12"/>
      <c r="E48" s="12"/>
      <c r="F48" s="12"/>
      <c r="G48" s="12"/>
      <c r="H48" s="12"/>
      <c r="I48" s="12"/>
      <c r="J48" s="12"/>
    </row>
    <row r="49">
      <c r="B49" s="12"/>
      <c r="C49" s="12"/>
      <c r="D49" s="12"/>
      <c r="E49" s="12"/>
      <c r="F49" s="12"/>
      <c r="G49" s="12"/>
      <c r="H49" s="12"/>
      <c r="I49" s="12"/>
      <c r="J49" s="12"/>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3CF"/>
    <outlinePr summaryBelow="0" summaryRight="0"/>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40.88"/>
    <col customWidth="1" min="2" max="2" width="25.88"/>
    <col customWidth="1" min="3" max="3" width="18.25"/>
    <col customWidth="1" min="4" max="4" width="26.38"/>
    <col customWidth="1" min="5" max="5" width="19.88"/>
    <col customWidth="1" min="6" max="7" width="18.25"/>
    <col customWidth="1" min="8" max="8" width="21.88"/>
    <col customWidth="1" min="9" max="10" width="18.25"/>
    <col customWidth="1" min="11" max="16" width="18.88"/>
    <col hidden="1" min="17" max="20" width="12.63"/>
  </cols>
  <sheetData>
    <row r="1" ht="36.0" customHeight="1">
      <c r="A1" s="1" t="s">
        <v>67</v>
      </c>
      <c r="B1" s="1"/>
      <c r="C1" s="1"/>
      <c r="D1" s="1"/>
      <c r="E1" s="1"/>
      <c r="F1" s="1"/>
      <c r="G1" s="4"/>
      <c r="H1" s="4"/>
      <c r="I1" s="4"/>
      <c r="J1" s="4"/>
      <c r="K1" s="4"/>
      <c r="L1" s="4"/>
      <c r="M1" s="4"/>
      <c r="N1" s="4"/>
      <c r="O1" s="4"/>
      <c r="P1" s="4"/>
    </row>
    <row r="2" ht="22.5" hidden="1" customHeight="1">
      <c r="A2" s="6" t="s">
        <v>68</v>
      </c>
      <c r="B2" s="6"/>
      <c r="C2" s="6"/>
      <c r="D2" s="6"/>
      <c r="E2" s="6"/>
      <c r="F2" s="6"/>
      <c r="G2" s="7"/>
      <c r="H2" s="7"/>
      <c r="I2" s="7"/>
      <c r="J2" s="7"/>
    </row>
    <row r="3" ht="16.5" hidden="1" customHeight="1">
      <c r="A3" s="8" t="s">
        <v>19</v>
      </c>
      <c r="B3" s="8" t="s">
        <v>24</v>
      </c>
      <c r="C3" s="8" t="s">
        <v>25</v>
      </c>
      <c r="D3" s="8" t="s">
        <v>27</v>
      </c>
      <c r="E3" s="8" t="s">
        <v>28</v>
      </c>
      <c r="F3" s="8" t="s">
        <v>30</v>
      </c>
      <c r="G3" s="8" t="s">
        <v>31</v>
      </c>
      <c r="H3" s="8" t="s">
        <v>32</v>
      </c>
      <c r="I3" s="8" t="s">
        <v>33</v>
      </c>
      <c r="J3" s="9" t="s">
        <v>35</v>
      </c>
      <c r="K3" s="9" t="s">
        <v>37</v>
      </c>
      <c r="L3" s="9" t="s">
        <v>38</v>
      </c>
      <c r="M3" s="9" t="s">
        <v>40</v>
      </c>
      <c r="N3" s="9" t="s">
        <v>41</v>
      </c>
      <c r="O3" s="9" t="s">
        <v>42</v>
      </c>
      <c r="P3" s="9" t="s">
        <v>43</v>
      </c>
      <c r="Q3" s="16" t="s">
        <v>69</v>
      </c>
      <c r="R3" s="16" t="s">
        <v>70</v>
      </c>
      <c r="S3" s="16" t="s">
        <v>71</v>
      </c>
      <c r="T3" s="16" t="s">
        <v>72</v>
      </c>
    </row>
    <row r="4" ht="16.5" customHeight="1">
      <c r="A4" s="8" t="s">
        <v>45</v>
      </c>
      <c r="B4" s="8">
        <v>2018.0</v>
      </c>
      <c r="C4" s="8">
        <v>2019.0</v>
      </c>
      <c r="D4" s="8">
        <v>2020.0</v>
      </c>
      <c r="E4" s="8">
        <v>2021.0</v>
      </c>
      <c r="F4" s="8">
        <v>2022.0</v>
      </c>
      <c r="G4" s="8">
        <v>2023.0</v>
      </c>
      <c r="H4" s="8">
        <v>2024.0</v>
      </c>
      <c r="I4" s="8">
        <v>2025.0</v>
      </c>
      <c r="J4" s="10">
        <v>2026.0</v>
      </c>
      <c r="K4" s="9">
        <v>2027.0</v>
      </c>
      <c r="L4" s="9">
        <v>2028.0</v>
      </c>
      <c r="M4" s="9">
        <v>2029.0</v>
      </c>
      <c r="N4" s="9">
        <v>2030.0</v>
      </c>
      <c r="O4" s="9">
        <v>2031.0</v>
      </c>
      <c r="P4" s="9">
        <v>2032.0</v>
      </c>
      <c r="Q4" s="11">
        <f>B4</f>
        <v>2018</v>
      </c>
      <c r="R4" s="25">
        <f>B29</f>
        <v>-1920000</v>
      </c>
      <c r="S4" s="25" t="str">
        <f t="shared" ref="S4:S10" si="1">""</f>
        <v/>
      </c>
      <c r="T4" s="26">
        <v>0.0</v>
      </c>
      <c r="U4" s="11"/>
      <c r="V4" s="11"/>
      <c r="W4" s="11"/>
      <c r="X4" s="11"/>
      <c r="Y4" s="11"/>
      <c r="Z4" s="11"/>
      <c r="AA4" s="11"/>
      <c r="AB4" s="11"/>
      <c r="AC4" s="11"/>
    </row>
    <row r="5">
      <c r="B5" s="12"/>
      <c r="C5" s="12"/>
      <c r="D5" s="12"/>
      <c r="E5" s="12"/>
      <c r="F5" s="12"/>
      <c r="G5" s="12"/>
      <c r="H5" s="12"/>
      <c r="I5" s="12"/>
      <c r="J5" s="12"/>
      <c r="K5" s="12"/>
      <c r="L5" s="12"/>
      <c r="M5" s="12"/>
      <c r="N5" s="12"/>
      <c r="O5" s="12"/>
      <c r="P5" s="12"/>
      <c r="Q5" s="27">
        <f>C4</f>
        <v>2019</v>
      </c>
      <c r="R5" s="28">
        <f>C29</f>
        <v>-2650000</v>
      </c>
      <c r="S5" s="28" t="str">
        <f t="shared" si="1"/>
        <v/>
      </c>
      <c r="T5" s="29">
        <v>0.0</v>
      </c>
    </row>
    <row r="6" ht="19.5" customHeight="1">
      <c r="A6" s="13" t="s">
        <v>74</v>
      </c>
      <c r="B6" s="13"/>
      <c r="C6" s="13"/>
      <c r="D6" s="13"/>
      <c r="E6" s="13"/>
      <c r="F6" s="14"/>
      <c r="G6" s="14"/>
      <c r="H6" s="14"/>
      <c r="I6" s="14"/>
      <c r="J6" s="14"/>
      <c r="K6" s="14"/>
      <c r="L6" s="14"/>
      <c r="M6" s="14"/>
      <c r="N6" s="14"/>
      <c r="O6" s="14"/>
      <c r="P6" s="14"/>
      <c r="Q6" s="27">
        <f>D4</f>
        <v>2020</v>
      </c>
      <c r="R6" s="28">
        <f>D29</f>
        <v>-4300000</v>
      </c>
      <c r="S6" s="28" t="str">
        <f t="shared" si="1"/>
        <v/>
      </c>
      <c r="T6" s="29">
        <v>0.0</v>
      </c>
    </row>
    <row r="7">
      <c r="A7" s="16" t="s">
        <v>75</v>
      </c>
      <c r="B7" s="30">
        <f>SUMIF('Monthly Data'!$B$2:$B1001,B$4,'Monthly Data'!$E$2:$E1001)</f>
        <v>0</v>
      </c>
      <c r="C7" s="30">
        <f>SUMIF('Monthly Data'!$B$2:$B1001,C$4,'Monthly Data'!$E$2:$E1001)</f>
        <v>0</v>
      </c>
      <c r="D7" s="30">
        <f>SUMIF('Monthly Data'!$B$2:$B1001,D$4,'Monthly Data'!$E$2:$E1001)</f>
        <v>0</v>
      </c>
      <c r="E7" s="31">
        <f>SUMIF('Monthly Data'!$B$2:$B1001,E$4,'Monthly Data'!$E$2:$E1001)</f>
        <v>0</v>
      </c>
      <c r="F7" s="30">
        <f>SUMIF('Monthly Data'!$B$2:$B1001,F$4,'Monthly Data'!$E$2:$E1001)</f>
        <v>0</v>
      </c>
      <c r="G7" s="30">
        <f>SUMIF('Monthly Data'!$B$2:$B1001,G$4,'Monthly Data'!$E$2:$E1001)</f>
        <v>0</v>
      </c>
      <c r="H7" s="30">
        <f>SUMIF('Monthly Data'!$B$2:$B1001,H$4,'Monthly Data'!$E$2:$E1001)</f>
        <v>22000000</v>
      </c>
      <c r="I7" s="30">
        <f>SUMIF('Monthly Data'!$B$2:$B1001,I$4,'Monthly Data'!$E$2:$E1001)</f>
        <v>65000000</v>
      </c>
      <c r="J7" s="31">
        <f>SUMIF('Monthly Data'!$B$2:$B1001,J$4,'Monthly Data'!$E$2:$E1001)</f>
        <v>106458000</v>
      </c>
      <c r="K7" s="31">
        <f>SUMIF('Monthly Data'!$B$2:$B1001,K$4,'Monthly Data'!$E$2:$E1001)</f>
        <v>147195000</v>
      </c>
      <c r="L7" s="31">
        <f>SUMIF('Monthly Data'!$B$2:$B1001,L$4,'Monthly Data'!$E$2:$E1001)</f>
        <v>182964000</v>
      </c>
      <c r="M7" s="31">
        <f>SUMIF('Monthly Data'!$B$2:$B1001,M$4,'Monthly Data'!$E$2:$E1001)</f>
        <v>214423500</v>
      </c>
      <c r="N7" s="31">
        <f>SUMIF('Monthly Data'!$B$2:$B1001,N$4,'Monthly Data'!$E$2:$E1001)</f>
        <v>243012000</v>
      </c>
      <c r="O7" s="31">
        <f>SUMIF('Monthly Data'!$B$2:$B1001,O$4,'Monthly Data'!$E$2:$E1001)</f>
        <v>269491500</v>
      </c>
      <c r="P7" s="31">
        <f>SUMIF('Monthly Data'!$B$2:$B1001,P$4,'Monthly Data'!$E$2:$E1001)</f>
        <v>293464500</v>
      </c>
      <c r="Q7" s="27">
        <f>E4</f>
        <v>2021</v>
      </c>
      <c r="R7" s="28">
        <f>E29</f>
        <v>-5682000</v>
      </c>
      <c r="S7" s="28" t="str">
        <f t="shared" si="1"/>
        <v/>
      </c>
      <c r="T7" s="29">
        <v>0.0</v>
      </c>
    </row>
    <row r="8">
      <c r="A8" s="16" t="s">
        <v>80</v>
      </c>
      <c r="B8" s="32">
        <f>SUMIF('Monthly Data'!$B$2:$B1001,B$4,'Monthly Data'!$AI$2:$AI1001)</f>
        <v>0</v>
      </c>
      <c r="C8" s="32">
        <f>SUMIF('Monthly Data'!$B$2:$B1001,C$4,'Monthly Data'!$AI$2:$AI1001)</f>
        <v>0</v>
      </c>
      <c r="D8" s="32">
        <f>SUMIF('Monthly Data'!$B$2:$B1001,D$4,'Monthly Data'!$AI$2:$AI1001)</f>
        <v>0</v>
      </c>
      <c r="E8" s="33">
        <f>SUMIF('Monthly Data'!$B$2:$B1001,E$4,'Monthly Data'!$AI$2:$AI1001)</f>
        <v>0</v>
      </c>
      <c r="F8" s="32">
        <f>SUMIF('Monthly Data'!$B$2:$B1001,F$4,'Monthly Data'!$AI$2:$AI1001)</f>
        <v>0</v>
      </c>
      <c r="G8" s="32">
        <f>SUMIF('Monthly Data'!$B$2:$B1001,G$4,'Monthly Data'!$AI$2:$AI1001)</f>
        <v>0</v>
      </c>
      <c r="H8" s="32">
        <f>SUMIF('Monthly Data'!$B$2:$B1001,H$4,'Monthly Data'!$AI$2:$AI1001)</f>
        <v>0</v>
      </c>
      <c r="I8" s="32">
        <f>SUMIF('Monthly Data'!$B$2:$B1001,I$4,'Monthly Data'!$AI$2:$AI1001)</f>
        <v>0</v>
      </c>
      <c r="J8" s="33">
        <f>SUMIF('Monthly Data'!$B$2:$B1001,J$4,'Monthly Data'!$AI$2:$AI1001)</f>
        <v>0</v>
      </c>
      <c r="K8" s="33">
        <f>SUMIF('Monthly Data'!$B$2:$B1001,K$4,'Monthly Data'!$AI$2:$AI1001)</f>
        <v>37849500</v>
      </c>
      <c r="L8" s="33">
        <f>SUMIF('Monthly Data'!$B$2:$B1001,L$4,'Monthly Data'!$AI$2:$AI1001)</f>
        <v>90624000</v>
      </c>
      <c r="M8" s="33">
        <f>SUMIF('Monthly Data'!$B$2:$B1001,M$4,'Monthly Data'!$AI$2:$AI1001)</f>
        <v>114936000</v>
      </c>
      <c r="N8" s="33">
        <f>SUMIF('Monthly Data'!$B$2:$B1001,N$4,'Monthly Data'!$AI$2:$AI1001)</f>
        <v>145765500</v>
      </c>
      <c r="O8" s="33">
        <f>SUMIF('Monthly Data'!$B$2:$B1001,O$4,'Monthly Data'!$AI$2:$AI1001)</f>
        <v>184860000</v>
      </c>
      <c r="P8" s="33">
        <f>SUMIF('Monthly Data'!$B$2:$B1001,P$4,'Monthly Data'!$AI$2:$AI1001)</f>
        <v>234454500</v>
      </c>
      <c r="Q8" s="27">
        <f>F4</f>
        <v>2022</v>
      </c>
      <c r="R8" s="28">
        <f>F29</f>
        <v>-20150000</v>
      </c>
      <c r="S8" s="28" t="str">
        <f t="shared" si="1"/>
        <v/>
      </c>
      <c r="T8" s="29">
        <v>0.0</v>
      </c>
    </row>
    <row r="9">
      <c r="A9" s="16" t="s">
        <v>86</v>
      </c>
      <c r="B9" s="30">
        <f>SUMIF('Monthly Data'!$B$2:$B1001,B$4,'Monthly Data'!$F$2:$F1001)</f>
        <v>0</v>
      </c>
      <c r="C9" s="30">
        <f>SUMIF('Monthly Data'!$B$2:$B1001,C$4,'Monthly Data'!$F$2:$F1001)</f>
        <v>300000</v>
      </c>
      <c r="D9" s="30">
        <f>SUMIF('Monthly Data'!$B$2:$B1001,D$4,'Monthly Data'!$F$2:$F1001)</f>
        <v>1000000</v>
      </c>
      <c r="E9" s="31">
        <f>SUMIF('Monthly Data'!$B$2:$B1001,E$4,'Monthly Data'!$F$2:$F1001)</f>
        <v>2300000</v>
      </c>
      <c r="F9" s="30">
        <f>SUMIF('Monthly Data'!$B$2:$B1001,F$4,'Monthly Data'!$F$2:$F1001)</f>
        <v>5000000</v>
      </c>
      <c r="G9" s="30">
        <f>SUMIF('Monthly Data'!$B$2:$B1001,G$4,'Monthly Data'!$F$2:$F1001)</f>
        <v>11000000</v>
      </c>
      <c r="H9" s="30">
        <f>SUMIF('Monthly Data'!$B$2:$B1001,H$4,'Monthly Data'!$F$2:$F1001)</f>
        <v>20000000</v>
      </c>
      <c r="I9" s="30">
        <f>SUMIF('Monthly Data'!$B$2:$B1001,I$4,'Monthly Data'!$F$2:$F1001)</f>
        <v>22000000</v>
      </c>
      <c r="J9" s="31">
        <f>SUMIF('Monthly Data'!$B$2:$B1001,J$4,'Monthly Data'!$F$2:$F1001)</f>
        <v>32620108</v>
      </c>
      <c r="K9" s="31">
        <f>SUMIF('Monthly Data'!$B$2:$B1001,K$4,'Monthly Data'!$F$2:$F1001)</f>
        <v>41089853</v>
      </c>
      <c r="L9" s="31">
        <f>SUMIF('Monthly Data'!$B$2:$B1001,L$4,'Monthly Data'!$F$2:$F1001)</f>
        <v>47677432</v>
      </c>
      <c r="M9" s="31">
        <f>SUMIF('Monthly Data'!$B$2:$B1001,M$4,'Monthly Data'!$F$2:$F1001)</f>
        <v>53323930</v>
      </c>
      <c r="N9" s="31">
        <f>SUMIF('Monthly Data'!$B$2:$B1001,N$4,'Monthly Data'!$F$2:$F1001)</f>
        <v>58029344</v>
      </c>
      <c r="O9" s="31">
        <f>SUMIF('Monthly Data'!$B$2:$B1001,O$4,'Monthly Data'!$F$2:$F1001)</f>
        <v>61793674</v>
      </c>
      <c r="P9" s="31">
        <f>SUMIF('Monthly Data'!$B$2:$B1001,P$4,'Monthly Data'!$F$2:$F1001)</f>
        <v>64616922</v>
      </c>
      <c r="Q9" s="27">
        <f>G4</f>
        <v>2023</v>
      </c>
      <c r="R9" s="28">
        <f>G29</f>
        <v>-36430000</v>
      </c>
      <c r="S9" s="28" t="str">
        <f t="shared" si="1"/>
        <v/>
      </c>
      <c r="T9" s="29">
        <v>0.0</v>
      </c>
    </row>
    <row r="10">
      <c r="A10" s="16" t="s">
        <v>91</v>
      </c>
      <c r="B10" s="30">
        <f>SUMIF('Monthly Data'!$B$2:$B1001,B$4,'Monthly Data'!$G$2:$G1001)</f>
        <v>0</v>
      </c>
      <c r="C10" s="30">
        <f>SUMIF('Monthly Data'!$B$2:$B1001,C$4,'Monthly Data'!$G$2:$G1001)</f>
        <v>100000</v>
      </c>
      <c r="D10" s="30">
        <f>SUMIF('Monthly Data'!$B$2:$B1001,D$4,'Monthly Data'!$G$2:$G1001)</f>
        <v>300000</v>
      </c>
      <c r="E10" s="31">
        <f>SUMIF('Monthly Data'!$B$2:$B1001,E$4,'Monthly Data'!$G$2:$G1001)</f>
        <v>700000</v>
      </c>
      <c r="F10" s="30">
        <f>SUMIF('Monthly Data'!$B$2:$B1001,F$4,'Monthly Data'!$G$2:$G1001)</f>
        <v>1000000</v>
      </c>
      <c r="G10" s="30">
        <f>SUMIF('Monthly Data'!$B$2:$B1001,G$4,'Monthly Data'!$G$2:$G1001)</f>
        <v>6000000</v>
      </c>
      <c r="H10" s="30">
        <f>SUMIF('Monthly Data'!$B$2:$B1001,H$4,'Monthly Data'!$G$2:$G1001)</f>
        <v>7000000</v>
      </c>
      <c r="I10" s="30">
        <f>SUMIF('Monthly Data'!$B$2:$B1001,I$4,'Monthly Data'!$G$2:$G1001)</f>
        <v>7000000</v>
      </c>
      <c r="J10" s="31">
        <f>SUMIF('Monthly Data'!$B$2:$B1001,J$4,'Monthly Data'!$G$2:$G1001)</f>
        <v>7000000</v>
      </c>
      <c r="K10" s="31">
        <f>SUMIF('Monthly Data'!$B$2:$B1001,K$4,'Monthly Data'!$G$2:$G1001)</f>
        <v>7000000</v>
      </c>
      <c r="L10" s="31">
        <f>SUMIF('Monthly Data'!$B$2:$B1001,L$4,'Monthly Data'!$G$2:$G1001)</f>
        <v>7000000</v>
      </c>
      <c r="M10" s="31">
        <f>SUMIF('Monthly Data'!$B$2:$B1001,M$4,'Monthly Data'!$G$2:$G1001)</f>
        <v>7000000</v>
      </c>
      <c r="N10" s="31">
        <f>SUMIF('Monthly Data'!$B$2:$B1001,N$4,'Monthly Data'!$G$2:$G1001)</f>
        <v>7000000</v>
      </c>
      <c r="O10" s="31">
        <f>SUMIF('Monthly Data'!$B$2:$B1001,O$4,'Monthly Data'!$G$2:$G1001)</f>
        <v>7000000</v>
      </c>
      <c r="P10" s="31">
        <f>SUMIF('Monthly Data'!$B$2:$B1001,P$4,'Monthly Data'!$G$2:$G1001)</f>
        <v>7000000</v>
      </c>
      <c r="Q10" s="27">
        <f>H4</f>
        <v>2024</v>
      </c>
      <c r="R10" s="28">
        <f>H29</f>
        <v>-57380000</v>
      </c>
      <c r="S10" s="28" t="str">
        <f t="shared" si="1"/>
        <v/>
      </c>
      <c r="T10" s="29">
        <v>0.0</v>
      </c>
    </row>
    <row r="11" ht="17.25" customHeight="1">
      <c r="A11" s="38" t="s">
        <v>93</v>
      </c>
      <c r="B11" s="39">
        <f t="shared" ref="B11:P11" si="2">SUM(B7:B10)</f>
        <v>0</v>
      </c>
      <c r="C11" s="39">
        <f t="shared" si="2"/>
        <v>400000</v>
      </c>
      <c r="D11" s="39">
        <f t="shared" si="2"/>
        <v>1300000</v>
      </c>
      <c r="E11" s="39">
        <f t="shared" si="2"/>
        <v>3000000</v>
      </c>
      <c r="F11" s="39">
        <f t="shared" si="2"/>
        <v>6000000</v>
      </c>
      <c r="G11" s="39">
        <f t="shared" si="2"/>
        <v>17000000</v>
      </c>
      <c r="H11" s="39">
        <f t="shared" si="2"/>
        <v>49000000</v>
      </c>
      <c r="I11" s="39">
        <f t="shared" si="2"/>
        <v>94000000</v>
      </c>
      <c r="J11" s="39">
        <f t="shared" si="2"/>
        <v>146078108</v>
      </c>
      <c r="K11" s="39">
        <f t="shared" si="2"/>
        <v>233134353</v>
      </c>
      <c r="L11" s="39">
        <f t="shared" si="2"/>
        <v>328265432</v>
      </c>
      <c r="M11" s="39">
        <f t="shared" si="2"/>
        <v>389683430</v>
      </c>
      <c r="N11" s="39">
        <f t="shared" si="2"/>
        <v>453806844</v>
      </c>
      <c r="O11" s="39">
        <f t="shared" si="2"/>
        <v>523145174</v>
      </c>
      <c r="P11" s="39">
        <f t="shared" si="2"/>
        <v>599535922</v>
      </c>
      <c r="Q11" s="27">
        <f>I4</f>
        <v>2025</v>
      </c>
      <c r="R11" s="28">
        <f>I29</f>
        <v>-83520000</v>
      </c>
      <c r="S11" s="28">
        <f>I29</f>
        <v>-83520000</v>
      </c>
      <c r="T11" s="29">
        <v>0.0</v>
      </c>
    </row>
    <row r="12">
      <c r="B12" s="17"/>
      <c r="C12" s="17"/>
      <c r="D12" s="17"/>
      <c r="E12" s="20"/>
      <c r="F12" s="17"/>
      <c r="G12" s="17"/>
      <c r="H12" s="17"/>
      <c r="I12" s="17"/>
      <c r="J12" s="20"/>
      <c r="K12" s="20"/>
      <c r="L12" s="20"/>
      <c r="M12" s="20"/>
      <c r="N12" s="20"/>
      <c r="O12" s="20"/>
      <c r="P12" s="20"/>
      <c r="Q12" s="27">
        <f>J4</f>
        <v>2026</v>
      </c>
      <c r="R12" s="28" t="str">
        <f t="shared" ref="R12:R18" si="3">""</f>
        <v/>
      </c>
      <c r="S12" s="28">
        <f>J29</f>
        <v>-138167410</v>
      </c>
      <c r="T12" s="29">
        <v>0.0</v>
      </c>
    </row>
    <row r="13" ht="19.5" customHeight="1">
      <c r="A13" s="13" t="s">
        <v>96</v>
      </c>
      <c r="B13" s="13"/>
      <c r="C13" s="13"/>
      <c r="D13" s="13"/>
      <c r="E13" s="13"/>
      <c r="F13" s="40"/>
      <c r="G13" s="40"/>
      <c r="H13" s="40"/>
      <c r="I13" s="40"/>
      <c r="J13" s="40"/>
      <c r="K13" s="40"/>
      <c r="L13" s="40"/>
      <c r="M13" s="40"/>
      <c r="N13" s="40"/>
      <c r="O13" s="40"/>
      <c r="P13" s="40"/>
      <c r="Q13" s="27">
        <f>K4</f>
        <v>2027</v>
      </c>
      <c r="R13" s="28" t="str">
        <f t="shared" si="3"/>
        <v/>
      </c>
      <c r="S13" s="28">
        <f>K29</f>
        <v>-87732459</v>
      </c>
      <c r="T13" s="29">
        <v>0.0</v>
      </c>
    </row>
    <row r="14">
      <c r="A14" s="16" t="s">
        <v>97</v>
      </c>
      <c r="B14" s="17">
        <f>SUMIF('Monthly Data'!$B$2:$B1001,B$4,'Monthly Data'!$H$2:$H1001)+SUMIF('Monthly Data'!$B$2:$B1001,B$4,'Monthly Data'!$I$2:$I1001)</f>
        <v>0</v>
      </c>
      <c r="C14" s="17">
        <f>SUMIF('Monthly Data'!$B$2:$B1001,C$4,'Monthly Data'!$H$2:$H1001)+SUMIF('Monthly Data'!$B$2:$B1001,C$4,'Monthly Data'!$I$2:$I1001)</f>
        <v>0</v>
      </c>
      <c r="D14" s="17">
        <f>SUMIF('Monthly Data'!$B$2:$B1001,D$4,'Monthly Data'!$H$2:$H1001)+SUMIF('Monthly Data'!$B$2:$B1001,D$4,'Monthly Data'!$I$2:$I1001)</f>
        <v>0</v>
      </c>
      <c r="E14" s="20">
        <f>SUMIF('Monthly Data'!$B$2:$B1001,E$4,'Monthly Data'!$H$2:$H1001)+SUMIF('Monthly Data'!$B$2:$B1001,E$4,'Monthly Data'!$I$2:$I1001)</f>
        <v>0</v>
      </c>
      <c r="F14" s="17">
        <f>SUMIF('Monthly Data'!$B$2:$B1001,F$4,'Monthly Data'!$H$2:$H1001)+SUMIF('Monthly Data'!$B$2:$B1001,F$4,'Monthly Data'!$I$2:$I1001)</f>
        <v>0</v>
      </c>
      <c r="G14" s="17">
        <f>SUMIF('Monthly Data'!$B$2:$B1001,G$4,'Monthly Data'!$H$2:$H1001)+SUMIF('Monthly Data'!$B$2:$B1001,G$4,'Monthly Data'!$I$2:$I1001)</f>
        <v>0</v>
      </c>
      <c r="H14" s="17">
        <f>SUMIF('Monthly Data'!$B$2:$B1001,H$4,'Monthly Data'!$H$2:$H1001)+SUMIF('Monthly Data'!$B$2:$B1001,H$4,'Monthly Data'!$I$2:$I1001)</f>
        <v>6820000</v>
      </c>
      <c r="I14" s="17">
        <f>SUMIF('Monthly Data'!$B$2:$B1001,I$4,'Monthly Data'!$H$2:$H1001)+SUMIF('Monthly Data'!$B$2:$B1001,I$4,'Monthly Data'!$I$2:$I1001)</f>
        <v>19500000</v>
      </c>
      <c r="J14" s="20">
        <f>SUMIF('Monthly Data'!$B$2:$B1001,J$4,'Monthly Data'!$H$2:$H1001)+SUMIF('Monthly Data'!$B$2:$B1001,J$4,'Monthly Data'!$I$2:$I1001)</f>
        <v>33536350</v>
      </c>
      <c r="K14" s="20">
        <f>SUMIF('Monthly Data'!$B$2:$B1001,K$4,'Monthly Data'!$H$2:$H1001)+SUMIF('Monthly Data'!$B$2:$B1001,K$4,'Monthly Data'!$I$2:$I1001)</f>
        <v>40545018</v>
      </c>
      <c r="L14" s="20">
        <f>SUMIF('Monthly Data'!$B$2:$B1001,L$4,'Monthly Data'!$H$2:$H1001)+SUMIF('Monthly Data'!$B$2:$B1001,L$4,'Monthly Data'!$I$2:$I1001)</f>
        <v>48767562</v>
      </c>
      <c r="M14" s="20">
        <f>SUMIF('Monthly Data'!$B$2:$B1001,M$4,'Monthly Data'!$H$2:$H1001)+SUMIF('Monthly Data'!$B$2:$B1001,M$4,'Monthly Data'!$I$2:$I1001)</f>
        <v>57291061</v>
      </c>
      <c r="N14" s="20">
        <f>SUMIF('Monthly Data'!$B$2:$B1001,N$4,'Monthly Data'!$H$2:$H1001)+SUMIF('Monthly Data'!$B$2:$B1001,N$4,'Monthly Data'!$I$2:$I1001)</f>
        <v>65485530</v>
      </c>
      <c r="O14" s="20">
        <f>SUMIF('Monthly Data'!$B$2:$B1001,O$4,'Monthly Data'!$H$2:$H1001)+SUMIF('Monthly Data'!$B$2:$B1001,O$4,'Monthly Data'!$I$2:$I1001)</f>
        <v>73186950</v>
      </c>
      <c r="P14" s="20">
        <f>SUMIF('Monthly Data'!$B$2:$B1001,P$4,'Monthly Data'!$H$2:$H1001)+SUMIF('Monthly Data'!$B$2:$B1001,P$4,'Monthly Data'!$I$2:$I1001)</f>
        <v>80409545</v>
      </c>
      <c r="Q14" s="27">
        <f>L4</f>
        <v>2028</v>
      </c>
      <c r="R14" s="28" t="str">
        <f t="shared" si="3"/>
        <v/>
      </c>
      <c r="S14" s="28">
        <f>L29</f>
        <v>-43855319</v>
      </c>
      <c r="T14" s="29">
        <v>0.0</v>
      </c>
    </row>
    <row r="15">
      <c r="A15" s="16" t="s">
        <v>109</v>
      </c>
      <c r="B15" s="43">
        <f>SUMIF('Monthly Data'!$B$2:$B1001,B$4,'Monthly Data'!$AJ$2:$AJ1001)</f>
        <v>0</v>
      </c>
      <c r="C15" s="43">
        <f>SUMIF('Monthly Data'!$B$2:$B1001,C$4,'Monthly Data'!$AJ$2:$AJ1001)</f>
        <v>0</v>
      </c>
      <c r="D15" s="43">
        <f>SUMIF('Monthly Data'!$B$2:$B1001,D$4,'Monthly Data'!$AJ$2:$AJ1001)</f>
        <v>0</v>
      </c>
      <c r="E15" s="44">
        <f>SUMIF('Monthly Data'!$B$2:$B1001,E$4,'Monthly Data'!$AJ$2:$AJ1001)</f>
        <v>0</v>
      </c>
      <c r="F15" s="43">
        <f>SUMIF('Monthly Data'!$B$2:$B1001,F$4,'Monthly Data'!$AJ$2:$AJ1001)</f>
        <v>0</v>
      </c>
      <c r="G15" s="43">
        <f>SUMIF('Monthly Data'!$B$2:$B1001,G$4,'Monthly Data'!$AJ$2:$AJ1001)</f>
        <v>0</v>
      </c>
      <c r="H15" s="43">
        <f>SUMIF('Monthly Data'!$B$2:$B1001,H$4,'Monthly Data'!$AJ$2:$AJ1001)</f>
        <v>0</v>
      </c>
      <c r="I15" s="43">
        <f>SUMIF('Monthly Data'!$B$2:$B1001,I$4,'Monthly Data'!$AJ$2:$AJ1001)</f>
        <v>0</v>
      </c>
      <c r="J15" s="44">
        <f>SUMIF('Monthly Data'!$B$2:$B1001,J$4,'Monthly Data'!$AJ$2:$AJ1001)</f>
        <v>0</v>
      </c>
      <c r="K15" s="44">
        <f>SUMIF('Monthly Data'!$B$2:$B1001,K$4,'Monthly Data'!$AJ$2:$AJ1001)</f>
        <v>11569902</v>
      </c>
      <c r="L15" s="44">
        <f>SUMIF('Monthly Data'!$B$2:$B1001,L$4,'Monthly Data'!$AJ$2:$AJ1001)</f>
        <v>28156661</v>
      </c>
      <c r="M15" s="44">
        <f>SUMIF('Monthly Data'!$B$2:$B1001,M$4,'Monthly Data'!$AJ$2:$AJ1001)</f>
        <v>36253979</v>
      </c>
      <c r="N15" s="44">
        <f>SUMIF('Monthly Data'!$B$2:$B1001,N$4,'Monthly Data'!$AJ$2:$AJ1001)</f>
        <v>46814388</v>
      </c>
      <c r="O15" s="44">
        <f>SUMIF('Monthly Data'!$B$2:$B1001,O$4,'Monthly Data'!$AJ$2:$AJ1001)</f>
        <v>60591524</v>
      </c>
      <c r="P15" s="44">
        <f>SUMIF('Monthly Data'!$B$2:$B1001,P$4,'Monthly Data'!$AJ$2:$AJ1001)</f>
        <v>78575900</v>
      </c>
      <c r="Q15" s="27">
        <f>M4</f>
        <v>2029</v>
      </c>
      <c r="R15" s="28" t="str">
        <f t="shared" si="3"/>
        <v/>
      </c>
      <c r="S15" s="28">
        <f>M29</f>
        <v>-47073355</v>
      </c>
      <c r="T15" s="29">
        <v>0.0</v>
      </c>
    </row>
    <row r="16">
      <c r="A16" s="16" t="s">
        <v>111</v>
      </c>
      <c r="B16" s="17">
        <f>SUMIF('Monthly Data'!$B$2:$B1001,B$4,'Monthly Data'!$J$2:$J1001)</f>
        <v>0</v>
      </c>
      <c r="C16" s="17">
        <f>SUMIF('Monthly Data'!$B$2:$B1001,C$4,'Monthly Data'!$J$2:$J1001)</f>
        <v>120000</v>
      </c>
      <c r="D16" s="17">
        <f>SUMIF('Monthly Data'!$B$2:$B1001,D$4,'Monthly Data'!$J$2:$J1001)</f>
        <v>440000</v>
      </c>
      <c r="E16" s="20">
        <f>SUMIF('Monthly Data'!$B$2:$B1001,E$4,'Monthly Data'!$J$2:$J1001)</f>
        <v>1012000</v>
      </c>
      <c r="F16" s="17">
        <f>SUMIF('Monthly Data'!$B$2:$B1001,F$4,'Monthly Data'!$J$2:$J1001)</f>
        <v>2200000</v>
      </c>
      <c r="G16" s="17">
        <f>SUMIF('Monthly Data'!$B$2:$B1001,G$4,'Monthly Data'!$J$2:$J1001)</f>
        <v>4950000</v>
      </c>
      <c r="H16" s="17">
        <f>SUMIF('Monthly Data'!$B$2:$B1001,H$4,'Monthly Data'!$J$2:$J1001)</f>
        <v>9000000</v>
      </c>
      <c r="I16" s="17">
        <f>SUMIF('Monthly Data'!$B$2:$B1001,I$4,'Monthly Data'!$J$2:$J1001)</f>
        <v>9460000</v>
      </c>
      <c r="J16" s="20">
        <f>SUMIF('Monthly Data'!$B$2:$B1001,J$4,'Monthly Data'!$J$2:$J1001)</f>
        <v>13910152</v>
      </c>
      <c r="K16" s="20">
        <f>SUMIF('Monthly Data'!$B$2:$B1001,K$4,'Monthly Data'!$J$2:$J1001)</f>
        <v>16550452</v>
      </c>
      <c r="L16" s="20">
        <f>SUMIF('Monthly Data'!$B$2:$B1001,L$4,'Monthly Data'!$J$2:$J1001)</f>
        <v>19150095</v>
      </c>
      <c r="M16" s="20">
        <f>SUMIF('Monthly Data'!$B$2:$B1001,M$4,'Monthly Data'!$J$2:$J1001)</f>
        <v>21654788</v>
      </c>
      <c r="N16" s="20">
        <f>SUMIF('Monthly Data'!$B$2:$B1001,N$4,'Monthly Data'!$J$2:$J1001)</f>
        <v>24049420</v>
      </c>
      <c r="O16" s="20">
        <f>SUMIF('Monthly Data'!$B$2:$B1001,O$4,'Monthly Data'!$J$2:$J1001)</f>
        <v>26317840</v>
      </c>
      <c r="P16" s="20">
        <f>SUMIF('Monthly Data'!$B$2:$B1001,P$4,'Monthly Data'!$J$2:$J1001)</f>
        <v>28442804</v>
      </c>
      <c r="Q16" s="27">
        <f>N4</f>
        <v>2030</v>
      </c>
      <c r="R16" s="28" t="str">
        <f t="shared" si="3"/>
        <v/>
      </c>
      <c r="S16" s="28">
        <f>N29</f>
        <v>-56815353</v>
      </c>
    </row>
    <row r="17">
      <c r="A17" s="16" t="s">
        <v>113</v>
      </c>
      <c r="B17" s="17">
        <f>SUMIF('Monthly Data'!$B$2:$B1001,B$4,'Monthly Data'!$K$2:$K1001)</f>
        <v>0</v>
      </c>
      <c r="C17" s="17">
        <f>SUMIF('Monthly Data'!$B$2:$B1001,C$4,'Monthly Data'!$K$2:$K1001)</f>
        <v>10000</v>
      </c>
      <c r="D17" s="17">
        <f>SUMIF('Monthly Data'!$B$2:$B1001,D$4,'Monthly Data'!$K$2:$K1001)</f>
        <v>30000</v>
      </c>
      <c r="E17" s="20">
        <f>SUMIF('Monthly Data'!$B$2:$B1001,E$4,'Monthly Data'!$K$2:$K1001)</f>
        <v>70000</v>
      </c>
      <c r="F17" s="17">
        <f>SUMIF('Monthly Data'!$B$2:$B1001,F$4,'Monthly Data'!$K$2:$K1001)</f>
        <v>100000</v>
      </c>
      <c r="G17" s="17">
        <f>SUMIF('Monthly Data'!$B$2:$B1001,G$4,'Monthly Data'!$K$2:$K1001)</f>
        <v>480000</v>
      </c>
      <c r="H17" s="17">
        <f>SUMIF('Monthly Data'!$B$2:$B1001,H$4,'Monthly Data'!$K$2:$K1001)</f>
        <v>560000</v>
      </c>
      <c r="I17" s="17">
        <f>SUMIF('Monthly Data'!$B$2:$B1001,I$4,'Monthly Data'!$K$2:$K1001)</f>
        <v>560000</v>
      </c>
      <c r="J17" s="20">
        <f>SUMIF('Monthly Data'!$B$2:$B1001,J$4,'Monthly Data'!$K$2:$K1001)</f>
        <v>560003</v>
      </c>
      <c r="K17" s="20">
        <f>SUMIF('Monthly Data'!$B$2:$B1001,K$4,'Monthly Data'!$K$2:$K1001)</f>
        <v>560003</v>
      </c>
      <c r="L17" s="20">
        <f>SUMIF('Monthly Data'!$B$2:$B1001,L$4,'Monthly Data'!$K$2:$K1001)</f>
        <v>560003</v>
      </c>
      <c r="M17" s="20">
        <f>SUMIF('Monthly Data'!$B$2:$B1001,M$4,'Monthly Data'!$K$2:$K1001)</f>
        <v>560003</v>
      </c>
      <c r="N17" s="20">
        <f>SUMIF('Monthly Data'!$B$2:$B1001,N$4,'Monthly Data'!$K$2:$K1001)</f>
        <v>560003</v>
      </c>
      <c r="O17" s="20">
        <f>SUMIF('Monthly Data'!$B$2:$B1001,O$4,'Monthly Data'!$K$2:$K1001)</f>
        <v>560003</v>
      </c>
      <c r="P17" s="20">
        <f>SUMIF('Monthly Data'!$B$2:$B1001,P$4,'Monthly Data'!$K$2:$K1001)</f>
        <v>560003</v>
      </c>
      <c r="Q17" s="27">
        <f>O4</f>
        <v>2031</v>
      </c>
      <c r="R17" s="28" t="str">
        <f t="shared" si="3"/>
        <v/>
      </c>
      <c r="S17" s="28">
        <f>O29</f>
        <v>-74480551</v>
      </c>
    </row>
    <row r="18" ht="17.25" customHeight="1">
      <c r="A18" s="38" t="s">
        <v>143</v>
      </c>
      <c r="B18" s="39">
        <f t="shared" ref="B18:P18" si="4">SUM(B14:B17)</f>
        <v>0</v>
      </c>
      <c r="C18" s="39">
        <f t="shared" si="4"/>
        <v>130000</v>
      </c>
      <c r="D18" s="39">
        <f t="shared" si="4"/>
        <v>470000</v>
      </c>
      <c r="E18" s="39">
        <f t="shared" si="4"/>
        <v>1082000</v>
      </c>
      <c r="F18" s="39">
        <f t="shared" si="4"/>
        <v>2300000</v>
      </c>
      <c r="G18" s="39">
        <f t="shared" si="4"/>
        <v>5430000</v>
      </c>
      <c r="H18" s="39">
        <f t="shared" si="4"/>
        <v>16380000</v>
      </c>
      <c r="I18" s="39">
        <f t="shared" si="4"/>
        <v>29520000</v>
      </c>
      <c r="J18" s="39">
        <f t="shared" si="4"/>
        <v>48006505</v>
      </c>
      <c r="K18" s="39">
        <f t="shared" si="4"/>
        <v>69225375</v>
      </c>
      <c r="L18" s="39">
        <f t="shared" si="4"/>
        <v>96634321</v>
      </c>
      <c r="M18" s="39">
        <f t="shared" si="4"/>
        <v>115759831</v>
      </c>
      <c r="N18" s="39">
        <f t="shared" si="4"/>
        <v>136909341</v>
      </c>
      <c r="O18" s="39">
        <f t="shared" si="4"/>
        <v>160656317</v>
      </c>
      <c r="P18" s="39">
        <f t="shared" si="4"/>
        <v>187988252</v>
      </c>
      <c r="Q18" s="27">
        <f>P4</f>
        <v>2032</v>
      </c>
      <c r="R18" s="28" t="str">
        <f t="shared" si="3"/>
        <v/>
      </c>
      <c r="S18" s="28">
        <f>P29</f>
        <v>-102364853</v>
      </c>
    </row>
    <row r="19" ht="17.25" customHeight="1">
      <c r="A19" s="38" t="s">
        <v>148</v>
      </c>
      <c r="B19" s="39">
        <f t="shared" ref="B19:P19" si="5">B11-B18</f>
        <v>0</v>
      </c>
      <c r="C19" s="39">
        <f t="shared" si="5"/>
        <v>270000</v>
      </c>
      <c r="D19" s="39">
        <f t="shared" si="5"/>
        <v>830000</v>
      </c>
      <c r="E19" s="39">
        <f t="shared" si="5"/>
        <v>1918000</v>
      </c>
      <c r="F19" s="39">
        <f t="shared" si="5"/>
        <v>3700000</v>
      </c>
      <c r="G19" s="39">
        <f t="shared" si="5"/>
        <v>11570000</v>
      </c>
      <c r="H19" s="39">
        <f t="shared" si="5"/>
        <v>32620000</v>
      </c>
      <c r="I19" s="39">
        <f t="shared" si="5"/>
        <v>64480000</v>
      </c>
      <c r="J19" s="39">
        <f t="shared" si="5"/>
        <v>98071603</v>
      </c>
      <c r="K19" s="39">
        <f t="shared" si="5"/>
        <v>163908978</v>
      </c>
      <c r="L19" s="39">
        <f t="shared" si="5"/>
        <v>231631111</v>
      </c>
      <c r="M19" s="39">
        <f t="shared" si="5"/>
        <v>273923599</v>
      </c>
      <c r="N19" s="39">
        <f t="shared" si="5"/>
        <v>316897503</v>
      </c>
      <c r="O19" s="39">
        <f t="shared" si="5"/>
        <v>362488857</v>
      </c>
      <c r="P19" s="39">
        <f t="shared" si="5"/>
        <v>411547670</v>
      </c>
    </row>
    <row r="20">
      <c r="A20" s="16" t="s">
        <v>154</v>
      </c>
      <c r="B20" s="60">
        <f t="shared" ref="B20:P20" si="6">IFERROR(B19/B11,0)</f>
        <v>0</v>
      </c>
      <c r="C20" s="60">
        <f t="shared" si="6"/>
        <v>0.675</v>
      </c>
      <c r="D20" s="60">
        <f t="shared" si="6"/>
        <v>0.6384615385</v>
      </c>
      <c r="E20" s="61">
        <f t="shared" si="6"/>
        <v>0.6393333333</v>
      </c>
      <c r="F20" s="60">
        <f t="shared" si="6"/>
        <v>0.6166666667</v>
      </c>
      <c r="G20" s="60">
        <f t="shared" si="6"/>
        <v>0.6805882353</v>
      </c>
      <c r="H20" s="60">
        <f t="shared" si="6"/>
        <v>0.6657142857</v>
      </c>
      <c r="I20" s="60">
        <f t="shared" si="6"/>
        <v>0.6859574468</v>
      </c>
      <c r="J20" s="61">
        <f t="shared" si="6"/>
        <v>0.6713641376</v>
      </c>
      <c r="K20" s="61">
        <f t="shared" si="6"/>
        <v>0.7030666047</v>
      </c>
      <c r="L20" s="61">
        <f t="shared" si="6"/>
        <v>0.7056213918</v>
      </c>
      <c r="M20" s="61">
        <f t="shared" si="6"/>
        <v>0.7029387906</v>
      </c>
      <c r="N20" s="61">
        <f t="shared" si="6"/>
        <v>0.6983092194</v>
      </c>
      <c r="O20" s="61">
        <f t="shared" si="6"/>
        <v>0.6929029933</v>
      </c>
      <c r="P20" s="61">
        <f t="shared" si="6"/>
        <v>0.6864437224</v>
      </c>
    </row>
    <row r="21">
      <c r="B21" s="17"/>
      <c r="C21" s="17"/>
      <c r="D21" s="17"/>
      <c r="E21" s="20"/>
      <c r="F21" s="17"/>
      <c r="G21" s="17"/>
      <c r="H21" s="17"/>
      <c r="I21" s="17"/>
      <c r="J21" s="20"/>
      <c r="K21" s="20"/>
      <c r="L21" s="20"/>
      <c r="M21" s="20"/>
      <c r="N21" s="20"/>
      <c r="O21" s="20"/>
      <c r="P21" s="20"/>
    </row>
    <row r="22" ht="19.5" customHeight="1">
      <c r="A22" s="13" t="s">
        <v>165</v>
      </c>
      <c r="B22" s="13"/>
      <c r="C22" s="13"/>
      <c r="D22" s="13"/>
      <c r="E22" s="13"/>
      <c r="F22" s="40"/>
      <c r="G22" s="40"/>
      <c r="H22" s="40"/>
      <c r="I22" s="40"/>
      <c r="J22" s="40"/>
      <c r="K22" s="40"/>
      <c r="L22" s="40"/>
      <c r="M22" s="40"/>
      <c r="N22" s="40"/>
      <c r="O22" s="40"/>
      <c r="P22" s="40"/>
    </row>
    <row r="23">
      <c r="A23" s="16" t="s">
        <v>167</v>
      </c>
      <c r="B23" s="30">
        <f>SUMIF('Monthly Data'!$B$2:$B1001,B$4,'Monthly Data'!$L$2:$L1001)+SUMIF('Monthly Data'!$B$2:$B1001,B$4,'Monthly Data'!$M$2:$M1001)</f>
        <v>1150000</v>
      </c>
      <c r="C23" s="30">
        <f>SUMIF('Monthly Data'!$B$2:$B1001,C$4,'Monthly Data'!$L$2:$L1001)+SUMIF('Monthly Data'!$B$2:$B1001,C$4,'Monthly Data'!$M$2:$M1001)</f>
        <v>1650000</v>
      </c>
      <c r="D23" s="30">
        <f>SUMIF('Monthly Data'!$B$2:$B1001,D$4,'Monthly Data'!$L$2:$L1001)+SUMIF('Monthly Data'!$B$2:$B1001,D$4,'Monthly Data'!$M$2:$M1001)</f>
        <v>2750000</v>
      </c>
      <c r="E23" s="31">
        <f>SUMIF('Monthly Data'!$B$2:$B1001,E$4,'Monthly Data'!$L$2:$L1001)+SUMIF('Monthly Data'!$B$2:$B1001,E$4,'Monthly Data'!$M$2:$M1001)</f>
        <v>3800000</v>
      </c>
      <c r="F23" s="30">
        <f>SUMIF('Monthly Data'!$B$2:$B1001,F$4,'Monthly Data'!$L$2:$L1001)+SUMIF('Monthly Data'!$B$2:$B1001,F$4,'Monthly Data'!$M$2:$M1001)</f>
        <v>15000000</v>
      </c>
      <c r="G23" s="30">
        <f>SUMIF('Monthly Data'!$B$2:$B1001,G$4,'Monthly Data'!$L$2:$L1001)+SUMIF('Monthly Data'!$B$2:$B1001,G$4,'Monthly Data'!$M$2:$M1001)</f>
        <v>22000000</v>
      </c>
      <c r="H23" s="30">
        <f>SUMIF('Monthly Data'!$B$2:$B1001,H$4,'Monthly Data'!$L$2:$L1001)+SUMIF('Monthly Data'!$B$2:$B1001,H$4,'Monthly Data'!$M$2:$M1001)</f>
        <v>44000000</v>
      </c>
      <c r="I23" s="30">
        <f>SUMIF('Monthly Data'!$B$2:$B1001,I$4,'Monthly Data'!$L$2:$L1001)+SUMIF('Monthly Data'!$B$2:$B1001,I$4,'Monthly Data'!$M$2:$M1001)</f>
        <v>70000000</v>
      </c>
      <c r="J23" s="31">
        <f>SUMIF('Monthly Data'!$B$2:$B1001,J$4,'Monthly Data'!$L$2:$L1001)+SUMIF('Monthly Data'!$B$2:$B1001,J$4,'Monthly Data'!$M$2:$M1001)</f>
        <v>124349951</v>
      </c>
      <c r="K23" s="31">
        <f>SUMIF('Monthly Data'!$B$2:$B1001,K$4,'Monthly Data'!$L$2:$L1001)+SUMIF('Monthly Data'!$B$2:$B1001,K$4,'Monthly Data'!$M$2:$M1001)</f>
        <v>117530533</v>
      </c>
      <c r="L23" s="31">
        <f>SUMIF('Monthly Data'!$B$2:$B1001,L$4,'Monthly Data'!$L$2:$L1001)+SUMIF('Monthly Data'!$B$2:$B1001,L$4,'Monthly Data'!$M$2:$M1001)</f>
        <v>112743769</v>
      </c>
      <c r="M23" s="31">
        <f>SUMIF('Monthly Data'!$B$2:$B1001,M$4,'Monthly Data'!$L$2:$L1001)+SUMIF('Monthly Data'!$B$2:$B1001,M$4,'Monthly Data'!$M$2:$M1001)</f>
        <v>122142355</v>
      </c>
      <c r="N23" s="31">
        <f>SUMIF('Monthly Data'!$B$2:$B1001,N$4,'Monthly Data'!$L$2:$L1001)+SUMIF('Monthly Data'!$B$2:$B1001,N$4,'Monthly Data'!$M$2:$M1001)</f>
        <v>131009033</v>
      </c>
      <c r="O23" s="31">
        <f>SUMIF('Monthly Data'!$B$2:$B1001,O$4,'Monthly Data'!$L$2:$L1001)+SUMIF('Monthly Data'!$B$2:$B1001,O$4,'Monthly Data'!$M$2:$M1001)</f>
        <v>140211389</v>
      </c>
      <c r="P23" s="31">
        <f>SUMIF('Monthly Data'!$B$2:$B1001,P$4,'Monthly Data'!$L$2:$L1001)+SUMIF('Monthly Data'!$B$2:$B1001,P$4,'Monthly Data'!$M$2:$M1001)</f>
        <v>149600421</v>
      </c>
    </row>
    <row r="24">
      <c r="A24" s="16" t="s">
        <v>182</v>
      </c>
      <c r="B24" s="30">
        <f>SUMIF('Monthly Data'!$B$2:$B1001,B$4,'Monthly Data'!$N$2:$N1001)</f>
        <v>100000</v>
      </c>
      <c r="C24" s="30">
        <f>SUMIF('Monthly Data'!$B$2:$B1001,C$4,'Monthly Data'!$N$2:$N1001)</f>
        <v>200000</v>
      </c>
      <c r="D24" s="30">
        <f>SUMIF('Monthly Data'!$B$2:$B1001,D$4,'Monthly Data'!$N$2:$N1001)</f>
        <v>400000</v>
      </c>
      <c r="E24" s="31">
        <f>SUMIF('Monthly Data'!$B$2:$B1001,E$4,'Monthly Data'!$N$2:$N1001)</f>
        <v>650000</v>
      </c>
      <c r="F24" s="30">
        <f>SUMIF('Monthly Data'!$B$2:$B1001,F$4,'Monthly Data'!$N$2:$N1001)</f>
        <v>2000000</v>
      </c>
      <c r="G24" s="30">
        <f>SUMIF('Monthly Data'!$B$2:$B1001,G$4,'Monthly Data'!$N$2:$N1001)</f>
        <v>9000000</v>
      </c>
      <c r="H24" s="30">
        <f>SUMIF('Monthly Data'!$B$2:$B1001,H$4,'Monthly Data'!$N$2:$N1001)</f>
        <v>18000000</v>
      </c>
      <c r="I24" s="30">
        <f>SUMIF('Monthly Data'!$B$2:$B1001,I$4,'Monthly Data'!$N$2:$N1001)</f>
        <v>36000000</v>
      </c>
      <c r="J24" s="31">
        <f>SUMIF('Monthly Data'!$B$2:$B1001,J$4,'Monthly Data'!$N$2:$N1001)</f>
        <v>46554210</v>
      </c>
      <c r="K24" s="31">
        <f>SUMIF('Monthly Data'!$B$2:$B1001,K$4,'Monthly Data'!$N$2:$N1001)</f>
        <v>59878080</v>
      </c>
      <c r="L24" s="31">
        <f>SUMIF('Monthly Data'!$B$2:$B1001,L$4,'Monthly Data'!$N$2:$N1001)</f>
        <v>76848420</v>
      </c>
      <c r="M24" s="31">
        <f>SUMIF('Monthly Data'!$B$2:$B1001,M$4,'Monthly Data'!$N$2:$N1001)</f>
        <v>98908318</v>
      </c>
      <c r="N24" s="31">
        <f>SUMIF('Monthly Data'!$B$2:$B1001,N$4,'Monthly Data'!$N$2:$N1001)</f>
        <v>125955214</v>
      </c>
      <c r="O24" s="31">
        <f>SUMIF('Monthly Data'!$B$2:$B1001,O$4,'Monthly Data'!$N$2:$N1001)</f>
        <v>159686273</v>
      </c>
      <c r="P24" s="31">
        <f>SUMIF('Monthly Data'!$B$2:$B1001,P$4,'Monthly Data'!$N$2:$N1001)</f>
        <v>202242301</v>
      </c>
    </row>
    <row r="25">
      <c r="A25" s="16" t="s">
        <v>184</v>
      </c>
      <c r="B25" s="30">
        <f>SUMIF('Monthly Data'!$B$2:$B1001,B$4,'Monthly Data'!$O$2:$O1001)</f>
        <v>600000</v>
      </c>
      <c r="C25" s="30">
        <f>SUMIF('Monthly Data'!$B$2:$B1001,C$4,'Monthly Data'!$O$2:$O1001)</f>
        <v>850000</v>
      </c>
      <c r="D25" s="30">
        <f>SUMIF('Monthly Data'!$B$2:$B1001,D$4,'Monthly Data'!$O$2:$O1001)</f>
        <v>1500000</v>
      </c>
      <c r="E25" s="31">
        <f>SUMIF('Monthly Data'!$B$2:$B1001,E$4,'Monthly Data'!$O$2:$O1001)</f>
        <v>2250000</v>
      </c>
      <c r="F25" s="30">
        <f>SUMIF('Monthly Data'!$B$2:$B1001,F$4,'Monthly Data'!$O$2:$O1001)</f>
        <v>5000000</v>
      </c>
      <c r="G25" s="30">
        <f>SUMIF('Monthly Data'!$B$2:$B1001,G$4,'Monthly Data'!$O$2:$O1001)</f>
        <v>12000000</v>
      </c>
      <c r="H25" s="30">
        <f>SUMIF('Monthly Data'!$B$2:$B1001,H$4,'Monthly Data'!$O$2:$O1001)</f>
        <v>19000000</v>
      </c>
      <c r="I25" s="30">
        <f>SUMIF('Monthly Data'!$B$2:$B1001,I$4,'Monthly Data'!$O$2:$O1001)</f>
        <v>28000000</v>
      </c>
      <c r="J25" s="31">
        <f>SUMIF('Monthly Data'!$B$2:$B1001,J$4,'Monthly Data'!$O$2:$O1001)</f>
        <v>43254318</v>
      </c>
      <c r="K25" s="31">
        <f>SUMIF('Monthly Data'!$B$2:$B1001,K$4,'Monthly Data'!$O$2:$O1001)</f>
        <v>46429517</v>
      </c>
      <c r="L25" s="31">
        <f>SUMIF('Monthly Data'!$B$2:$B1001,L$4,'Monthly Data'!$O$2:$O1001)</f>
        <v>50788046</v>
      </c>
      <c r="M25" s="31">
        <f>SUMIF('Monthly Data'!$B$2:$B1001,M$4,'Monthly Data'!$O$2:$O1001)</f>
        <v>55495887</v>
      </c>
      <c r="N25" s="31">
        <f>SUMIF('Monthly Data'!$B$2:$B1001,N$4,'Monthly Data'!$O$2:$O1001)</f>
        <v>60310853</v>
      </c>
      <c r="O25" s="31">
        <f>SUMIF('Monthly Data'!$B$2:$B1001,O$4,'Monthly Data'!$O$2:$O1001)</f>
        <v>65216725</v>
      </c>
      <c r="P25" s="31">
        <f>SUMIF('Monthly Data'!$B$2:$B1001,P$4,'Monthly Data'!$O$2:$O1001)</f>
        <v>70337497</v>
      </c>
    </row>
    <row r="26">
      <c r="A26" s="16" t="s">
        <v>209</v>
      </c>
      <c r="B26" s="30">
        <f>SUMIF('Monthly Data'!$B$2:$B1001,B$4,'Monthly Data'!$P$2:$P1001)</f>
        <v>40000</v>
      </c>
      <c r="C26" s="30">
        <f>SUMIF('Monthly Data'!$B$2:$B1001,C$4,'Monthly Data'!$P$2:$P1001)</f>
        <v>100000</v>
      </c>
      <c r="D26" s="30">
        <f>SUMIF('Monthly Data'!$B$2:$B1001,D$4,'Monthly Data'!$P$2:$P1001)</f>
        <v>240000</v>
      </c>
      <c r="E26" s="31">
        <f>SUMIF('Monthly Data'!$B$2:$B1001,E$4,'Monthly Data'!$P$2:$P1001)</f>
        <v>450000</v>
      </c>
      <c r="F26" s="30">
        <f>SUMIF('Monthly Data'!$B$2:$B1001,F$4,'Monthly Data'!$P$2:$P1001)</f>
        <v>750000</v>
      </c>
      <c r="G26" s="30">
        <f>SUMIF('Monthly Data'!$B$2:$B1001,G$4,'Monthly Data'!$P$2:$P1001)</f>
        <v>2000000</v>
      </c>
      <c r="H26" s="30">
        <f>SUMIF('Monthly Data'!$B$2:$B1001,H$4,'Monthly Data'!$P$2:$P1001)</f>
        <v>4000000</v>
      </c>
      <c r="I26" s="30">
        <f>SUMIF('Monthly Data'!$B$2:$B1001,I$4,'Monthly Data'!$P$2:$P1001)</f>
        <v>7000000</v>
      </c>
      <c r="J26" s="31">
        <f>SUMIF('Monthly Data'!$B$2:$B1001,J$4,'Monthly Data'!$P$2:$P1001)</f>
        <v>12280536</v>
      </c>
      <c r="K26" s="31">
        <f>SUMIF('Monthly Data'!$B$2:$B1001,K$4,'Monthly Data'!$P$2:$P1001)</f>
        <v>14736643</v>
      </c>
      <c r="L26" s="31">
        <f>SUMIF('Monthly Data'!$B$2:$B1001,L$4,'Monthly Data'!$P$2:$P1001)</f>
        <v>17683973</v>
      </c>
      <c r="M26" s="31">
        <f>SUMIF('Monthly Data'!$B$2:$B1001,M$4,'Monthly Data'!$P$2:$P1001)</f>
        <v>21220768</v>
      </c>
      <c r="N26" s="31">
        <f>SUMIF('Monthly Data'!$B$2:$B1001,N$4,'Monthly Data'!$P$2:$P1001)</f>
        <v>25464921</v>
      </c>
      <c r="O26" s="31">
        <f>SUMIF('Monthly Data'!$B$2:$B1001,O$4,'Monthly Data'!$P$2:$P1001)</f>
        <v>30557908</v>
      </c>
      <c r="P26" s="31">
        <f>SUMIF('Monthly Data'!$B$2:$B1001,P$4,'Monthly Data'!$P$2:$P1001)</f>
        <v>36669490</v>
      </c>
    </row>
    <row r="27">
      <c r="A27" s="16" t="s">
        <v>210</v>
      </c>
      <c r="B27" s="30">
        <f>SUMIF('Monthly Data'!$B$2:$B1001,B$4,'Monthly Data'!$Q$2:$Q1001)</f>
        <v>30000</v>
      </c>
      <c r="C27" s="30">
        <f>SUMIF('Monthly Data'!$B$2:$B1001,C$4,'Monthly Data'!$Q$2:$Q1001)</f>
        <v>120000</v>
      </c>
      <c r="D27" s="30">
        <f>SUMIF('Monthly Data'!$B$2:$B1001,D$4,'Monthly Data'!$Q$2:$Q1001)</f>
        <v>240000</v>
      </c>
      <c r="E27" s="31">
        <f>SUMIF('Monthly Data'!$B$2:$B1001,E$4,'Monthly Data'!$Q$2:$Q1001)</f>
        <v>450000</v>
      </c>
      <c r="F27" s="30">
        <f>SUMIF('Monthly Data'!$B$2:$B1001,F$4,'Monthly Data'!$Q$2:$Q1001)</f>
        <v>1100000</v>
      </c>
      <c r="G27" s="30">
        <f>SUMIF('Monthly Data'!$B$2:$B1001,G$4,'Monthly Data'!$Q$2:$Q1001)</f>
        <v>3000000</v>
      </c>
      <c r="H27" s="30">
        <f>SUMIF('Monthly Data'!$B$2:$B1001,H$4,'Monthly Data'!$Q$2:$Q1001)</f>
        <v>5000000</v>
      </c>
      <c r="I27" s="30">
        <f>SUMIF('Monthly Data'!$B$2:$B1001,I$4,'Monthly Data'!$Q$2:$Q1001)</f>
        <v>7000000</v>
      </c>
      <c r="J27" s="31">
        <f>SUMIF('Monthly Data'!$B$2:$B1001,J$4,'Monthly Data'!$Q$2:$Q1001)</f>
        <v>9799998</v>
      </c>
      <c r="K27" s="31">
        <f>SUMIF('Monthly Data'!$B$2:$B1001,K$4,'Monthly Data'!$Q$2:$Q1001)</f>
        <v>13066664</v>
      </c>
      <c r="L27" s="31">
        <f>SUMIF('Monthly Data'!$B$2:$B1001,L$4,'Monthly Data'!$Q$2:$Q1001)</f>
        <v>17422222</v>
      </c>
      <c r="M27" s="31">
        <f>SUMIF('Monthly Data'!$B$2:$B1001,M$4,'Monthly Data'!$Q$2:$Q1001)</f>
        <v>23229626</v>
      </c>
      <c r="N27" s="31">
        <f>SUMIF('Monthly Data'!$B$2:$B1001,N$4,'Monthly Data'!$Q$2:$Q1001)</f>
        <v>30972835</v>
      </c>
      <c r="O27" s="31">
        <f>SUMIF('Monthly Data'!$B$2:$B1001,O$4,'Monthly Data'!$Q$2:$Q1001)</f>
        <v>41297113</v>
      </c>
      <c r="P27" s="31">
        <f>SUMIF('Monthly Data'!$B$2:$B1001,P$4,'Monthly Data'!$Q$2:$Q1001)</f>
        <v>55062814</v>
      </c>
    </row>
    <row r="28" ht="17.25" customHeight="1">
      <c r="A28" s="38" t="s">
        <v>219</v>
      </c>
      <c r="B28" s="39">
        <f t="shared" ref="B28:P28" si="7">SUM(B23:B27)</f>
        <v>1920000</v>
      </c>
      <c r="C28" s="39">
        <f t="shared" si="7"/>
        <v>2920000</v>
      </c>
      <c r="D28" s="39">
        <f t="shared" si="7"/>
        <v>5130000</v>
      </c>
      <c r="E28" s="39">
        <f t="shared" si="7"/>
        <v>7600000</v>
      </c>
      <c r="F28" s="39">
        <f t="shared" si="7"/>
        <v>23850000</v>
      </c>
      <c r="G28" s="39">
        <f t="shared" si="7"/>
        <v>48000000</v>
      </c>
      <c r="H28" s="39">
        <f t="shared" si="7"/>
        <v>90000000</v>
      </c>
      <c r="I28" s="39">
        <f t="shared" si="7"/>
        <v>148000000</v>
      </c>
      <c r="J28" s="39">
        <f t="shared" si="7"/>
        <v>236239013</v>
      </c>
      <c r="K28" s="39">
        <f t="shared" si="7"/>
        <v>251641437</v>
      </c>
      <c r="L28" s="39">
        <f t="shared" si="7"/>
        <v>275486430</v>
      </c>
      <c r="M28" s="39">
        <f t="shared" si="7"/>
        <v>320996954</v>
      </c>
      <c r="N28" s="39">
        <f t="shared" si="7"/>
        <v>373712856</v>
      </c>
      <c r="O28" s="39">
        <f t="shared" si="7"/>
        <v>436969408</v>
      </c>
      <c r="P28" s="39">
        <f t="shared" si="7"/>
        <v>513912523</v>
      </c>
    </row>
    <row r="29" ht="17.25" customHeight="1">
      <c r="A29" s="38" t="s">
        <v>237</v>
      </c>
      <c r="B29" s="39">
        <f t="shared" ref="B29:P29" si="8">B19-B28</f>
        <v>-1920000</v>
      </c>
      <c r="C29" s="39">
        <f t="shared" si="8"/>
        <v>-2650000</v>
      </c>
      <c r="D29" s="39">
        <f t="shared" si="8"/>
        <v>-4300000</v>
      </c>
      <c r="E29" s="39">
        <f t="shared" si="8"/>
        <v>-5682000</v>
      </c>
      <c r="F29" s="39">
        <f t="shared" si="8"/>
        <v>-20150000</v>
      </c>
      <c r="G29" s="39">
        <f t="shared" si="8"/>
        <v>-36430000</v>
      </c>
      <c r="H29" s="39">
        <f t="shared" si="8"/>
        <v>-57380000</v>
      </c>
      <c r="I29" s="39">
        <f t="shared" si="8"/>
        <v>-83520000</v>
      </c>
      <c r="J29" s="39">
        <f t="shared" si="8"/>
        <v>-138167410</v>
      </c>
      <c r="K29" s="39">
        <f t="shared" si="8"/>
        <v>-87732459</v>
      </c>
      <c r="L29" s="39">
        <f t="shared" si="8"/>
        <v>-43855319</v>
      </c>
      <c r="M29" s="39">
        <f t="shared" si="8"/>
        <v>-47073355</v>
      </c>
      <c r="N29" s="39">
        <f t="shared" si="8"/>
        <v>-56815353</v>
      </c>
      <c r="O29" s="39">
        <f t="shared" si="8"/>
        <v>-74480551</v>
      </c>
      <c r="P29" s="39">
        <f t="shared" si="8"/>
        <v>-102364853</v>
      </c>
    </row>
    <row r="30">
      <c r="A30" s="16" t="s">
        <v>238</v>
      </c>
      <c r="B30" s="60">
        <f t="shared" ref="B30:P30" si="9">IFERROR(B29/B11,0)</f>
        <v>0</v>
      </c>
      <c r="C30" s="60">
        <f t="shared" si="9"/>
        <v>-6.625</v>
      </c>
      <c r="D30" s="60">
        <f t="shared" si="9"/>
        <v>-3.307692308</v>
      </c>
      <c r="E30" s="61">
        <f t="shared" si="9"/>
        <v>-1.894</v>
      </c>
      <c r="F30" s="60">
        <f t="shared" si="9"/>
        <v>-3.358333333</v>
      </c>
      <c r="G30" s="60">
        <f t="shared" si="9"/>
        <v>-2.142941176</v>
      </c>
      <c r="H30" s="60">
        <f t="shared" si="9"/>
        <v>-1.171020408</v>
      </c>
      <c r="I30" s="60">
        <f t="shared" si="9"/>
        <v>-0.8885106383</v>
      </c>
      <c r="J30" s="61">
        <f t="shared" si="9"/>
        <v>-0.9458461086</v>
      </c>
      <c r="K30" s="61">
        <f t="shared" si="9"/>
        <v>-0.3763171659</v>
      </c>
      <c r="L30" s="61">
        <f t="shared" si="9"/>
        <v>-0.1335971282</v>
      </c>
      <c r="M30" s="61">
        <f t="shared" si="9"/>
        <v>-0.1207989649</v>
      </c>
      <c r="N30" s="61">
        <f t="shared" si="9"/>
        <v>-0.125197215</v>
      </c>
      <c r="O30" s="61">
        <f t="shared" si="9"/>
        <v>-0.1423707122</v>
      </c>
      <c r="P30" s="61">
        <f t="shared" si="9"/>
        <v>-0.1707401496</v>
      </c>
    </row>
    <row r="31">
      <c r="B31" s="17"/>
      <c r="C31" s="17"/>
      <c r="D31" s="17"/>
      <c r="E31" s="20"/>
      <c r="F31" s="17"/>
      <c r="G31" s="17"/>
      <c r="H31" s="17"/>
      <c r="I31" s="17"/>
      <c r="J31" s="20"/>
      <c r="K31" s="20"/>
      <c r="L31" s="20"/>
      <c r="M31" s="20"/>
      <c r="N31" s="20"/>
      <c r="O31" s="20"/>
      <c r="P31" s="20"/>
    </row>
    <row r="32" ht="19.5" customHeight="1">
      <c r="A32" s="13" t="s">
        <v>239</v>
      </c>
      <c r="B32" s="13"/>
      <c r="C32" s="13"/>
      <c r="D32" s="13"/>
      <c r="E32" s="13"/>
      <c r="F32" s="40"/>
      <c r="G32" s="40"/>
      <c r="H32" s="40"/>
      <c r="I32" s="40"/>
      <c r="J32" s="40"/>
      <c r="K32" s="40"/>
      <c r="L32" s="40"/>
      <c r="M32" s="40"/>
      <c r="N32" s="40"/>
      <c r="O32" s="40"/>
      <c r="P32" s="40"/>
    </row>
    <row r="33">
      <c r="A33" s="16" t="s">
        <v>240</v>
      </c>
      <c r="B33" s="41">
        <f>SUMIF('Monthly Data'!$B$2:$B1001,B$4,'Monthly Data'!$R$2:$R1001)</f>
        <v>0</v>
      </c>
      <c r="C33" s="41">
        <f>SUMIF('Monthly Data'!$B$2:$B1001,C$4,'Monthly Data'!$R$2:$R1001)</f>
        <v>0</v>
      </c>
      <c r="D33" s="41">
        <f>SUMIF('Monthly Data'!$B$2:$B1001,D$4,'Monthly Data'!$R$2:$R1001)</f>
        <v>0</v>
      </c>
      <c r="E33" s="42">
        <f>SUMIF('Monthly Data'!$B$2:$B1001,E$4,'Monthly Data'!$R$2:$R1001)</f>
        <v>0</v>
      </c>
      <c r="F33" s="41">
        <f>SUMIF('Monthly Data'!$B$2:$B1001,F$4,'Monthly Data'!$R$2:$R1001)</f>
        <v>935000</v>
      </c>
      <c r="G33" s="41">
        <f>SUMIF('Monthly Data'!$B$2:$B1001,G$4,'Monthly Data'!$R$2:$R1001)</f>
        <v>3570000</v>
      </c>
      <c r="H33" s="41">
        <f>SUMIF('Monthly Data'!$B$2:$B1001,H$4,'Monthly Data'!$R$2:$R1001)</f>
        <v>5057500</v>
      </c>
      <c r="I33" s="41">
        <f>SUMIF('Monthly Data'!$B$2:$B1001,I$4,'Monthly Data'!$R$2:$R1001)</f>
        <v>6545000</v>
      </c>
      <c r="J33" s="42">
        <f>SUMIF('Monthly Data'!$B$2:$B1001,J$4,'Monthly Data'!$R$2:$R1001)</f>
        <v>8244996</v>
      </c>
      <c r="K33" s="42">
        <f>SUMIF('Monthly Data'!$B$2:$B1001,K$4,'Monthly Data'!$R$2:$R1001)</f>
        <v>8138746</v>
      </c>
      <c r="L33" s="42">
        <f>SUMIF('Monthly Data'!$B$2:$B1001,L$4,'Monthly Data'!$R$2:$R1001)</f>
        <v>6863746</v>
      </c>
      <c r="M33" s="42">
        <f>SUMIF('Monthly Data'!$B$2:$B1001,M$4,'Monthly Data'!$R$2:$R1001)</f>
        <v>5588746</v>
      </c>
      <c r="N33" s="42">
        <f>SUMIF('Monthly Data'!$B$2:$B1001,N$4,'Monthly Data'!$R$2:$R1001)</f>
        <v>4313746</v>
      </c>
      <c r="O33" s="42">
        <f>SUMIF('Monthly Data'!$B$2:$B1001,O$4,'Monthly Data'!$R$2:$R1001)</f>
        <v>3038746</v>
      </c>
      <c r="P33" s="42">
        <f>SUMIF('Monthly Data'!$B$2:$B1001,P$4,'Monthly Data'!$R$2:$R1001)</f>
        <v>1763746</v>
      </c>
    </row>
    <row r="34" ht="17.25" customHeight="1">
      <c r="A34" s="38" t="s">
        <v>260</v>
      </c>
      <c r="B34" s="39">
        <f t="shared" ref="B34:P34" si="10">B29-B33</f>
        <v>-1920000</v>
      </c>
      <c r="C34" s="39">
        <f t="shared" si="10"/>
        <v>-2650000</v>
      </c>
      <c r="D34" s="39">
        <f t="shared" si="10"/>
        <v>-4300000</v>
      </c>
      <c r="E34" s="39">
        <f t="shared" si="10"/>
        <v>-5682000</v>
      </c>
      <c r="F34" s="39">
        <f t="shared" si="10"/>
        <v>-21085000</v>
      </c>
      <c r="G34" s="39">
        <f t="shared" si="10"/>
        <v>-40000000</v>
      </c>
      <c r="H34" s="39">
        <f t="shared" si="10"/>
        <v>-62437500</v>
      </c>
      <c r="I34" s="39">
        <f t="shared" si="10"/>
        <v>-90065000</v>
      </c>
      <c r="J34" s="39">
        <f t="shared" si="10"/>
        <v>-146412406</v>
      </c>
      <c r="K34" s="39">
        <f t="shared" si="10"/>
        <v>-95871205</v>
      </c>
      <c r="L34" s="39">
        <f t="shared" si="10"/>
        <v>-50719065</v>
      </c>
      <c r="M34" s="39">
        <f t="shared" si="10"/>
        <v>-52662101</v>
      </c>
      <c r="N34" s="39">
        <f t="shared" si="10"/>
        <v>-61129099</v>
      </c>
      <c r="O34" s="39">
        <f t="shared" si="10"/>
        <v>-77519297</v>
      </c>
      <c r="P34" s="39">
        <f t="shared" si="10"/>
        <v>-104128599</v>
      </c>
    </row>
    <row r="35">
      <c r="A35" s="16" t="s">
        <v>261</v>
      </c>
      <c r="B35" s="17">
        <f>SUMIF('Monthly Data'!$B$2:$B1001,B$4,'Monthly Data'!$S$2:$S1001)</f>
        <v>0</v>
      </c>
      <c r="C35" s="17">
        <f>SUMIF('Monthly Data'!$B$2:$B1001,C$4,'Monthly Data'!$S$2:$S1001)</f>
        <v>0</v>
      </c>
      <c r="D35" s="17">
        <f>SUMIF('Monthly Data'!$B$2:$B1001,D$4,'Monthly Data'!$S$2:$S1001)</f>
        <v>0</v>
      </c>
      <c r="E35" s="20">
        <f>SUMIF('Monthly Data'!$B$2:$B1001,E$4,'Monthly Data'!$S$2:$S1001)</f>
        <v>0</v>
      </c>
      <c r="F35" s="17">
        <f>SUMIF('Monthly Data'!$B$2:$B1001,F$4,'Monthly Data'!$S$2:$S1001)</f>
        <v>0</v>
      </c>
      <c r="G35" s="17">
        <f>SUMIF('Monthly Data'!$B$2:$B1001,G$4,'Monthly Data'!$S$2:$S1001)</f>
        <v>0</v>
      </c>
      <c r="H35" s="17">
        <f>SUMIF('Monthly Data'!$B$2:$B1001,H$4,'Monthly Data'!$S$2:$S1001)</f>
        <v>0</v>
      </c>
      <c r="I35" s="17">
        <f>SUMIF('Monthly Data'!$B$2:$B1001,I$4,'Monthly Data'!$S$2:$S1001)</f>
        <v>0</v>
      </c>
      <c r="J35" s="20">
        <f>SUMIF('Monthly Data'!$B$2:$B1001,J$4,'Monthly Data'!$S$2:$S1001)</f>
        <v>0</v>
      </c>
      <c r="K35" s="20">
        <f>SUMIF('Monthly Data'!$B$2:$B1001,K$4,'Monthly Data'!$S$2:$S1001)</f>
        <v>0</v>
      </c>
      <c r="L35" s="20">
        <f>SUMIF('Monthly Data'!$B$2:$B1001,L$4,'Monthly Data'!$S$2:$S1001)</f>
        <v>0</v>
      </c>
      <c r="M35" s="20">
        <f>SUMIF('Monthly Data'!$B$2:$B1001,M$4,'Monthly Data'!$S$2:$S1001)</f>
        <v>0</v>
      </c>
      <c r="N35" s="20">
        <f>SUMIF('Monthly Data'!$B$2:$B1001,N$4,'Monthly Data'!$S$2:$S1001)</f>
        <v>0</v>
      </c>
      <c r="O35" s="20">
        <f>SUMIF('Monthly Data'!$B$2:$B1001,O$4,'Monthly Data'!$S$2:$S1001)</f>
        <v>0</v>
      </c>
      <c r="P35" s="20">
        <f>SUMIF('Monthly Data'!$B$2:$B1001,P$4,'Monthly Data'!$S$2:$S1001)</f>
        <v>0</v>
      </c>
    </row>
    <row r="36" ht="17.25" customHeight="1">
      <c r="A36" s="38" t="s">
        <v>262</v>
      </c>
      <c r="B36" s="39">
        <f t="shared" ref="B36:P36" si="11">B34-B35</f>
        <v>-1920000</v>
      </c>
      <c r="C36" s="39">
        <f t="shared" si="11"/>
        <v>-2650000</v>
      </c>
      <c r="D36" s="39">
        <f t="shared" si="11"/>
        <v>-4300000</v>
      </c>
      <c r="E36" s="39">
        <f t="shared" si="11"/>
        <v>-5682000</v>
      </c>
      <c r="F36" s="39">
        <f t="shared" si="11"/>
        <v>-21085000</v>
      </c>
      <c r="G36" s="39">
        <f t="shared" si="11"/>
        <v>-40000000</v>
      </c>
      <c r="H36" s="39">
        <f t="shared" si="11"/>
        <v>-62437500</v>
      </c>
      <c r="I36" s="39">
        <f t="shared" si="11"/>
        <v>-90065000</v>
      </c>
      <c r="J36" s="39">
        <f t="shared" si="11"/>
        <v>-146412406</v>
      </c>
      <c r="K36" s="39">
        <f t="shared" si="11"/>
        <v>-95871205</v>
      </c>
      <c r="L36" s="39">
        <f t="shared" si="11"/>
        <v>-50719065</v>
      </c>
      <c r="M36" s="39">
        <f t="shared" si="11"/>
        <v>-52662101</v>
      </c>
      <c r="N36" s="39">
        <f t="shared" si="11"/>
        <v>-61129099</v>
      </c>
      <c r="O36" s="39">
        <f t="shared" si="11"/>
        <v>-77519297</v>
      </c>
      <c r="P36" s="39">
        <f t="shared" si="11"/>
        <v>-104128599</v>
      </c>
    </row>
    <row r="37">
      <c r="A37" s="16" t="s">
        <v>263</v>
      </c>
      <c r="B37" s="60">
        <f t="shared" ref="B37:P37" si="12">IFERROR(B36/B11,0)</f>
        <v>0</v>
      </c>
      <c r="C37" s="60">
        <f t="shared" si="12"/>
        <v>-6.625</v>
      </c>
      <c r="D37" s="60">
        <f t="shared" si="12"/>
        <v>-3.307692308</v>
      </c>
      <c r="E37" s="61">
        <f t="shared" si="12"/>
        <v>-1.894</v>
      </c>
      <c r="F37" s="60">
        <f t="shared" si="12"/>
        <v>-3.514166667</v>
      </c>
      <c r="G37" s="60">
        <f t="shared" si="12"/>
        <v>-2.352941176</v>
      </c>
      <c r="H37" s="60">
        <f t="shared" si="12"/>
        <v>-1.274234694</v>
      </c>
      <c r="I37" s="60">
        <f t="shared" si="12"/>
        <v>-0.9581382979</v>
      </c>
      <c r="J37" s="61">
        <f t="shared" si="12"/>
        <v>-1.002288488</v>
      </c>
      <c r="K37" s="61">
        <f t="shared" si="12"/>
        <v>-0.4112272763</v>
      </c>
      <c r="L37" s="61">
        <f t="shared" si="12"/>
        <v>-0.1545062625</v>
      </c>
      <c r="M37" s="61">
        <f t="shared" si="12"/>
        <v>-0.1351407244</v>
      </c>
      <c r="N37" s="61">
        <f t="shared" si="12"/>
        <v>-0.1347029024</v>
      </c>
      <c r="O37" s="61">
        <f t="shared" si="12"/>
        <v>-0.1481793216</v>
      </c>
      <c r="P37" s="61">
        <f t="shared" si="12"/>
        <v>-0.1736820017</v>
      </c>
    </row>
    <row r="38">
      <c r="A38" s="16" t="s">
        <v>264</v>
      </c>
      <c r="B38" s="60">
        <f t="shared" ref="B38:P38" si="13">IFERROR(B23/B11,0)</f>
        <v>0</v>
      </c>
      <c r="C38" s="60">
        <f t="shared" si="13"/>
        <v>4.125</v>
      </c>
      <c r="D38" s="60">
        <f t="shared" si="13"/>
        <v>2.115384615</v>
      </c>
      <c r="E38" s="61">
        <f t="shared" si="13"/>
        <v>1.266666667</v>
      </c>
      <c r="F38" s="60">
        <f t="shared" si="13"/>
        <v>2.5</v>
      </c>
      <c r="G38" s="60">
        <f t="shared" si="13"/>
        <v>1.294117647</v>
      </c>
      <c r="H38" s="60">
        <f t="shared" si="13"/>
        <v>0.8979591837</v>
      </c>
      <c r="I38" s="60">
        <f t="shared" si="13"/>
        <v>0.7446808511</v>
      </c>
      <c r="J38" s="61">
        <f t="shared" si="13"/>
        <v>0.8512565825</v>
      </c>
      <c r="K38" s="61">
        <f t="shared" si="13"/>
        <v>0.5041321945</v>
      </c>
      <c r="L38" s="61">
        <f t="shared" si="13"/>
        <v>0.3434530657</v>
      </c>
      <c r="M38" s="61">
        <f t="shared" si="13"/>
        <v>0.3134399505</v>
      </c>
      <c r="N38" s="61">
        <f t="shared" si="13"/>
        <v>0.2886889758</v>
      </c>
      <c r="O38" s="61">
        <f t="shared" si="13"/>
        <v>0.2680162142</v>
      </c>
      <c r="P38" s="61">
        <f t="shared" si="13"/>
        <v>0.249527035</v>
      </c>
    </row>
    <row r="39">
      <c r="B39" s="12"/>
      <c r="C39" s="12"/>
      <c r="D39" s="12"/>
      <c r="E39" s="12"/>
      <c r="F39" s="12"/>
      <c r="G39" s="12"/>
      <c r="H39" s="12"/>
      <c r="I39" s="12"/>
      <c r="J39" s="12"/>
    </row>
    <row r="40">
      <c r="B40" s="12"/>
      <c r="C40" s="12"/>
      <c r="D40" s="12"/>
      <c r="E40" s="12"/>
      <c r="F40" s="12"/>
      <c r="G40" s="12"/>
      <c r="H40" s="12"/>
      <c r="I40" s="12"/>
      <c r="J40" s="12"/>
    </row>
    <row r="41">
      <c r="B41" s="12"/>
      <c r="C41" s="12"/>
      <c r="D41" s="12"/>
      <c r="E41" s="12"/>
      <c r="F41" s="12"/>
      <c r="G41" s="12"/>
      <c r="H41" s="12"/>
      <c r="I41" s="12"/>
      <c r="J41" s="12"/>
    </row>
    <row r="42">
      <c r="B42" s="12"/>
      <c r="C42" s="12"/>
      <c r="D42" s="12"/>
      <c r="E42" s="12"/>
      <c r="F42" s="12"/>
      <c r="G42" s="12"/>
      <c r="H42" s="12"/>
      <c r="I42" s="12"/>
      <c r="J42" s="12"/>
    </row>
    <row r="43">
      <c r="B43" s="12"/>
      <c r="C43" s="12"/>
      <c r="D43" s="12"/>
      <c r="E43" s="12"/>
      <c r="F43" s="12"/>
      <c r="G43" s="12"/>
      <c r="H43" s="12"/>
      <c r="I43" s="12"/>
      <c r="J43" s="12"/>
    </row>
    <row r="44">
      <c r="B44" s="12"/>
      <c r="C44" s="12"/>
      <c r="D44" s="12"/>
      <c r="E44" s="12"/>
      <c r="F44" s="12"/>
      <c r="G44" s="12"/>
      <c r="H44" s="12"/>
      <c r="I44" s="12"/>
      <c r="J44" s="12"/>
    </row>
    <row r="45">
      <c r="B45" s="12"/>
      <c r="C45" s="12"/>
      <c r="D45" s="12"/>
      <c r="E45" s="12"/>
      <c r="F45" s="12"/>
      <c r="G45" s="12"/>
      <c r="H45" s="12"/>
      <c r="I45" s="12"/>
      <c r="J45" s="12"/>
    </row>
    <row r="46">
      <c r="B46" s="12"/>
      <c r="C46" s="12"/>
      <c r="D46" s="12"/>
      <c r="E46" s="12"/>
      <c r="F46" s="12"/>
      <c r="G46" s="12"/>
      <c r="H46" s="12"/>
      <c r="I46" s="12"/>
      <c r="J46" s="12"/>
    </row>
    <row r="47">
      <c r="B47" s="12"/>
      <c r="C47" s="12"/>
      <c r="D47" s="12"/>
      <c r="E47" s="12"/>
      <c r="F47" s="12"/>
      <c r="G47" s="12"/>
      <c r="H47" s="12"/>
      <c r="I47" s="12"/>
      <c r="J47" s="12"/>
    </row>
    <row r="48">
      <c r="B48" s="12"/>
      <c r="C48" s="12"/>
      <c r="D48" s="12"/>
      <c r="E48" s="12"/>
      <c r="F48" s="12"/>
      <c r="G48" s="12"/>
      <c r="H48" s="12"/>
      <c r="I48" s="12"/>
      <c r="J48" s="12"/>
    </row>
    <row r="49">
      <c r="B49" s="12"/>
      <c r="C49" s="12"/>
      <c r="D49" s="12"/>
      <c r="E49" s="12"/>
      <c r="F49" s="12"/>
      <c r="G49" s="12"/>
      <c r="H49" s="12"/>
      <c r="I49" s="12"/>
      <c r="J49" s="12"/>
    </row>
    <row r="50">
      <c r="B50" s="12"/>
      <c r="C50" s="12"/>
      <c r="D50" s="12"/>
      <c r="E50" s="12"/>
      <c r="F50" s="12"/>
      <c r="G50" s="12"/>
      <c r="H50" s="12"/>
      <c r="I50" s="12"/>
      <c r="J50" s="12"/>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3CF"/>
    <outlinePr summaryBelow="0" summaryRight="0"/>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75"/>
  <cols>
    <col customWidth="1" min="1" max="1" width="40.63"/>
    <col customWidth="1" min="2" max="10" width="18.25"/>
  </cols>
  <sheetData>
    <row r="1" ht="35.25" customHeight="1">
      <c r="A1" s="1" t="s">
        <v>0</v>
      </c>
      <c r="B1" s="2"/>
      <c r="C1" s="2"/>
      <c r="D1" s="2"/>
      <c r="E1" s="2"/>
      <c r="F1" s="2"/>
      <c r="G1" s="4"/>
      <c r="H1" s="4"/>
      <c r="I1" s="4"/>
      <c r="J1" s="4"/>
      <c r="K1" s="4"/>
      <c r="L1" s="4"/>
      <c r="M1" s="4"/>
      <c r="N1" s="4"/>
      <c r="O1" s="4"/>
      <c r="P1" s="4"/>
    </row>
    <row r="2" ht="22.5" hidden="1" customHeight="1">
      <c r="A2" s="6" t="s">
        <v>10</v>
      </c>
      <c r="B2" s="6"/>
      <c r="C2" s="6"/>
      <c r="D2" s="6"/>
      <c r="E2" s="6"/>
      <c r="F2" s="6"/>
      <c r="G2" s="7"/>
      <c r="H2" s="7"/>
      <c r="I2" s="7"/>
      <c r="J2" s="7"/>
      <c r="K2" s="7"/>
      <c r="L2" s="7"/>
      <c r="M2" s="7"/>
      <c r="N2" s="7"/>
      <c r="O2" s="7"/>
      <c r="P2" s="7"/>
    </row>
    <row r="3" hidden="1"/>
    <row r="4" ht="16.5" hidden="1" customHeight="1">
      <c r="A4" s="8" t="s">
        <v>19</v>
      </c>
      <c r="B4" s="8" t="s">
        <v>24</v>
      </c>
      <c r="C4" s="8" t="s">
        <v>25</v>
      </c>
      <c r="D4" s="8" t="s">
        <v>27</v>
      </c>
      <c r="E4" s="8" t="s">
        <v>28</v>
      </c>
      <c r="F4" s="8" t="s">
        <v>30</v>
      </c>
      <c r="G4" s="8" t="s">
        <v>31</v>
      </c>
      <c r="H4" s="8" t="s">
        <v>32</v>
      </c>
      <c r="I4" s="8" t="s">
        <v>33</v>
      </c>
      <c r="J4" s="9" t="s">
        <v>35</v>
      </c>
      <c r="K4" s="9" t="s">
        <v>37</v>
      </c>
      <c r="L4" s="9" t="s">
        <v>38</v>
      </c>
      <c r="M4" s="9" t="s">
        <v>40</v>
      </c>
      <c r="N4" s="9" t="s">
        <v>41</v>
      </c>
      <c r="O4" s="9" t="s">
        <v>42</v>
      </c>
      <c r="P4" s="9" t="s">
        <v>43</v>
      </c>
    </row>
    <row r="5" ht="16.5" customHeight="1">
      <c r="A5" s="8" t="s">
        <v>45</v>
      </c>
      <c r="B5" s="8">
        <v>2018.0</v>
      </c>
      <c r="C5" s="8">
        <v>2019.0</v>
      </c>
      <c r="D5" s="8">
        <v>2020.0</v>
      </c>
      <c r="E5" s="8">
        <v>2021.0</v>
      </c>
      <c r="F5" s="8">
        <v>2022.0</v>
      </c>
      <c r="G5" s="8">
        <v>2023.0</v>
      </c>
      <c r="H5" s="8">
        <v>2024.0</v>
      </c>
      <c r="I5" s="8">
        <v>2025.0</v>
      </c>
      <c r="J5" s="10">
        <v>2026.0</v>
      </c>
      <c r="K5" s="9">
        <v>2027.0</v>
      </c>
      <c r="L5" s="9">
        <v>2028.0</v>
      </c>
      <c r="M5" s="9">
        <v>2029.0</v>
      </c>
      <c r="N5" s="9">
        <v>2030.0</v>
      </c>
      <c r="O5" s="9">
        <v>2031.0</v>
      </c>
      <c r="P5" s="9">
        <v>2032.0</v>
      </c>
      <c r="Q5" s="11"/>
      <c r="R5" s="11"/>
      <c r="S5" s="11"/>
      <c r="T5" s="11"/>
      <c r="U5" s="11"/>
      <c r="V5" s="11"/>
      <c r="W5" s="11"/>
      <c r="X5" s="11"/>
      <c r="Y5" s="11"/>
      <c r="Z5" s="11"/>
    </row>
    <row r="6">
      <c r="B6" s="12"/>
      <c r="C6" s="12"/>
      <c r="D6" s="12"/>
      <c r="E6" s="12"/>
      <c r="F6" s="12"/>
      <c r="G6" s="12"/>
      <c r="H6" s="12"/>
      <c r="I6" s="12"/>
      <c r="J6" s="12"/>
      <c r="K6" s="12"/>
      <c r="L6" s="12"/>
      <c r="M6" s="12"/>
      <c r="N6" s="12"/>
      <c r="O6" s="12"/>
      <c r="P6" s="12"/>
    </row>
    <row r="7" ht="19.5" customHeight="1">
      <c r="A7" s="13" t="s">
        <v>58</v>
      </c>
      <c r="B7" s="13"/>
      <c r="C7" s="13"/>
      <c r="D7" s="13"/>
      <c r="E7" s="13"/>
      <c r="F7" s="14"/>
      <c r="G7" s="14"/>
      <c r="H7" s="14"/>
      <c r="I7" s="14"/>
      <c r="J7" s="14"/>
      <c r="K7" s="14"/>
      <c r="L7" s="14"/>
      <c r="M7" s="14"/>
      <c r="N7" s="14"/>
      <c r="O7" s="14"/>
      <c r="P7" s="14"/>
    </row>
    <row r="8">
      <c r="A8" s="16" t="s">
        <v>60</v>
      </c>
      <c r="B8" s="17">
        <f t="array" ref="B8">INDEX('Monthly Data'!$AF$2:$AF1001,MATCH(DATE(B$5,12,1),'Monthly Data'!$A$2:$A1001,0))</f>
        <v>3901952</v>
      </c>
      <c r="C8" s="17">
        <f t="array" ref="C8">INDEX('Monthly Data'!$AF$2:$AF1001,MATCH(DATE(C$5,12,1),'Monthly Data'!$A$2:$A1001,0))</f>
        <v>794363</v>
      </c>
      <c r="D8" s="17">
        <f t="array" ref="D8">INDEX('Monthly Data'!$AF$2:$AF1001,MATCH(DATE(D$5,12,1),'Monthly Data'!$A$2:$A1001,0))</f>
        <v>19935815</v>
      </c>
      <c r="E8" s="20">
        <f t="array" ref="E8">INDEX('Monthly Data'!$AF$2:$AF1001,MATCH(DATE(E$5,12,1),'Monthly Data'!$A$2:$A1001,0))</f>
        <v>12998987</v>
      </c>
      <c r="F8" s="17">
        <f t="array" ref="F8">INDEX('Monthly Data'!$AF$2:$AF1001,MATCH(DATE(F$5,12,1),'Monthly Data'!$A$2:$A1001,0))</f>
        <v>75199164</v>
      </c>
      <c r="G8" s="17">
        <f t="array" ref="G8">INDEX('Monthly Data'!$AF$2:$AF1001,MATCH(DATE(G$5,12,1),'Monthly Data'!$A$2:$A1001,0))</f>
        <v>77164918</v>
      </c>
      <c r="H8" s="17">
        <f t="array" ref="H8">INDEX('Monthly Data'!$AF$2:$AF1001,MATCH(DATE(H$5,12,1),'Monthly Data'!$A$2:$A1001,0))</f>
        <v>116053722</v>
      </c>
      <c r="I8" s="17">
        <f t="array" ref="I8">INDEX('Monthly Data'!$AF$2:$AF1001,MATCH(DATE(I$5,12,1),'Monthly Data'!$A$2:$A1001,0))</f>
        <v>60112034</v>
      </c>
      <c r="J8" s="20">
        <f t="array" ref="J8">INDEX('Monthly Data'!$AF$2:$AF1001,MATCH(DATE(J$5,12,1),'Monthly Data'!$A$2:$A1001,0))</f>
        <v>68427360</v>
      </c>
      <c r="K8" s="20">
        <f t="array" ref="K8">INDEX('Monthly Data'!$AF$2:$AF1001,MATCH(DATE(K$5,12,1),'Monthly Data'!$A$2:$A1001,0))</f>
        <v>137537685</v>
      </c>
      <c r="L8" s="20">
        <f t="array" ref="L8">INDEX('Monthly Data'!$AF$2:$AF1001,MATCH(DATE(L$5,12,1),'Monthly Data'!$A$2:$A1001,0))</f>
        <v>287736765</v>
      </c>
      <c r="M8" s="20">
        <f t="array" ref="M8">INDEX('Monthly Data'!$AF$2:$AF1001,MATCH(DATE(M$5,12,1),'Monthly Data'!$A$2:$A1001,0))</f>
        <v>207611781</v>
      </c>
      <c r="N8" s="20">
        <f t="array" ref="N8">INDEX('Monthly Data'!$AF$2:$AF1001,MATCH(DATE(N$5,12,1),'Monthly Data'!$A$2:$A1001,0))</f>
        <v>113739586</v>
      </c>
      <c r="O8" s="20">
        <f t="array" ref="O8">INDEX('Monthly Data'!$AF$2:$AF1001,MATCH(DATE(O$5,12,1),'Monthly Data'!$A$2:$A1001,0))</f>
        <v>-4125061</v>
      </c>
      <c r="P8" s="20">
        <f t="array" ref="P8">INDEX('Monthly Data'!$AF$2:$AF1001,MATCH(DATE(P$5,12,1),'Monthly Data'!$A$2:$A1001,0))</f>
        <v>-159344730</v>
      </c>
    </row>
    <row r="9">
      <c r="A9" s="16" t="s">
        <v>66</v>
      </c>
      <c r="B9" s="17">
        <f t="array" ref="B9">INDEX('Monthly Data'!$X$2:$X1001,MATCH(DATE(B$5,12,1),'Monthly Data'!$A$2:$A1001,0))</f>
        <v>0</v>
      </c>
      <c r="C9" s="17">
        <f t="array" ref="C9">INDEX('Monthly Data'!$X$2:$X1001,MATCH(DATE(C$5,12,1),'Monthly Data'!$A$2:$A1001,0))</f>
        <v>43836</v>
      </c>
      <c r="D9" s="17">
        <f t="array" ref="D9">INDEX('Monthly Data'!$X$2:$X1001,MATCH(DATE(D$5,12,1),'Monthly Data'!$A$2:$A1001,0))</f>
        <v>142466</v>
      </c>
      <c r="E9" s="20">
        <f t="array" ref="E9">INDEX('Monthly Data'!$X$2:$X1001,MATCH(DATE(E$5,12,1),'Monthly Data'!$A$2:$A1001,0))</f>
        <v>345205</v>
      </c>
      <c r="F9" s="17">
        <f t="array" ref="F9">INDEX('Monthly Data'!$X$2:$X1001,MATCH(DATE(F$5,12,1),'Monthly Data'!$A$2:$A1001,0))</f>
        <v>739726</v>
      </c>
      <c r="G9" s="17">
        <f t="array" ref="G9">INDEX('Monthly Data'!$X$2:$X1001,MATCH(DATE(G$5,12,1),'Monthly Data'!$A$2:$A1001,0))</f>
        <v>2235616</v>
      </c>
      <c r="H9" s="17">
        <f t="array" ref="H9">INDEX('Monthly Data'!$X$2:$X1001,MATCH(DATE(H$5,12,1),'Monthly Data'!$A$2:$A1001,0))</f>
        <v>6980822</v>
      </c>
      <c r="I9" s="17">
        <f t="array" ref="I9">INDEX('Monthly Data'!$X$2:$X1001,MATCH(DATE(I$5,12,1),'Monthly Data'!$A$2:$A1001,0))</f>
        <v>14421918</v>
      </c>
      <c r="J9" s="20">
        <f t="array" ref="J9">INDEX('Monthly Data'!$X$2:$X1001,MATCH(DATE(J$5,12,1),'Monthly Data'!$A$2:$A1001,0))</f>
        <v>20294792</v>
      </c>
      <c r="K9" s="20">
        <f t="array" ref="K9">INDEX('Monthly Data'!$X$2:$X1001,MATCH(DATE(K$5,12,1),'Monthly Data'!$A$2:$A1001,0))</f>
        <v>34498554</v>
      </c>
      <c r="L9" s="20">
        <f t="array" ref="L9">INDEX('Monthly Data'!$X$2:$X1001,MATCH(DATE(L$5,12,1),'Monthly Data'!$A$2:$A1001,0))</f>
        <v>41339674</v>
      </c>
      <c r="M9" s="20">
        <f t="array" ref="M9">INDEX('Monthly Data'!$X$2:$X1001,MATCH(DATE(M$5,12,1),'Monthly Data'!$A$2:$A1001,0))</f>
        <v>48356526</v>
      </c>
      <c r="N9" s="20">
        <f t="array" ref="N9">INDEX('Monthly Data'!$X$2:$X1001,MATCH(DATE(N$5,12,1),'Monthly Data'!$A$2:$A1001,0))</f>
        <v>55832775</v>
      </c>
      <c r="O9" s="20">
        <f t="array" ref="O9">INDEX('Monthly Data'!$X$2:$X1001,MATCH(DATE(O$5,12,1),'Monthly Data'!$A$2:$A1001,0))</f>
        <v>64045968</v>
      </c>
      <c r="P9" s="20">
        <f t="array" ref="P9">INDEX('Monthly Data'!$X$2:$X1001,MATCH(DATE(P$5,12,1),'Monthly Data'!$A$2:$A1001,0))</f>
        <v>73140999</v>
      </c>
    </row>
    <row r="10">
      <c r="A10" s="16" t="s">
        <v>79</v>
      </c>
      <c r="B10" s="17">
        <f t="array" ref="B10">INDEX('Monthly Data'!$Y$2:$Y1001,MATCH(DATE(B$5,12,1),'Monthly Data'!$A$2:$A1001,0))</f>
        <v>0</v>
      </c>
      <c r="C10" s="17">
        <f t="array" ref="C10">INDEX('Monthly Data'!$Y$2:$Y1001,MATCH(DATE(C$5,12,1),'Monthly Data'!$A$2:$A1001,0))</f>
        <v>0</v>
      </c>
      <c r="D10" s="17">
        <f t="array" ref="D10">INDEX('Monthly Data'!$Y$2:$Y1001,MATCH(DATE(D$5,12,1),'Monthly Data'!$A$2:$A1001,0))</f>
        <v>0</v>
      </c>
      <c r="E10" s="20">
        <f t="array" ref="E10">INDEX('Monthly Data'!$Y$2:$Y1001,MATCH(DATE(E$5,12,1),'Monthly Data'!$A$2:$A1001,0))</f>
        <v>0</v>
      </c>
      <c r="F10" s="17">
        <f t="array" ref="F10">INDEX('Monthly Data'!$Y$2:$Y1001,MATCH(DATE(F$5,12,1),'Monthly Data'!$A$2:$A1001,0))</f>
        <v>0</v>
      </c>
      <c r="G10" s="17">
        <f t="array" ref="G10">INDEX('Monthly Data'!$Y$2:$Y1001,MATCH(DATE(G$5,12,1),'Monthly Data'!$A$2:$A1001,0))</f>
        <v>0</v>
      </c>
      <c r="H10" s="17">
        <f t="array" ref="H10">INDEX('Monthly Data'!$Y$2:$Y1001,MATCH(DATE(H$5,12,1),'Monthly Data'!$A$2:$A1001,0))</f>
        <v>2591600</v>
      </c>
      <c r="I10" s="17">
        <f t="array" ref="I10">INDEX('Monthly Data'!$Y$2:$Y1001,MATCH(DATE(I$5,12,1),'Monthly Data'!$A$2:$A1001,0))</f>
        <v>6240000</v>
      </c>
      <c r="J10" s="20">
        <f t="array" ref="J10">INDEX('Monthly Data'!$Y$2:$Y1001,MATCH(DATE(J$5,12,1),'Monthly Data'!$A$2:$A1001,0))</f>
        <v>8812626</v>
      </c>
      <c r="K10" s="20">
        <f t="array" ref="K10">INDEX('Monthly Data'!$Y$2:$Y1001,MATCH(DATE(K$5,12,1),'Monthly Data'!$A$2:$A1001,0))</f>
        <v>16649366</v>
      </c>
      <c r="L10" s="20">
        <f t="array" ref="L10">INDEX('Monthly Data'!$Y$2:$Y1001,MATCH(DATE(L$5,12,1),'Monthly Data'!$A$2:$A1001,0))</f>
        <v>20397333</v>
      </c>
      <c r="M10" s="20">
        <f t="array" ref="M10">INDEX('Monthly Data'!$Y$2:$Y1001,MATCH(DATE(M$5,12,1),'Monthly Data'!$A$2:$A1001,0))</f>
        <v>24658155</v>
      </c>
      <c r="N10" s="20">
        <f t="array" ref="N10">INDEX('Monthly Data'!$Y$2:$Y1001,MATCH(DATE(N$5,12,1),'Monthly Data'!$A$2:$A1001,0))</f>
        <v>29432038</v>
      </c>
      <c r="O10" s="20">
        <f t="array" ref="O10">INDEX('Monthly Data'!$Y$2:$Y1001,MATCH(DATE(O$5,12,1),'Monthly Data'!$A$2:$A1001,0))</f>
        <v>35016040</v>
      </c>
      <c r="P10" s="20">
        <f t="array" ref="P10">INDEX('Monthly Data'!$Y$2:$Y1001,MATCH(DATE(P$5,12,1),'Monthly Data'!$A$2:$A1001,0))</f>
        <v>41577135</v>
      </c>
    </row>
    <row r="11">
      <c r="A11" s="16" t="s">
        <v>87</v>
      </c>
      <c r="B11" s="17">
        <f t="array" ref="B11">INDEX('Monthly Data'!$Z$2:$Z1001,MATCH(DATE(B$5,12,1),'Monthly Data'!$A$2:$A1001,0))</f>
        <v>0</v>
      </c>
      <c r="C11" s="17">
        <f t="array" ref="C11">INDEX('Monthly Data'!$Z$2:$Z1001,MATCH(DATE(C$5,12,1),'Monthly Data'!$A$2:$A1001,0))</f>
        <v>20000</v>
      </c>
      <c r="D11" s="17">
        <f t="array" ref="D11">INDEX('Monthly Data'!$Z$2:$Z1001,MATCH(DATE(D$5,12,1),'Monthly Data'!$A$2:$A1001,0))</f>
        <v>65000</v>
      </c>
      <c r="E11" s="20">
        <f t="array" ref="E11">INDEX('Monthly Data'!$Z$2:$Z1001,MATCH(DATE(E$5,12,1),'Monthly Data'!$A$2:$A1001,0))</f>
        <v>150000</v>
      </c>
      <c r="F11" s="17">
        <f t="array" ref="F11">INDEX('Monthly Data'!$Z$2:$Z1001,MATCH(DATE(F$5,12,1),'Monthly Data'!$A$2:$A1001,0))</f>
        <v>360000</v>
      </c>
      <c r="G11" s="17">
        <f t="array" ref="G11">INDEX('Monthly Data'!$Z$2:$Z1001,MATCH(DATE(G$5,12,1),'Monthly Data'!$A$2:$A1001,0))</f>
        <v>1020000</v>
      </c>
      <c r="H11" s="17">
        <f t="array" ref="H11">INDEX('Monthly Data'!$Z$2:$Z1001,MATCH(DATE(H$5,12,1),'Monthly Data'!$A$2:$A1001,0))</f>
        <v>2940000</v>
      </c>
      <c r="I11" s="17">
        <f t="array" ref="I11">INDEX('Monthly Data'!$Z$2:$Z1001,MATCH(DATE(I$5,12,1),'Monthly Data'!$A$2:$A1001,0))</f>
        <v>5640000</v>
      </c>
      <c r="J11" s="20">
        <f t="array" ref="J11">INDEX('Monthly Data'!$Z$2:$Z1001,MATCH(DATE(J$5,12,1),'Monthly Data'!$A$2:$A1001,0))</f>
        <v>7936713</v>
      </c>
      <c r="K11" s="20">
        <f t="array" ref="K11">INDEX('Monthly Data'!$Z$2:$Z1001,MATCH(DATE(K$5,12,1),'Monthly Data'!$A$2:$A1001,0))</f>
        <v>9967049</v>
      </c>
      <c r="L11" s="20">
        <f t="array" ref="L11">INDEX('Monthly Data'!$Z$2:$Z1001,MATCH(DATE(L$5,12,1),'Monthly Data'!$A$2:$A1001,0))</f>
        <v>11696683</v>
      </c>
      <c r="M11" s="20">
        <f t="array" ref="M11">INDEX('Monthly Data'!$Z$2:$Z1001,MATCH(DATE(M$5,12,1),'Monthly Data'!$A$2:$A1001,0))</f>
        <v>13242047</v>
      </c>
      <c r="N11" s="20">
        <f t="array" ref="N11">INDEX('Monthly Data'!$Z$2:$Z1001,MATCH(DATE(N$5,12,1),'Monthly Data'!$A$2:$A1001,0))</f>
        <v>14644642</v>
      </c>
      <c r="O11" s="20">
        <f t="array" ref="O11">INDEX('Monthly Data'!$Z$2:$Z1001,MATCH(DATE(O$5,12,1),'Monthly Data'!$A$2:$A1001,0))</f>
        <v>15928410</v>
      </c>
      <c r="P11" s="20">
        <f t="array" ref="P11">INDEX('Monthly Data'!$Z$2:$Z1001,MATCH(DATE(P$5,12,1),'Monthly Data'!$A$2:$A1001,0))</f>
        <v>17039082</v>
      </c>
    </row>
    <row r="12">
      <c r="A12" s="16" t="s">
        <v>94</v>
      </c>
      <c r="B12" s="17">
        <f>0-'Cash Flow'!B20-'Income Statement'!B27</f>
        <v>320000</v>
      </c>
      <c r="C12" s="17">
        <f>'Balance Sheet'!B12-'Cash Flow'!C20-'Income Statement'!C27</f>
        <v>950000</v>
      </c>
      <c r="D12" s="17">
        <f>'Balance Sheet'!C12-'Cash Flow'!D20-'Income Statement'!D27</f>
        <v>1960000</v>
      </c>
      <c r="E12" s="20">
        <f>'Balance Sheet'!D12-'Cash Flow'!E20-'Income Statement'!E27</f>
        <v>4010000</v>
      </c>
      <c r="F12" s="17">
        <f>'Balance Sheet'!E12-'Cash Flow'!F20-'Income Statement'!F27</f>
        <v>5910000</v>
      </c>
      <c r="G12" s="17">
        <f>'Balance Sheet'!F12-'Cash Flow'!G20-'Income Statement'!G27</f>
        <v>8910000</v>
      </c>
      <c r="H12" s="17">
        <f>'Balance Sheet'!G12-'Cash Flow'!H20-'Income Statement'!H27</f>
        <v>15910000</v>
      </c>
      <c r="I12" s="17">
        <f>'Balance Sheet'!H12-'Cash Flow'!I20-'Income Statement'!I27</f>
        <v>24910000</v>
      </c>
      <c r="J12" s="20">
        <f>'Balance Sheet'!I12-'Cash Flow'!J20-'Income Statement'!J27</f>
        <v>36517249</v>
      </c>
      <c r="K12" s="20">
        <f>'Balance Sheet'!J12-'Cash Flow'!K20-'Income Statement'!K27</f>
        <v>51993582</v>
      </c>
      <c r="L12" s="20">
        <f>'Balance Sheet'!K12-'Cash Flow'!L20-'Income Statement'!L27</f>
        <v>72628690</v>
      </c>
      <c r="M12" s="20">
        <f>'Balance Sheet'!L12-'Cash Flow'!M20-'Income Statement'!M27</f>
        <v>100142171</v>
      </c>
      <c r="N12" s="20">
        <f>'Balance Sheet'!M12-'Cash Flow'!N20-'Income Statement'!N27</f>
        <v>136826810</v>
      </c>
      <c r="O12" s="20">
        <f>'Balance Sheet'!N12-'Cash Flow'!O20-'Income Statement'!O27</f>
        <v>185739662</v>
      </c>
      <c r="P12" s="20">
        <f>'Balance Sheet'!O12-'Cash Flow'!P20-'Income Statement'!P27</f>
        <v>250956802</v>
      </c>
    </row>
    <row r="13" ht="17.25" customHeight="1">
      <c r="A13" s="38" t="s">
        <v>101</v>
      </c>
      <c r="B13" s="39">
        <f t="shared" ref="B13:P13" si="1">SUM(B8:B11)</f>
        <v>3901952</v>
      </c>
      <c r="C13" s="39">
        <f t="shared" si="1"/>
        <v>858199</v>
      </c>
      <c r="D13" s="39">
        <f t="shared" si="1"/>
        <v>20143281</v>
      </c>
      <c r="E13" s="39">
        <f t="shared" si="1"/>
        <v>13494192</v>
      </c>
      <c r="F13" s="39">
        <f t="shared" si="1"/>
        <v>76298890</v>
      </c>
      <c r="G13" s="39">
        <f t="shared" si="1"/>
        <v>80420534</v>
      </c>
      <c r="H13" s="39">
        <f t="shared" si="1"/>
        <v>128566144</v>
      </c>
      <c r="I13" s="39">
        <f t="shared" si="1"/>
        <v>86413952</v>
      </c>
      <c r="J13" s="39">
        <f t="shared" si="1"/>
        <v>105471491</v>
      </c>
      <c r="K13" s="39">
        <f t="shared" si="1"/>
        <v>198652654</v>
      </c>
      <c r="L13" s="39">
        <f t="shared" si="1"/>
        <v>361170455</v>
      </c>
      <c r="M13" s="39">
        <f t="shared" si="1"/>
        <v>293868509</v>
      </c>
      <c r="N13" s="39">
        <f t="shared" si="1"/>
        <v>213649041</v>
      </c>
      <c r="O13" s="39">
        <f t="shared" si="1"/>
        <v>110865357</v>
      </c>
      <c r="P13" s="39">
        <f t="shared" si="1"/>
        <v>-27587514</v>
      </c>
    </row>
    <row r="14" ht="17.25" customHeight="1">
      <c r="A14" s="38" t="s">
        <v>103</v>
      </c>
      <c r="B14" s="39">
        <f t="shared" ref="B14:P14" si="2">SUM(B12:B13)</f>
        <v>4221952</v>
      </c>
      <c r="C14" s="39">
        <f t="shared" si="2"/>
        <v>1808199</v>
      </c>
      <c r="D14" s="39">
        <f t="shared" si="2"/>
        <v>22103281</v>
      </c>
      <c r="E14" s="39">
        <f t="shared" si="2"/>
        <v>17504192</v>
      </c>
      <c r="F14" s="39">
        <f t="shared" si="2"/>
        <v>82208890</v>
      </c>
      <c r="G14" s="39">
        <f t="shared" si="2"/>
        <v>89330534</v>
      </c>
      <c r="H14" s="39">
        <f t="shared" si="2"/>
        <v>144476144</v>
      </c>
      <c r="I14" s="39">
        <f t="shared" si="2"/>
        <v>111323952</v>
      </c>
      <c r="J14" s="39">
        <f t="shared" si="2"/>
        <v>141988740</v>
      </c>
      <c r="K14" s="39">
        <f t="shared" si="2"/>
        <v>250646236</v>
      </c>
      <c r="L14" s="39">
        <f t="shared" si="2"/>
        <v>433799145</v>
      </c>
      <c r="M14" s="39">
        <f t="shared" si="2"/>
        <v>394010680</v>
      </c>
      <c r="N14" s="39">
        <f t="shared" si="2"/>
        <v>350475851</v>
      </c>
      <c r="O14" s="39">
        <f t="shared" si="2"/>
        <v>296605019</v>
      </c>
      <c r="P14" s="39">
        <f t="shared" si="2"/>
        <v>223369288</v>
      </c>
    </row>
    <row r="15">
      <c r="B15" s="17"/>
      <c r="C15" s="17"/>
      <c r="D15" s="17"/>
      <c r="E15" s="20"/>
      <c r="F15" s="17"/>
      <c r="G15" s="17"/>
      <c r="H15" s="17"/>
      <c r="I15" s="17"/>
      <c r="J15" s="20"/>
      <c r="K15" s="20"/>
      <c r="L15" s="20"/>
      <c r="M15" s="20"/>
      <c r="N15" s="20"/>
      <c r="O15" s="20"/>
      <c r="P15" s="20"/>
    </row>
    <row r="16" ht="19.5" customHeight="1">
      <c r="A16" s="13" t="s">
        <v>106</v>
      </c>
      <c r="B16" s="13"/>
      <c r="C16" s="13"/>
      <c r="D16" s="13"/>
      <c r="E16" s="13"/>
      <c r="F16" s="40"/>
      <c r="G16" s="40"/>
      <c r="H16" s="40"/>
      <c r="I16" s="40"/>
      <c r="J16" s="40"/>
      <c r="K16" s="40"/>
      <c r="L16" s="40"/>
      <c r="M16" s="40"/>
      <c r="N16" s="40"/>
      <c r="O16" s="40"/>
      <c r="P16" s="40"/>
    </row>
    <row r="17">
      <c r="A17" s="16" t="s">
        <v>107</v>
      </c>
      <c r="B17" s="17">
        <f t="array" ref="B17">INDEX('Monthly Data'!$AA$2:$AA1001,MATCH(DATE(B$5,12,1),'Monthly Data'!$A$2:$A1001,0))</f>
        <v>9452</v>
      </c>
      <c r="C17" s="17">
        <f t="array" ref="C17">INDEX('Monthly Data'!$AA$2:$AA1001,MATCH(DATE(C$5,12,1),'Monthly Data'!$A$2:$A1001,0))</f>
        <v>36199</v>
      </c>
      <c r="D17" s="17">
        <f t="array" ref="D17">INDEX('Monthly Data'!$AA$2:$AA1001,MATCH(DATE(D$5,12,1),'Monthly Data'!$A$2:$A1001,0))</f>
        <v>111781</v>
      </c>
      <c r="E17" s="20">
        <f t="array" ref="E17">INDEX('Monthly Data'!$AA$2:$AA1001,MATCH(DATE(E$5,12,1),'Monthly Data'!$A$2:$A1001,0))</f>
        <v>210192</v>
      </c>
      <c r="F17" s="17">
        <f t="array" ref="F17">INDEX('Monthly Data'!$AA$2:$AA1001,MATCH(DATE(F$5,12,1),'Monthly Data'!$A$2:$A1001,0))</f>
        <v>745890</v>
      </c>
      <c r="G17" s="17">
        <f t="array" ref="G17">INDEX('Monthly Data'!$AA$2:$AA1001,MATCH(DATE(G$5,12,1),'Monthly Data'!$A$2:$A1001,0))</f>
        <v>1347534</v>
      </c>
      <c r="H17" s="17">
        <f t="array" ref="H17">INDEX('Monthly Data'!$AA$2:$AA1001,MATCH(DATE(H$5,12,1),'Monthly Data'!$A$2:$A1001,0))</f>
        <v>3525644</v>
      </c>
      <c r="I17" s="17">
        <f t="array" ref="I17">INDEX('Monthly Data'!$AA$2:$AA1001,MATCH(DATE(I$5,12,1),'Monthly Data'!$A$2:$A1001,0))</f>
        <v>6183452</v>
      </c>
      <c r="J17" s="20">
        <f t="array" ref="J17">INDEX('Monthly Data'!$AA$2:$AA1001,MATCH(DATE(J$5,12,1),'Monthly Data'!$A$2:$A1001,0))</f>
        <v>9043608</v>
      </c>
      <c r="K17" s="20">
        <f t="array" ref="K17">INDEX('Monthly Data'!$AA$2:$AA1001,MATCH(DATE(K$5,12,1),'Monthly Data'!$A$2:$A1001,0))</f>
        <v>12413114</v>
      </c>
      <c r="L17" s="20">
        <f t="array" ref="L17">INDEX('Monthly Data'!$AA$2:$AA1001,MATCH(DATE(L$5,12,1),'Monthly Data'!$A$2:$A1001,0))</f>
        <v>14620660</v>
      </c>
      <c r="M17" s="20">
        <f t="array" ref="M17">INDEX('Monthly Data'!$AA$2:$AA1001,MATCH(DATE(M$5,12,1),'Monthly Data'!$A$2:$A1001,0))</f>
        <v>17047745</v>
      </c>
      <c r="N17" s="20">
        <f t="array" ref="N17">INDEX('Monthly Data'!$AA$2:$AA1001,MATCH(DATE(N$5,12,1),'Monthly Data'!$A$2:$A1001,0))</f>
        <v>19674505</v>
      </c>
      <c r="O17" s="20">
        <f t="array" ref="O17">INDEX('Monthly Data'!$AA$2:$AA1001,MATCH(DATE(O$5,12,1),'Monthly Data'!$A$2:$A1001,0))</f>
        <v>22669196</v>
      </c>
      <c r="P17" s="20">
        <f t="array" ref="P17">INDEX('Monthly Data'!$AA$2:$AA1001,MATCH(DATE(P$5,12,1),'Monthly Data'!$A$2:$A1001,0))</f>
        <v>26082819</v>
      </c>
    </row>
    <row r="18">
      <c r="A18" s="16" t="s">
        <v>110</v>
      </c>
      <c r="B18" s="17">
        <f t="array" ref="B18">INDEX('Monthly Data'!$AB$2:$AB1001,MATCH(DATE(B$5,12,1),'Monthly Data'!$A$2:$A1001,0))</f>
        <v>92500</v>
      </c>
      <c r="C18" s="17">
        <f t="array" ref="C18">INDEX('Monthly Data'!$AB$2:$AB1001,MATCH(DATE(C$5,12,1),'Monthly Data'!$A$2:$A1001,0))</f>
        <v>162000</v>
      </c>
      <c r="D18" s="17">
        <f t="array" ref="D18">INDEX('Monthly Data'!$AB$2:$AB1001,MATCH(DATE(D$5,12,1),'Monthly Data'!$A$2:$A1001,0))</f>
        <v>325500</v>
      </c>
      <c r="E18" s="20">
        <f t="array" ref="E18">INDEX('Monthly Data'!$AB$2:$AB1001,MATCH(DATE(E$5,12,1),'Monthly Data'!$A$2:$A1001,0))</f>
        <v>536000</v>
      </c>
      <c r="F18" s="17">
        <f t="array" ref="F18">INDEX('Monthly Data'!$AB$2:$AB1001,MATCH(DATE(F$5,12,1),'Monthly Data'!$A$2:$A1001,0))</f>
        <v>2200000</v>
      </c>
      <c r="G18" s="17">
        <f t="array" ref="G18">INDEX('Monthly Data'!$AB$2:$AB1001,MATCH(DATE(G$5,12,1),'Monthly Data'!$A$2:$A1001,0))</f>
        <v>4300000</v>
      </c>
      <c r="H18" s="17">
        <f t="array" ref="H18">INDEX('Monthly Data'!$AB$2:$AB1001,MATCH(DATE(H$5,12,1),'Monthly Data'!$A$2:$A1001,0))</f>
        <v>8505000</v>
      </c>
      <c r="I18" s="17">
        <f t="array" ref="I18">INDEX('Monthly Data'!$AB$2:$AB1001,MATCH(DATE(I$5,12,1),'Monthly Data'!$A$2:$A1001,0))</f>
        <v>14740000</v>
      </c>
      <c r="J18" s="20">
        <f t="array" ref="J18">INDEX('Monthly Data'!$AB$2:$AB1001,MATCH(DATE(J$5,12,1),'Monthly Data'!$A$2:$A1001,0))</f>
        <v>20109630</v>
      </c>
      <c r="K18" s="20">
        <f t="array" ref="K18">INDEX('Monthly Data'!$AB$2:$AB1001,MATCH(DATE(K$5,12,1),'Monthly Data'!$A$2:$A1001,0))</f>
        <v>20278686</v>
      </c>
      <c r="L18" s="20">
        <f t="array" ref="L18">INDEX('Monthly Data'!$AB$2:$AB1001,MATCH(DATE(L$5,12,1),'Monthly Data'!$A$2:$A1001,0))</f>
        <v>23284199</v>
      </c>
      <c r="M18" s="20">
        <f t="array" ref="M18">INDEX('Monthly Data'!$AB$2:$AB1001,MATCH(DATE(M$5,12,1),'Monthly Data'!$A$2:$A1001,0))</f>
        <v>26674317</v>
      </c>
      <c r="N18" s="20">
        <f t="array" ref="N18">INDEX('Monthly Data'!$AB$2:$AB1001,MATCH(DATE(N$5,12,1),'Monthly Data'!$A$2:$A1001,0))</f>
        <v>30480520</v>
      </c>
      <c r="O18" s="20">
        <f t="array" ref="O18">INDEX('Monthly Data'!$AB$2:$AB1001,MATCH(DATE(O$5,12,1),'Monthly Data'!$A$2:$A1001,0))</f>
        <v>35019276</v>
      </c>
      <c r="P18" s="20">
        <f t="array" ref="P18">INDEX('Monthly Data'!$AB$2:$AB1001,MATCH(DATE(P$5,12,1),'Monthly Data'!$A$2:$A1001,0))</f>
        <v>40411198</v>
      </c>
    </row>
    <row r="19">
      <c r="A19" s="16" t="s">
        <v>112</v>
      </c>
      <c r="B19" s="17">
        <f t="array" ref="B19">INDEX('Monthly Data'!$AC$2:$AC1001,MATCH(DATE(B$5,12,1),'Monthly Data'!$A$2:$A1001,0))</f>
        <v>0</v>
      </c>
      <c r="C19" s="17">
        <f t="array" ref="C19">INDEX('Monthly Data'!$AC$2:$AC1001,MATCH(DATE(C$5,12,1),'Monthly Data'!$A$2:$A1001,0))</f>
        <v>40000</v>
      </c>
      <c r="D19" s="17">
        <f t="array" ref="D19">INDEX('Monthly Data'!$AC$2:$AC1001,MATCH(DATE(D$5,12,1),'Monthly Data'!$A$2:$A1001,0))</f>
        <v>156000</v>
      </c>
      <c r="E19" s="20">
        <f t="array" ref="E19">INDEX('Monthly Data'!$AC$2:$AC1001,MATCH(DATE(E$5,12,1),'Monthly Data'!$A$2:$A1001,0))</f>
        <v>480000</v>
      </c>
      <c r="F19" s="17">
        <f t="array" ref="F19">INDEX('Monthly Data'!$AC$2:$AC1001,MATCH(DATE(F$5,12,1),'Monthly Data'!$A$2:$A1001,0))</f>
        <v>1320000</v>
      </c>
      <c r="G19" s="17">
        <f t="array" ref="G19">INDEX('Monthly Data'!$AC$2:$AC1001,MATCH(DATE(G$5,12,1),'Monthly Data'!$A$2:$A1001,0))</f>
        <v>3740000</v>
      </c>
      <c r="H19" s="17">
        <f t="array" ref="H19">INDEX('Monthly Data'!$AC$2:$AC1001,MATCH(DATE(H$5,12,1),'Monthly Data'!$A$2:$A1001,0))</f>
        <v>5940000</v>
      </c>
      <c r="I19" s="17">
        <f t="array" ref="I19">INDEX('Monthly Data'!$AC$2:$AC1001,MATCH(DATE(I$5,12,1),'Monthly Data'!$A$2:$A1001,0))</f>
        <v>6960000</v>
      </c>
      <c r="J19" s="20">
        <f t="array" ref="J19">INDEX('Monthly Data'!$AC$2:$AC1001,MATCH(DATE(J$5,12,1),'Monthly Data'!$A$2:$A1001,0))</f>
        <v>8526872</v>
      </c>
      <c r="K19" s="20">
        <f t="array" ref="K19">INDEX('Monthly Data'!$AC$2:$AC1001,MATCH(DATE(K$5,12,1),'Monthly Data'!$A$2:$A1001,0))</f>
        <v>9780368</v>
      </c>
      <c r="L19" s="20">
        <f t="array" ref="L19">INDEX('Monthly Data'!$AC$2:$AC1001,MATCH(DATE(L$5,12,1),'Monthly Data'!$A$2:$A1001,0))</f>
        <v>10755310</v>
      </c>
      <c r="M19" s="20">
        <f t="array" ref="M19">INDEX('Monthly Data'!$AC$2:$AC1001,MATCH(DATE(M$5,12,1),'Monthly Data'!$A$2:$A1001,0))</f>
        <v>11590975</v>
      </c>
      <c r="N19" s="20">
        <f t="array" ref="N19">INDEX('Monthly Data'!$AC$2:$AC1001,MATCH(DATE(N$5,12,1),'Monthly Data'!$A$2:$A1001,0))</f>
        <v>12287361</v>
      </c>
      <c r="O19" s="20">
        <f t="array" ref="O19">INDEX('Monthly Data'!$AC$2:$AC1001,MATCH(DATE(O$5,12,1),'Monthly Data'!$A$2:$A1001,0))</f>
        <v>12844471</v>
      </c>
      <c r="P19" s="20">
        <f t="array" ref="P19">INDEX('Monthly Data'!$AC$2:$AC1001,MATCH(DATE(P$5,12,1),'Monthly Data'!$A$2:$A1001,0))</f>
        <v>13262304</v>
      </c>
    </row>
    <row r="20">
      <c r="A20" s="16" t="s">
        <v>114</v>
      </c>
      <c r="B20" s="30">
        <f t="array" ref="B20">INDEX('Monthly Data'!$AD$2:$AD1001,MATCH(DATE(B$5,12,1),'Monthly Data'!$A$2:$A1001,0))</f>
        <v>0</v>
      </c>
      <c r="C20" s="30">
        <f t="array" ref="C20">INDEX('Monthly Data'!$AD$2:$AD1001,MATCH(DATE(C$5,12,1),'Monthly Data'!$A$2:$A1001,0))</f>
        <v>0</v>
      </c>
      <c r="D20" s="30">
        <f t="array" ref="D20">INDEX('Monthly Data'!$AD$2:$AD1001,MATCH(DATE(D$5,12,1),'Monthly Data'!$A$2:$A1001,0))</f>
        <v>0</v>
      </c>
      <c r="E20" s="31">
        <f t="array" ref="E20">INDEX('Monthly Data'!$AD$2:$AD1001,MATCH(DATE(E$5,12,1),'Monthly Data'!$A$2:$A1001,0))</f>
        <v>0</v>
      </c>
      <c r="F20" s="30">
        <f t="array" ref="F20">INDEX('Monthly Data'!$AD$2:$AD1001,MATCH(DATE(F$5,12,1),'Monthly Data'!$A$2:$A1001,0))</f>
        <v>0</v>
      </c>
      <c r="G20" s="30">
        <f t="array" ref="G20">INDEX('Monthly Data'!$AD$2:$AD1001,MATCH(DATE(G$5,12,1),'Monthly Data'!$A$2:$A1001,0))</f>
        <v>5000000</v>
      </c>
      <c r="H20" s="30">
        <f t="array" ref="H20">INDEX('Monthly Data'!$AD$2:$AD1001,MATCH(DATE(H$5,12,1),'Monthly Data'!$A$2:$A1001,0))</f>
        <v>0</v>
      </c>
      <c r="I20" s="30">
        <f t="array" ref="I20">INDEX('Monthly Data'!$AD$2:$AD1001,MATCH(DATE(I$5,12,1),'Monthly Data'!$A$2:$A1001,0))</f>
        <v>0</v>
      </c>
      <c r="J20" s="31">
        <f t="array" ref="J20">INDEX('Monthly Data'!$AD$2:$AD1001,MATCH(DATE(J$5,12,1),'Monthly Data'!$A$2:$A1001,0))</f>
        <v>15000000</v>
      </c>
      <c r="K20" s="31">
        <f t="array" ref="K20">INDEX('Monthly Data'!$AD$2:$AD1001,MATCH(DATE(K$5,12,1),'Monthly Data'!$A$2:$A1001,0))</f>
        <v>15000000</v>
      </c>
      <c r="L20" s="31">
        <f t="array" ref="L20">INDEX('Monthly Data'!$AD$2:$AD1001,MATCH(DATE(L$5,12,1),'Monthly Data'!$A$2:$A1001,0))</f>
        <v>15000000</v>
      </c>
      <c r="M20" s="31">
        <f t="array" ref="M20">INDEX('Monthly Data'!$AD$2:$AD1001,MATCH(DATE(M$5,12,1),'Monthly Data'!$A$2:$A1001,0))</f>
        <v>15000000</v>
      </c>
      <c r="N20" s="31">
        <f t="array" ref="N20">INDEX('Monthly Data'!$AD$2:$AD1001,MATCH(DATE(N$5,12,1),'Monthly Data'!$A$2:$A1001,0))</f>
        <v>15000000</v>
      </c>
      <c r="O20" s="31">
        <f t="array" ref="O20">INDEX('Monthly Data'!$AD$2:$AD1001,MATCH(DATE(O$5,12,1),'Monthly Data'!$A$2:$A1001,0))</f>
        <v>15000000</v>
      </c>
      <c r="P20" s="31">
        <f t="array" ref="P20">INDEX('Monthly Data'!$AD$2:$AD1001,MATCH(DATE(P$5,12,1),'Monthly Data'!$A$2:$A1001,0))</f>
        <v>7000000</v>
      </c>
    </row>
    <row r="21">
      <c r="A21" s="38" t="s">
        <v>146</v>
      </c>
      <c r="B21" s="39">
        <f t="shared" ref="B21:P21" si="3">SUM(B17:B20)</f>
        <v>101952</v>
      </c>
      <c r="C21" s="39">
        <f t="shared" si="3"/>
        <v>238199</v>
      </c>
      <c r="D21" s="39">
        <f t="shared" si="3"/>
        <v>593281</v>
      </c>
      <c r="E21" s="39">
        <f t="shared" si="3"/>
        <v>1226192</v>
      </c>
      <c r="F21" s="39">
        <f t="shared" si="3"/>
        <v>4265890</v>
      </c>
      <c r="G21" s="39">
        <f t="shared" si="3"/>
        <v>14387534</v>
      </c>
      <c r="H21" s="39">
        <f t="shared" si="3"/>
        <v>17970644</v>
      </c>
      <c r="I21" s="39">
        <f t="shared" si="3"/>
        <v>27883452</v>
      </c>
      <c r="J21" s="39">
        <f t="shared" si="3"/>
        <v>52680110</v>
      </c>
      <c r="K21" s="39">
        <f t="shared" si="3"/>
        <v>57472168</v>
      </c>
      <c r="L21" s="39">
        <f t="shared" si="3"/>
        <v>63660169</v>
      </c>
      <c r="M21" s="39">
        <f t="shared" si="3"/>
        <v>70313037</v>
      </c>
      <c r="N21" s="39">
        <f t="shared" si="3"/>
        <v>77442386</v>
      </c>
      <c r="O21" s="39">
        <f t="shared" si="3"/>
        <v>85532943</v>
      </c>
      <c r="P21" s="39">
        <f t="shared" si="3"/>
        <v>86756321</v>
      </c>
    </row>
    <row r="22">
      <c r="A22" s="16" t="s">
        <v>152</v>
      </c>
      <c r="B22" s="17">
        <f t="shared" ref="B22:P22" si="4">B32-B20</f>
        <v>0</v>
      </c>
      <c r="C22" s="17">
        <f t="shared" si="4"/>
        <v>0</v>
      </c>
      <c r="D22" s="17">
        <f t="shared" si="4"/>
        <v>0</v>
      </c>
      <c r="E22" s="20">
        <f t="shared" si="4"/>
        <v>0</v>
      </c>
      <c r="F22" s="17">
        <f t="shared" si="4"/>
        <v>22000000</v>
      </c>
      <c r="G22" s="17">
        <f t="shared" si="4"/>
        <v>57000000</v>
      </c>
      <c r="H22" s="17">
        <f t="shared" si="4"/>
        <v>57000000</v>
      </c>
      <c r="I22" s="17">
        <f t="shared" si="4"/>
        <v>97000000</v>
      </c>
      <c r="J22" s="20">
        <f t="shared" si="4"/>
        <v>82000000</v>
      </c>
      <c r="K22" s="20">
        <f t="shared" si="4"/>
        <v>67000000</v>
      </c>
      <c r="L22" s="20">
        <f t="shared" si="4"/>
        <v>52000000</v>
      </c>
      <c r="M22" s="20">
        <f t="shared" si="4"/>
        <v>37000000</v>
      </c>
      <c r="N22" s="20">
        <f t="shared" si="4"/>
        <v>22000000</v>
      </c>
      <c r="O22" s="20">
        <f t="shared" si="4"/>
        <v>7000000</v>
      </c>
      <c r="P22" s="20">
        <f t="shared" si="4"/>
        <v>0</v>
      </c>
    </row>
    <row r="23" ht="17.25" customHeight="1">
      <c r="A23" s="38" t="s">
        <v>156</v>
      </c>
      <c r="B23" s="39">
        <f t="shared" ref="B23:P23" si="5">SUM(B21:B22)</f>
        <v>101952</v>
      </c>
      <c r="C23" s="39">
        <f t="shared" si="5"/>
        <v>238199</v>
      </c>
      <c r="D23" s="39">
        <f t="shared" si="5"/>
        <v>593281</v>
      </c>
      <c r="E23" s="39">
        <f t="shared" si="5"/>
        <v>1226192</v>
      </c>
      <c r="F23" s="39">
        <f t="shared" si="5"/>
        <v>26265890</v>
      </c>
      <c r="G23" s="39">
        <f t="shared" si="5"/>
        <v>71387534</v>
      </c>
      <c r="H23" s="39">
        <f t="shared" si="5"/>
        <v>74970644</v>
      </c>
      <c r="I23" s="39">
        <f t="shared" si="5"/>
        <v>124883452</v>
      </c>
      <c r="J23" s="39">
        <f t="shared" si="5"/>
        <v>134680110</v>
      </c>
      <c r="K23" s="39">
        <f t="shared" si="5"/>
        <v>124472168</v>
      </c>
      <c r="L23" s="39">
        <f t="shared" si="5"/>
        <v>115660169</v>
      </c>
      <c r="M23" s="39">
        <f t="shared" si="5"/>
        <v>107313037</v>
      </c>
      <c r="N23" s="39">
        <f t="shared" si="5"/>
        <v>99442386</v>
      </c>
      <c r="O23" s="39">
        <f t="shared" si="5"/>
        <v>92532943</v>
      </c>
      <c r="P23" s="39">
        <f t="shared" si="5"/>
        <v>86756321</v>
      </c>
    </row>
    <row r="24">
      <c r="B24" s="17"/>
      <c r="C24" s="17"/>
      <c r="D24" s="17"/>
      <c r="E24" s="20"/>
      <c r="F24" s="17"/>
      <c r="G24" s="17"/>
      <c r="H24" s="17"/>
      <c r="I24" s="17"/>
      <c r="J24" s="20"/>
      <c r="K24" s="20"/>
      <c r="L24" s="20"/>
      <c r="M24" s="20"/>
      <c r="N24" s="20"/>
      <c r="O24" s="20"/>
      <c r="P24" s="20"/>
    </row>
    <row r="25" ht="19.5" customHeight="1">
      <c r="A25" s="13" t="s">
        <v>161</v>
      </c>
      <c r="B25" s="13"/>
      <c r="C25" s="13"/>
      <c r="D25" s="13"/>
      <c r="E25" s="13"/>
      <c r="F25" s="40"/>
      <c r="G25" s="40"/>
      <c r="H25" s="40"/>
      <c r="I25" s="40"/>
      <c r="J25" s="40"/>
      <c r="K25" s="40"/>
      <c r="L25" s="40"/>
      <c r="M25" s="40"/>
      <c r="N25" s="40"/>
      <c r="O25" s="40"/>
      <c r="P25" s="40"/>
    </row>
    <row r="26">
      <c r="A26" s="16" t="s">
        <v>162</v>
      </c>
      <c r="B26" s="17">
        <f>0+'Cash Flow'!B24+'Income Statement'!B26</f>
        <v>6040000</v>
      </c>
      <c r="C26" s="17">
        <f>'Balance Sheet'!B26+'Cash Flow'!C24+'Income Statement'!C26</f>
        <v>6140000</v>
      </c>
      <c r="D26" s="17">
        <f>'Balance Sheet'!C26+'Cash Flow'!D24+'Income Statement'!D26</f>
        <v>30380000</v>
      </c>
      <c r="E26" s="20">
        <f>'Balance Sheet'!D26+'Cash Flow'!E24+'Income Statement'!E26</f>
        <v>30830000</v>
      </c>
      <c r="F26" s="17">
        <f>'Balance Sheet'!E26+'Cash Flow'!F24+'Income Statement'!F26</f>
        <v>91580000</v>
      </c>
      <c r="G26" s="17">
        <f>'Balance Sheet'!F26+'Cash Flow'!G24+'Income Statement'!G26</f>
        <v>93580000</v>
      </c>
      <c r="H26" s="17">
        <f>'Balance Sheet'!G26+'Cash Flow'!H24+'Income Statement'!H26</f>
        <v>207580000</v>
      </c>
      <c r="I26" s="17">
        <f>'Balance Sheet'!H26+'Cash Flow'!I24+'Income Statement'!I26</f>
        <v>214580000</v>
      </c>
      <c r="J26" s="20">
        <f>'Balance Sheet'!I26+'Cash Flow'!J24+'Income Statement'!J26</f>
        <v>381860536</v>
      </c>
      <c r="K26" s="20">
        <f>'Balance Sheet'!J26+'Cash Flow'!K24+'Income Statement'!K26</f>
        <v>596597179</v>
      </c>
      <c r="L26" s="20">
        <f>'Balance Sheet'!K26+'Cash Flow'!L24+'Income Statement'!L26</f>
        <v>839281152</v>
      </c>
      <c r="M26" s="20">
        <f>'Balance Sheet'!L26+'Cash Flow'!M24+'Income Statement'!M26</f>
        <v>860501920</v>
      </c>
      <c r="N26" s="20">
        <f>'Balance Sheet'!M26+'Cash Flow'!N24+'Income Statement'!N26</f>
        <v>885966841</v>
      </c>
      <c r="O26" s="20">
        <f>'Balance Sheet'!N26+'Cash Flow'!O24+'Income Statement'!O26</f>
        <v>916524749</v>
      </c>
      <c r="P26" s="20">
        <f>'Balance Sheet'!O26+'Cash Flow'!P24+'Income Statement'!P26</f>
        <v>953194239</v>
      </c>
    </row>
    <row r="27">
      <c r="A27" s="16" t="s">
        <v>176</v>
      </c>
      <c r="B27" s="17">
        <f>0+'Income Statement'!B36</f>
        <v>-1920000</v>
      </c>
      <c r="C27" s="17">
        <f>'Balance Sheet'!B27+'Income Statement'!C36</f>
        <v>-4570000</v>
      </c>
      <c r="D27" s="17">
        <f>'Balance Sheet'!C27+'Income Statement'!D36</f>
        <v>-8870000</v>
      </c>
      <c r="E27" s="20">
        <f>'Balance Sheet'!D27+'Income Statement'!E36</f>
        <v>-14552000</v>
      </c>
      <c r="F27" s="17">
        <f>'Balance Sheet'!E27+'Income Statement'!F36</f>
        <v>-35637000</v>
      </c>
      <c r="G27" s="17">
        <f>'Balance Sheet'!F27+'Income Statement'!G36</f>
        <v>-75637000</v>
      </c>
      <c r="H27" s="17">
        <f>'Balance Sheet'!G27+'Income Statement'!H36</f>
        <v>-138074500</v>
      </c>
      <c r="I27" s="17">
        <f>'Balance Sheet'!H27+'Income Statement'!I36</f>
        <v>-228139500</v>
      </c>
      <c r="J27" s="20">
        <f>'Balance Sheet'!I27+'Income Statement'!J36</f>
        <v>-374551906</v>
      </c>
      <c r="K27" s="20">
        <f>'Balance Sheet'!J27+'Income Statement'!K36</f>
        <v>-470423111</v>
      </c>
      <c r="L27" s="20">
        <f>'Balance Sheet'!K27+'Income Statement'!L36</f>
        <v>-521142176</v>
      </c>
      <c r="M27" s="20">
        <f>'Balance Sheet'!L27+'Income Statement'!M36</f>
        <v>-573804277</v>
      </c>
      <c r="N27" s="20">
        <f>'Balance Sheet'!M27+'Income Statement'!N36</f>
        <v>-634933376</v>
      </c>
      <c r="O27" s="20">
        <f>'Balance Sheet'!N27+'Income Statement'!O36</f>
        <v>-712452673</v>
      </c>
      <c r="P27" s="20">
        <f>'Balance Sheet'!O27+'Income Statement'!P36</f>
        <v>-816581272</v>
      </c>
    </row>
    <row r="28" ht="17.25" customHeight="1">
      <c r="A28" s="38" t="s">
        <v>178</v>
      </c>
      <c r="B28" s="39">
        <f t="shared" ref="B28:P28" si="6">SUM(B26:B27)</f>
        <v>4120000</v>
      </c>
      <c r="C28" s="39">
        <f t="shared" si="6"/>
        <v>1570000</v>
      </c>
      <c r="D28" s="39">
        <f t="shared" si="6"/>
        <v>21510000</v>
      </c>
      <c r="E28" s="39">
        <f t="shared" si="6"/>
        <v>16278000</v>
      </c>
      <c r="F28" s="39">
        <f t="shared" si="6"/>
        <v>55943000</v>
      </c>
      <c r="G28" s="39">
        <f t="shared" si="6"/>
        <v>17943000</v>
      </c>
      <c r="H28" s="39">
        <f t="shared" si="6"/>
        <v>69505500</v>
      </c>
      <c r="I28" s="39">
        <f t="shared" si="6"/>
        <v>-13559500</v>
      </c>
      <c r="J28" s="39">
        <f t="shared" si="6"/>
        <v>7308630</v>
      </c>
      <c r="K28" s="39">
        <f t="shared" si="6"/>
        <v>126174068</v>
      </c>
      <c r="L28" s="39">
        <f t="shared" si="6"/>
        <v>318138976</v>
      </c>
      <c r="M28" s="39">
        <f t="shared" si="6"/>
        <v>286697643</v>
      </c>
      <c r="N28" s="39">
        <f t="shared" si="6"/>
        <v>251033465</v>
      </c>
      <c r="O28" s="39">
        <f t="shared" si="6"/>
        <v>204072076</v>
      </c>
      <c r="P28" s="39">
        <f t="shared" si="6"/>
        <v>136612967</v>
      </c>
    </row>
    <row r="29">
      <c r="B29" s="17"/>
      <c r="C29" s="17"/>
      <c r="D29" s="17"/>
      <c r="E29" s="20"/>
      <c r="F29" s="17"/>
      <c r="G29" s="17"/>
      <c r="H29" s="17"/>
      <c r="I29" s="17"/>
      <c r="J29" s="20"/>
      <c r="K29" s="20"/>
      <c r="L29" s="20"/>
      <c r="M29" s="20"/>
      <c r="N29" s="20"/>
      <c r="O29" s="20"/>
      <c r="P29" s="20"/>
    </row>
    <row r="30" ht="17.25" customHeight="1">
      <c r="A30" s="38" t="s">
        <v>180</v>
      </c>
      <c r="B30" s="39">
        <f t="shared" ref="B30:P30" si="7">B23+B28</f>
        <v>4221952</v>
      </c>
      <c r="C30" s="39">
        <f t="shared" si="7"/>
        <v>1808199</v>
      </c>
      <c r="D30" s="39">
        <f t="shared" si="7"/>
        <v>22103281</v>
      </c>
      <c r="E30" s="39">
        <f t="shared" si="7"/>
        <v>17504192</v>
      </c>
      <c r="F30" s="39">
        <f t="shared" si="7"/>
        <v>82208890</v>
      </c>
      <c r="G30" s="39">
        <f t="shared" si="7"/>
        <v>89330534</v>
      </c>
      <c r="H30" s="39">
        <f t="shared" si="7"/>
        <v>144476144</v>
      </c>
      <c r="I30" s="39">
        <f t="shared" si="7"/>
        <v>111323952</v>
      </c>
      <c r="J30" s="39">
        <f t="shared" si="7"/>
        <v>141988740</v>
      </c>
      <c r="K30" s="39">
        <f t="shared" si="7"/>
        <v>250646236</v>
      </c>
      <c r="L30" s="39">
        <f t="shared" si="7"/>
        <v>433799145</v>
      </c>
      <c r="M30" s="39">
        <f t="shared" si="7"/>
        <v>394010680</v>
      </c>
      <c r="N30" s="39">
        <f t="shared" si="7"/>
        <v>350475851</v>
      </c>
      <c r="O30" s="39">
        <f t="shared" si="7"/>
        <v>296605019</v>
      </c>
      <c r="P30" s="39">
        <f t="shared" si="7"/>
        <v>223369288</v>
      </c>
    </row>
    <row r="31" ht="17.25" customHeight="1">
      <c r="A31" s="38" t="s">
        <v>181</v>
      </c>
      <c r="B31" s="39">
        <f t="shared" ref="B31:P31" si="8">B14-B30</f>
        <v>0</v>
      </c>
      <c r="C31" s="39">
        <f t="shared" si="8"/>
        <v>0</v>
      </c>
      <c r="D31" s="39">
        <f t="shared" si="8"/>
        <v>0</v>
      </c>
      <c r="E31" s="39">
        <f t="shared" si="8"/>
        <v>0</v>
      </c>
      <c r="F31" s="39">
        <f t="shared" si="8"/>
        <v>0</v>
      </c>
      <c r="G31" s="39">
        <f t="shared" si="8"/>
        <v>0</v>
      </c>
      <c r="H31" s="39">
        <f t="shared" si="8"/>
        <v>0</v>
      </c>
      <c r="I31" s="39">
        <f t="shared" si="8"/>
        <v>0</v>
      </c>
      <c r="J31" s="39">
        <f t="shared" si="8"/>
        <v>0</v>
      </c>
      <c r="K31" s="39">
        <f t="shared" si="8"/>
        <v>0</v>
      </c>
      <c r="L31" s="39">
        <f t="shared" si="8"/>
        <v>0</v>
      </c>
      <c r="M31" s="39">
        <f t="shared" si="8"/>
        <v>0</v>
      </c>
      <c r="N31" s="39">
        <f t="shared" si="8"/>
        <v>0</v>
      </c>
      <c r="O31" s="39">
        <f t="shared" si="8"/>
        <v>0</v>
      </c>
      <c r="P31" s="39">
        <f t="shared" si="8"/>
        <v>0</v>
      </c>
    </row>
    <row r="32">
      <c r="A32" s="16" t="s">
        <v>183</v>
      </c>
      <c r="B32" s="17">
        <f t="array" ref="B32">INDEX('Monthly Data'!$AE$2:$AE1001,MATCH(DATE(B$5,12,1),'Monthly Data'!$A$2:$A1001,0))</f>
        <v>0</v>
      </c>
      <c r="C32" s="17">
        <f t="array" ref="C32">INDEX('Monthly Data'!$AE$2:$AE1001,MATCH(DATE(C$5,12,1),'Monthly Data'!$A$2:$A1001,0))</f>
        <v>0</v>
      </c>
      <c r="D32" s="17">
        <f t="array" ref="D32">INDEX('Monthly Data'!$AE$2:$AE1001,MATCH(DATE(D$5,12,1),'Monthly Data'!$A$2:$A1001,0))</f>
        <v>0</v>
      </c>
      <c r="E32" s="20">
        <f t="array" ref="E32">INDEX('Monthly Data'!$AE$2:$AE1001,MATCH(DATE(E$5,12,1),'Monthly Data'!$A$2:$A1001,0))</f>
        <v>0</v>
      </c>
      <c r="F32" s="17">
        <f t="array" ref="F32">INDEX('Monthly Data'!$AE$2:$AE1001,MATCH(DATE(F$5,12,1),'Monthly Data'!$A$2:$A1001,0))</f>
        <v>22000000</v>
      </c>
      <c r="G32" s="17">
        <f t="array" ref="G32">INDEX('Monthly Data'!$AE$2:$AE1001,MATCH(DATE(G$5,12,1),'Monthly Data'!$A$2:$A1001,0))</f>
        <v>62000000</v>
      </c>
      <c r="H32" s="17">
        <f t="array" ref="H32">INDEX('Monthly Data'!$AE$2:$AE1001,MATCH(DATE(H$5,12,1),'Monthly Data'!$A$2:$A1001,0))</f>
        <v>57000000</v>
      </c>
      <c r="I32" s="17">
        <f t="array" ref="I32">INDEX('Monthly Data'!$AE$2:$AE1001,MATCH(DATE(I$5,12,1),'Monthly Data'!$A$2:$A1001,0))</f>
        <v>97000000</v>
      </c>
      <c r="J32" s="20">
        <f t="array" ref="J32">INDEX('Monthly Data'!$AE$2:$AE1001,MATCH(DATE(J$5,12,1),'Monthly Data'!$A$2:$A1001,0))</f>
        <v>97000000</v>
      </c>
      <c r="K32" s="20">
        <f t="array" ref="K32">INDEX('Monthly Data'!$AE$2:$AE1001,MATCH(DATE(K$5,12,1),'Monthly Data'!$A$2:$A1001,0))</f>
        <v>82000000</v>
      </c>
      <c r="L32" s="20">
        <f t="array" ref="L32">INDEX('Monthly Data'!$AE$2:$AE1001,MATCH(DATE(L$5,12,1),'Monthly Data'!$A$2:$A1001,0))</f>
        <v>67000000</v>
      </c>
      <c r="M32" s="20">
        <f t="array" ref="M32">INDEX('Monthly Data'!$AE$2:$AE1001,MATCH(DATE(M$5,12,1),'Monthly Data'!$A$2:$A1001,0))</f>
        <v>52000000</v>
      </c>
      <c r="N32" s="20">
        <f t="array" ref="N32">INDEX('Monthly Data'!$AE$2:$AE1001,MATCH(DATE(N$5,12,1),'Monthly Data'!$A$2:$A1001,0))</f>
        <v>37000000</v>
      </c>
      <c r="O32" s="20">
        <f t="array" ref="O32">INDEX('Monthly Data'!$AE$2:$AE1001,MATCH(DATE(O$5,12,1),'Monthly Data'!$A$2:$A1001,0))</f>
        <v>22000000</v>
      </c>
      <c r="P32" s="20">
        <f t="array" ref="P32">INDEX('Monthly Data'!$AE$2:$AE1001,MATCH(DATE(P$5,12,1),'Monthly Data'!$A$2:$A1001,0))</f>
        <v>7000000</v>
      </c>
    </row>
    <row r="33">
      <c r="B33" s="12"/>
      <c r="C33" s="12"/>
      <c r="D33" s="12"/>
      <c r="E33" s="12"/>
      <c r="F33" s="12"/>
      <c r="G33" s="12"/>
      <c r="H33" s="12"/>
      <c r="I33" s="12"/>
    </row>
    <row r="34">
      <c r="B34" s="12"/>
      <c r="C34" s="12"/>
      <c r="D34" s="12"/>
      <c r="E34" s="12"/>
      <c r="F34" s="12"/>
      <c r="G34" s="12"/>
      <c r="H34" s="12"/>
      <c r="I34" s="12"/>
    </row>
    <row r="35">
      <c r="B35" s="12"/>
      <c r="C35" s="12"/>
      <c r="D35" s="12"/>
      <c r="E35" s="12"/>
      <c r="F35" s="12"/>
      <c r="G35" s="12"/>
      <c r="H35" s="12"/>
      <c r="I35" s="12"/>
    </row>
    <row r="36">
      <c r="B36" s="12"/>
      <c r="C36" s="12"/>
      <c r="D36" s="12"/>
      <c r="E36" s="12"/>
      <c r="F36" s="12"/>
      <c r="G36" s="12"/>
      <c r="H36" s="12"/>
      <c r="I36" s="12"/>
    </row>
    <row r="37">
      <c r="B37" s="12"/>
      <c r="C37" s="12"/>
      <c r="D37" s="12"/>
      <c r="E37" s="12"/>
      <c r="F37" s="12"/>
      <c r="G37" s="12"/>
      <c r="H37" s="12"/>
      <c r="I37" s="12"/>
    </row>
    <row r="38">
      <c r="B38" s="12"/>
      <c r="C38" s="12"/>
      <c r="D38" s="12"/>
      <c r="E38" s="12"/>
      <c r="F38" s="12"/>
      <c r="G38" s="12"/>
      <c r="H38" s="12"/>
      <c r="I38" s="12"/>
      <c r="J38" s="12"/>
      <c r="K38" s="12"/>
      <c r="L38" s="12"/>
      <c r="M38" s="12"/>
    </row>
    <row r="39">
      <c r="B39" s="12"/>
      <c r="C39" s="12"/>
      <c r="D39" s="12"/>
      <c r="E39" s="12"/>
      <c r="F39" s="12"/>
      <c r="G39" s="12"/>
      <c r="H39" s="12"/>
      <c r="I39" s="12"/>
      <c r="J39" s="12"/>
      <c r="K39" s="12"/>
      <c r="L39" s="12"/>
      <c r="M39" s="12"/>
    </row>
    <row r="40">
      <c r="B40" s="12"/>
      <c r="C40" s="12"/>
      <c r="D40" s="12"/>
      <c r="E40" s="12"/>
      <c r="F40" s="12"/>
      <c r="G40" s="12"/>
      <c r="H40" s="12"/>
      <c r="I40" s="12"/>
      <c r="J40" s="12"/>
      <c r="K40" s="12"/>
      <c r="L40" s="12"/>
      <c r="M40" s="12"/>
    </row>
    <row r="41">
      <c r="B41" s="12"/>
      <c r="C41" s="12"/>
      <c r="D41" s="12"/>
      <c r="E41" s="12"/>
      <c r="F41" s="12"/>
      <c r="G41" s="12"/>
      <c r="H41" s="12"/>
      <c r="I41" s="12"/>
      <c r="J41" s="12"/>
    </row>
    <row r="42">
      <c r="B42" s="12"/>
      <c r="C42" s="12"/>
      <c r="D42" s="12"/>
      <c r="E42" s="12"/>
      <c r="F42" s="12"/>
      <c r="G42" s="12"/>
      <c r="H42" s="12"/>
      <c r="I42" s="12"/>
      <c r="J42" s="12"/>
    </row>
    <row r="43">
      <c r="B43" s="12"/>
      <c r="C43" s="12"/>
      <c r="D43" s="12"/>
      <c r="E43" s="12"/>
      <c r="F43" s="12"/>
      <c r="G43" s="12"/>
      <c r="H43" s="12"/>
      <c r="I43" s="12"/>
      <c r="J43" s="12"/>
    </row>
    <row r="44">
      <c r="B44" s="12"/>
      <c r="C44" s="12"/>
      <c r="D44" s="12"/>
      <c r="E44" s="12"/>
      <c r="F44" s="12"/>
      <c r="G44" s="12"/>
      <c r="H44" s="12"/>
      <c r="I44" s="12"/>
      <c r="J44" s="12"/>
    </row>
    <row r="45">
      <c r="B45" s="12"/>
      <c r="C45" s="12"/>
      <c r="D45" s="12"/>
      <c r="E45" s="12"/>
      <c r="F45" s="12"/>
      <c r="G45" s="12"/>
      <c r="H45" s="12"/>
      <c r="I45" s="12"/>
      <c r="J45" s="12"/>
    </row>
    <row r="46">
      <c r="B46" s="12"/>
      <c r="C46" s="12"/>
      <c r="D46" s="12"/>
      <c r="E46" s="12"/>
      <c r="F46" s="12"/>
      <c r="G46" s="12"/>
      <c r="H46" s="12"/>
      <c r="I46" s="12"/>
      <c r="J46" s="12"/>
    </row>
    <row r="47">
      <c r="B47" s="12"/>
      <c r="C47" s="12"/>
      <c r="D47" s="12"/>
      <c r="E47" s="12"/>
      <c r="F47" s="12"/>
      <c r="G47" s="12"/>
      <c r="H47" s="12"/>
      <c r="I47" s="12"/>
      <c r="J47" s="12"/>
    </row>
    <row r="48">
      <c r="B48" s="12"/>
      <c r="C48" s="12"/>
      <c r="D48" s="12"/>
      <c r="E48" s="12"/>
      <c r="F48" s="12"/>
      <c r="G48" s="12"/>
      <c r="H48" s="12"/>
      <c r="I48" s="12"/>
      <c r="J48" s="12"/>
    </row>
    <row r="49">
      <c r="B49" s="12"/>
      <c r="C49" s="12"/>
      <c r="D49" s="12"/>
      <c r="E49" s="12"/>
      <c r="F49" s="12"/>
      <c r="G49" s="12"/>
      <c r="H49" s="12"/>
      <c r="I49" s="12"/>
      <c r="J49" s="12"/>
    </row>
    <row r="50">
      <c r="B50" s="12"/>
      <c r="C50" s="12"/>
      <c r="D50" s="12"/>
      <c r="E50" s="12"/>
      <c r="F50" s="12"/>
      <c r="G50" s="12"/>
      <c r="H50" s="12"/>
      <c r="I50" s="12"/>
      <c r="J50" s="12"/>
    </row>
    <row r="51">
      <c r="J51" s="12"/>
    </row>
    <row r="52">
      <c r="J52" s="12"/>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52319"/>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38"/>
    <col customWidth="1" hidden="1" min="2" max="2" width="10.13"/>
    <col customWidth="1" min="3" max="4" width="14.88"/>
    <col customWidth="1" min="5" max="11" width="21.13"/>
    <col customWidth="1" min="12" max="13" width="22.63"/>
    <col customWidth="1" min="14" max="19" width="20.63"/>
    <col customWidth="1" min="20" max="23" width="20.88"/>
    <col customWidth="1" min="24" max="30" width="23.25"/>
    <col customWidth="1" min="31" max="33" width="25.13"/>
    <col customWidth="1" min="34" max="34" width="23.13"/>
    <col customWidth="1" min="35" max="36" width="25.13"/>
    <col customWidth="1" hidden="1" min="37" max="39" width="25.13"/>
  </cols>
  <sheetData>
    <row r="1" ht="61.5" customHeight="1">
      <c r="A1" s="3" t="s">
        <v>2</v>
      </c>
      <c r="B1" s="3" t="s">
        <v>3</v>
      </c>
      <c r="C1" s="3" t="s">
        <v>4</v>
      </c>
      <c r="D1" s="3" t="s">
        <v>5</v>
      </c>
      <c r="E1" s="5" t="s">
        <v>6</v>
      </c>
      <c r="F1" s="5" t="s">
        <v>7</v>
      </c>
      <c r="G1" s="5" t="s">
        <v>8</v>
      </c>
      <c r="H1" s="5" t="s">
        <v>9</v>
      </c>
      <c r="I1" s="5" t="s">
        <v>11</v>
      </c>
      <c r="J1" s="5" t="s">
        <v>12</v>
      </c>
      <c r="K1" s="5" t="s">
        <v>13</v>
      </c>
      <c r="L1" s="5" t="s">
        <v>14</v>
      </c>
      <c r="M1" s="5" t="s">
        <v>15</v>
      </c>
      <c r="N1" s="5" t="s">
        <v>16</v>
      </c>
      <c r="O1" s="5" t="s">
        <v>17</v>
      </c>
      <c r="P1" s="5" t="s">
        <v>18</v>
      </c>
      <c r="Q1" s="5" t="s">
        <v>20</v>
      </c>
      <c r="R1" s="5" t="s">
        <v>21</v>
      </c>
      <c r="S1" s="5" t="s">
        <v>22</v>
      </c>
      <c r="T1" s="5" t="s">
        <v>23</v>
      </c>
      <c r="U1" s="5" t="s">
        <v>26</v>
      </c>
      <c r="V1" s="5" t="s">
        <v>29</v>
      </c>
      <c r="W1" s="5" t="s">
        <v>34</v>
      </c>
      <c r="X1" s="5" t="s">
        <v>36</v>
      </c>
      <c r="Y1" s="5" t="s">
        <v>39</v>
      </c>
      <c r="Z1" s="5" t="s">
        <v>44</v>
      </c>
      <c r="AA1" s="5" t="s">
        <v>46</v>
      </c>
      <c r="AB1" s="5" t="s">
        <v>47</v>
      </c>
      <c r="AC1" s="5" t="s">
        <v>48</v>
      </c>
      <c r="AD1" s="5" t="s">
        <v>49</v>
      </c>
      <c r="AE1" s="5" t="s">
        <v>50</v>
      </c>
      <c r="AF1" s="5" t="s">
        <v>51</v>
      </c>
      <c r="AG1" s="5" t="s">
        <v>52</v>
      </c>
      <c r="AH1" s="5" t="s">
        <v>53</v>
      </c>
      <c r="AI1" s="5" t="s">
        <v>54</v>
      </c>
      <c r="AJ1" s="5" t="s">
        <v>55</v>
      </c>
      <c r="AK1" s="5"/>
      <c r="AL1" s="5" t="s">
        <v>56</v>
      </c>
      <c r="AM1" s="5"/>
    </row>
    <row r="2" ht="19.5" customHeight="1">
      <c r="A2" s="15">
        <v>43101.0</v>
      </c>
      <c r="B2" s="18">
        <f t="shared" ref="B2:B181" si="1">YEAR(A2)</f>
        <v>2018</v>
      </c>
      <c r="C2" s="19">
        <f>'Revenue &amp; Demand'!C166</f>
        <v>0</v>
      </c>
      <c r="D2" s="19">
        <f>'Revenue &amp; Demand'!F166</f>
        <v>0</v>
      </c>
      <c r="E2" s="21">
        <f>'Revenue &amp; Demand'!E166</f>
        <v>0</v>
      </c>
      <c r="F2" s="21">
        <f>'Revenue &amp; Demand'!H166</f>
        <v>0</v>
      </c>
      <c r="G2" s="21">
        <f>'Revenue &amp; Demand'!J166</f>
        <v>0</v>
      </c>
      <c r="H2" s="21">
        <f>'Manufacturing &amp; Production'!F206</f>
        <v>0</v>
      </c>
      <c r="I2" s="21">
        <f>'Manufacturing &amp; Production'!G206</f>
        <v>0</v>
      </c>
      <c r="J2" s="21">
        <f>'Workforce &amp; Expenses'!M258</f>
        <v>0</v>
      </c>
      <c r="K2" s="21">
        <f>'Manufacturing &amp; Production'!K206</f>
        <v>0</v>
      </c>
      <c r="L2" s="21">
        <f>'Clinical Trials &amp; R&amp;D'!F206</f>
        <v>96895</v>
      </c>
      <c r="M2" s="21">
        <f>'Clinical Trials &amp; R&amp;D'!I206</f>
        <v>0</v>
      </c>
      <c r="N2" s="21">
        <f>'Workforce &amp; Expenses'!P258</f>
        <v>3632</v>
      </c>
      <c r="O2" s="21">
        <f>'Workforce &amp; Expenses'!S258</f>
        <v>49115</v>
      </c>
      <c r="P2" s="21">
        <f>'Funding &amp; Cap'!F61</f>
        <v>3009</v>
      </c>
      <c r="Q2" s="21">
        <f>'Working Capital &amp; Assets'!B5</f>
        <v>2500</v>
      </c>
      <c r="R2" s="21">
        <f>'Funding &amp; Cap'!H61</f>
        <v>0</v>
      </c>
      <c r="S2" s="21">
        <f>'Working Capital &amp; Assets'!C5</f>
        <v>0</v>
      </c>
      <c r="T2" s="21">
        <f>'Working Capital &amp; Assets'!D5</f>
        <v>22183</v>
      </c>
      <c r="U2" s="21">
        <f>'Funding &amp; Cap'!B61</f>
        <v>6000000</v>
      </c>
      <c r="V2" s="21">
        <f>'Funding &amp; Cap'!C61</f>
        <v>0</v>
      </c>
      <c r="W2" s="21">
        <f>'Funding &amp; Cap'!D61</f>
        <v>0</v>
      </c>
      <c r="X2" s="21">
        <f>'Working Capital &amp; Assets'!E5</f>
        <v>0</v>
      </c>
      <c r="Y2" s="21">
        <f>'Working Capital &amp; Assets'!F5</f>
        <v>0</v>
      </c>
      <c r="Z2" s="21">
        <f>'Working Capital &amp; Assets'!G5</f>
        <v>0</v>
      </c>
      <c r="AA2" s="21">
        <f>'Working Capital &amp; Assets'!H5</f>
        <v>873</v>
      </c>
      <c r="AB2" s="21">
        <f>'Working Capital &amp; Assets'!I5</f>
        <v>8541</v>
      </c>
      <c r="AC2" s="21">
        <f>'Working Capital &amp; Assets'!J5</f>
        <v>0</v>
      </c>
      <c r="AD2" s="21">
        <f>MIN(AE2,SUMIFS($W$2:$W$181,$A$2:$A$181,"&gt;"&amp;A2,$A$2:$A$181,"&lt;="&amp;EDATE(A2,12))+IF(AND(DATE(2033,12,1)&gt;A2,DATE(2033,12,1)&lt;=EDATE(A2,12)),'Funding &amp; Cap'!$B$200,0))</f>
        <v>0</v>
      </c>
      <c r="AE2" s="22">
        <f>'Funding &amp; Cap'!Q61</f>
        <v>0</v>
      </c>
      <c r="AF2" s="22">
        <f>AG2+U2</f>
        <v>5837589</v>
      </c>
      <c r="AG2" s="22">
        <f>SUM(E2:G2)-SUM(H2:S2)+P2+Q2-X2-Y2-Z2+AA2+AB2+AC2-T2+V2-W2</f>
        <v>-162411</v>
      </c>
      <c r="AH2" s="23">
        <f>'Revenue &amp; Demand'!P166</f>
        <v>0</v>
      </c>
      <c r="AI2" s="24">
        <f>'Revenue &amp; Demand'!Q166</f>
        <v>0</v>
      </c>
      <c r="AJ2" s="24">
        <f>'Manufacturing &amp; Production'!J206</f>
        <v>0</v>
      </c>
      <c r="AK2" s="22"/>
      <c r="AL2" s="24" t="s">
        <v>64</v>
      </c>
      <c r="AM2" s="22"/>
    </row>
    <row r="3" ht="19.5" customHeight="1">
      <c r="A3" s="15">
        <v>43132.0</v>
      </c>
      <c r="B3" s="18">
        <f t="shared" si="1"/>
        <v>2018</v>
      </c>
      <c r="C3" s="19">
        <f>'Revenue &amp; Demand'!C167</f>
        <v>0</v>
      </c>
      <c r="D3" s="19">
        <f>'Revenue &amp; Demand'!F167</f>
        <v>0</v>
      </c>
      <c r="E3" s="21">
        <f>'Revenue &amp; Demand'!E167</f>
        <v>0</v>
      </c>
      <c r="F3" s="21">
        <f>'Revenue &amp; Demand'!H167</f>
        <v>0</v>
      </c>
      <c r="G3" s="21">
        <f>'Revenue &amp; Demand'!J167</f>
        <v>0</v>
      </c>
      <c r="H3" s="21">
        <f>'Manufacturing &amp; Production'!F207</f>
        <v>0</v>
      </c>
      <c r="I3" s="21">
        <f>'Manufacturing &amp; Production'!G207</f>
        <v>0</v>
      </c>
      <c r="J3" s="21">
        <f>'Workforce &amp; Expenses'!M259</f>
        <v>0</v>
      </c>
      <c r="K3" s="21">
        <f>'Manufacturing &amp; Production'!K207</f>
        <v>0</v>
      </c>
      <c r="L3" s="21">
        <f>'Clinical Trials &amp; R&amp;D'!F207</f>
        <v>99034</v>
      </c>
      <c r="M3" s="21">
        <f>'Clinical Trials &amp; R&amp;D'!I207</f>
        <v>0</v>
      </c>
      <c r="N3" s="21">
        <f>'Workforce &amp; Expenses'!P259</f>
        <v>4487</v>
      </c>
      <c r="O3" s="21">
        <f>'Workforce &amp; Expenses'!S259</f>
        <v>50150</v>
      </c>
      <c r="P3" s="21">
        <f>'Funding &amp; Cap'!F62</f>
        <v>3068</v>
      </c>
      <c r="Q3" s="21">
        <f>'Working Capital &amp; Assets'!B6</f>
        <v>2500</v>
      </c>
      <c r="R3" s="21">
        <f>'Funding &amp; Cap'!H62</f>
        <v>0</v>
      </c>
      <c r="S3" s="21">
        <f>'Working Capital &amp; Assets'!C6</f>
        <v>0</v>
      </c>
      <c r="T3" s="21">
        <f>'Working Capital &amp; Assets'!D6</f>
        <v>22457</v>
      </c>
      <c r="U3" s="21">
        <f>'Funding &amp; Cap'!B62</f>
        <v>0</v>
      </c>
      <c r="V3" s="21">
        <f>'Funding &amp; Cap'!C62</f>
        <v>0</v>
      </c>
      <c r="W3" s="21">
        <f>'Funding &amp; Cap'!D62</f>
        <v>0</v>
      </c>
      <c r="X3" s="21">
        <f>'Working Capital &amp; Assets'!E6</f>
        <v>0</v>
      </c>
      <c r="Y3" s="21">
        <f>'Working Capital &amp; Assets'!F6</f>
        <v>0</v>
      </c>
      <c r="Z3" s="21">
        <f>'Working Capital &amp; Assets'!G6</f>
        <v>0</v>
      </c>
      <c r="AA3" s="21">
        <f>'Working Capital &amp; Assets'!H6</f>
        <v>1723</v>
      </c>
      <c r="AB3" s="21">
        <f>'Working Capital &amp; Assets'!I6</f>
        <v>16859</v>
      </c>
      <c r="AC3" s="21">
        <f>'Working Capital &amp; Assets'!J6</f>
        <v>0</v>
      </c>
      <c r="AD3" s="21">
        <f>MIN(AE3,SUMIFS($W$2:$W$181,$A$2:$A$181,"&gt;"&amp;A3,$A$2:$A$181,"&lt;="&amp;EDATE(A3,12))+IF(AND(DATE(2033,12,1)&gt;A3,DATE(2033,12,1)&lt;=EDATE(A3,12)),'Funding &amp; Cap'!$B$200,0))</f>
        <v>0</v>
      </c>
      <c r="AE3" s="22">
        <f>'Funding &amp; Cap'!Q62</f>
        <v>0</v>
      </c>
      <c r="AF3" s="22">
        <f t="shared" ref="AF3:AF181" si="2">AF2+AG3+U3</f>
        <v>5670629</v>
      </c>
      <c r="AG3" s="22">
        <f t="shared" ref="AG3:AG97" si="3">SUM(E3:G3)-SUM(H3:S3)+P3+Q3-(X3-X2)-(Y3-Y2)-(Z3-Z2)+(AA3-AA2)+(AB3-AB2)+(AC3-AC2)-T3+V3-W3</f>
        <v>-166960</v>
      </c>
      <c r="AH3" s="23">
        <f>'Revenue &amp; Demand'!P167</f>
        <v>0</v>
      </c>
      <c r="AI3" s="24">
        <f>'Revenue &amp; Demand'!Q167</f>
        <v>0</v>
      </c>
      <c r="AJ3" s="24">
        <f>'Manufacturing &amp; Production'!J207</f>
        <v>0</v>
      </c>
      <c r="AK3" s="22"/>
      <c r="AL3" s="24" t="s">
        <v>77</v>
      </c>
      <c r="AM3" s="22"/>
    </row>
    <row r="4" ht="19.5" customHeight="1">
      <c r="A4" s="15">
        <v>43160.0</v>
      </c>
      <c r="B4" s="18">
        <f t="shared" si="1"/>
        <v>2018</v>
      </c>
      <c r="C4" s="19">
        <f>'Revenue &amp; Demand'!C168</f>
        <v>0</v>
      </c>
      <c r="D4" s="19">
        <f>'Revenue &amp; Demand'!F168</f>
        <v>0</v>
      </c>
      <c r="E4" s="21">
        <f>'Revenue &amp; Demand'!E168</f>
        <v>0</v>
      </c>
      <c r="F4" s="21">
        <f>'Revenue &amp; Demand'!H168</f>
        <v>0</v>
      </c>
      <c r="G4" s="21">
        <f>'Revenue &amp; Demand'!J168</f>
        <v>0</v>
      </c>
      <c r="H4" s="21">
        <f>'Manufacturing &amp; Production'!F208</f>
        <v>0</v>
      </c>
      <c r="I4" s="21">
        <f>'Manufacturing &amp; Production'!G208</f>
        <v>0</v>
      </c>
      <c r="J4" s="21">
        <f>'Workforce &amp; Expenses'!M260</f>
        <v>0</v>
      </c>
      <c r="K4" s="21">
        <f>'Manufacturing &amp; Production'!K208</f>
        <v>0</v>
      </c>
      <c r="L4" s="21">
        <f>'Clinical Trials &amp; R&amp;D'!F208</f>
        <v>99028</v>
      </c>
      <c r="M4" s="21">
        <f>'Clinical Trials &amp; R&amp;D'!I208</f>
        <v>0</v>
      </c>
      <c r="N4" s="21">
        <f>'Workforce &amp; Expenses'!P260</f>
        <v>5342</v>
      </c>
      <c r="O4" s="21">
        <f>'Workforce &amp; Expenses'!S260</f>
        <v>50741</v>
      </c>
      <c r="P4" s="21">
        <f>'Funding &amp; Cap'!F63</f>
        <v>3127</v>
      </c>
      <c r="Q4" s="21">
        <f>'Working Capital &amp; Assets'!B7</f>
        <v>2500</v>
      </c>
      <c r="R4" s="21">
        <f>'Funding &amp; Cap'!H63</f>
        <v>0</v>
      </c>
      <c r="S4" s="21">
        <f>'Working Capital &amp; Assets'!C7</f>
        <v>0</v>
      </c>
      <c r="T4" s="21">
        <f>'Working Capital &amp; Assets'!D7</f>
        <v>55595</v>
      </c>
      <c r="U4" s="21">
        <f>'Funding &amp; Cap'!B63</f>
        <v>0</v>
      </c>
      <c r="V4" s="21">
        <f>'Funding &amp; Cap'!C63</f>
        <v>0</v>
      </c>
      <c r="W4" s="21">
        <f>'Funding &amp; Cap'!D63</f>
        <v>0</v>
      </c>
      <c r="X4" s="21">
        <f>'Working Capital &amp; Assets'!E7</f>
        <v>0</v>
      </c>
      <c r="Y4" s="21">
        <f>'Working Capital &amp; Assets'!F7</f>
        <v>0</v>
      </c>
      <c r="Z4" s="21">
        <f>'Working Capital &amp; Assets'!G7</f>
        <v>0</v>
      </c>
      <c r="AA4" s="21">
        <f>'Working Capital &amp; Assets'!H7</f>
        <v>2533</v>
      </c>
      <c r="AB4" s="21">
        <f>'Working Capital &amp; Assets'!I7</f>
        <v>24790</v>
      </c>
      <c r="AC4" s="21">
        <f>'Working Capital &amp; Assets'!J7</f>
        <v>0</v>
      </c>
      <c r="AD4" s="21">
        <f>MIN(AE4,SUMIFS($W$2:$W$181,$A$2:$A$181,"&gt;"&amp;A4,$A$2:$A$181,"&lt;="&amp;EDATE(A4,12))+IF(AND(DATE(2033,12,1)&gt;A4,DATE(2033,12,1)&lt;=EDATE(A4,12)),'Funding &amp; Cap'!$B$200,0))</f>
        <v>0</v>
      </c>
      <c r="AE4" s="22">
        <f>'Funding &amp; Cap'!Q63</f>
        <v>0</v>
      </c>
      <c r="AF4" s="22">
        <f t="shared" si="2"/>
        <v>5468664</v>
      </c>
      <c r="AG4" s="22">
        <f t="shared" si="3"/>
        <v>-201965</v>
      </c>
      <c r="AH4" s="23">
        <f>'Revenue &amp; Demand'!P168</f>
        <v>0</v>
      </c>
      <c r="AI4" s="24">
        <f>'Revenue &amp; Demand'!Q168</f>
        <v>0</v>
      </c>
      <c r="AJ4" s="24">
        <f>'Manufacturing &amp; Production'!J208</f>
        <v>0</v>
      </c>
      <c r="AK4" s="22"/>
      <c r="AL4" s="24" t="s">
        <v>82</v>
      </c>
      <c r="AM4" s="22"/>
    </row>
    <row r="5" ht="19.5" customHeight="1">
      <c r="A5" s="34">
        <v>43191.0</v>
      </c>
      <c r="B5" s="35">
        <f t="shared" si="1"/>
        <v>2018</v>
      </c>
      <c r="C5" s="36">
        <f>'Revenue &amp; Demand'!C169</f>
        <v>0</v>
      </c>
      <c r="D5" s="36">
        <f>'Revenue &amp; Demand'!F169</f>
        <v>0</v>
      </c>
      <c r="E5" s="37">
        <f>'Revenue &amp; Demand'!E169</f>
        <v>0</v>
      </c>
      <c r="F5" s="37">
        <f>'Revenue &amp; Demand'!H169</f>
        <v>0</v>
      </c>
      <c r="G5" s="37">
        <f>'Revenue &amp; Demand'!J169</f>
        <v>0</v>
      </c>
      <c r="H5" s="37">
        <f>'Manufacturing &amp; Production'!F209</f>
        <v>0</v>
      </c>
      <c r="I5" s="37">
        <f>'Manufacturing &amp; Production'!G209</f>
        <v>0</v>
      </c>
      <c r="J5" s="37">
        <f>'Workforce &amp; Expenses'!M261</f>
        <v>0</v>
      </c>
      <c r="K5" s="37">
        <f>'Manufacturing &amp; Production'!K209</f>
        <v>0</v>
      </c>
      <c r="L5" s="37">
        <f>'Clinical Trials &amp; R&amp;D'!F209</f>
        <v>97167</v>
      </c>
      <c r="M5" s="21">
        <f>'Clinical Trials &amp; R&amp;D'!I209</f>
        <v>0</v>
      </c>
      <c r="N5" s="21">
        <f>'Workforce &amp; Expenses'!P261</f>
        <v>6197</v>
      </c>
      <c r="O5" s="21">
        <f>'Workforce &amp; Expenses'!S261</f>
        <v>50820</v>
      </c>
      <c r="P5" s="21">
        <f>'Funding &amp; Cap'!F64</f>
        <v>3186</v>
      </c>
      <c r="Q5" s="21">
        <f>'Working Capital &amp; Assets'!B8</f>
        <v>2500</v>
      </c>
      <c r="R5" s="21">
        <f>'Funding &amp; Cap'!H64</f>
        <v>0</v>
      </c>
      <c r="S5" s="21">
        <f>'Working Capital &amp; Assets'!C8</f>
        <v>0</v>
      </c>
      <c r="T5" s="21">
        <f>'Working Capital &amp; Assets'!D8</f>
        <v>23005</v>
      </c>
      <c r="U5" s="21">
        <f>'Funding &amp; Cap'!B64</f>
        <v>0</v>
      </c>
      <c r="V5" s="21">
        <f>'Funding &amp; Cap'!C64</f>
        <v>0</v>
      </c>
      <c r="W5" s="21">
        <f>'Funding &amp; Cap'!D64</f>
        <v>0</v>
      </c>
      <c r="X5" s="21">
        <f>'Working Capital &amp; Assets'!E8</f>
        <v>0</v>
      </c>
      <c r="Y5" s="21">
        <f>'Working Capital &amp; Assets'!F8</f>
        <v>0</v>
      </c>
      <c r="Z5" s="21">
        <f>'Working Capital &amp; Assets'!G8</f>
        <v>0</v>
      </c>
      <c r="AA5" s="21">
        <f>'Working Capital &amp; Assets'!H8</f>
        <v>3298</v>
      </c>
      <c r="AB5" s="21">
        <f>'Working Capital &amp; Assets'!I8</f>
        <v>32275</v>
      </c>
      <c r="AC5" s="21">
        <f>'Working Capital &amp; Assets'!J8</f>
        <v>0</v>
      </c>
      <c r="AD5" s="21">
        <f>MIN(AE5,SUMIFS($W$2:$W$181,$A$2:$A$181,"&gt;"&amp;A5,$A$2:$A$181,"&lt;="&amp;EDATE(A5,12))+IF(AND(DATE(2033,12,1)&gt;A5,DATE(2033,12,1)&lt;=EDATE(A5,12)),'Funding &amp; Cap'!$B$200,0))</f>
        <v>0</v>
      </c>
      <c r="AE5" s="22">
        <f>'Funding &amp; Cap'!Q64</f>
        <v>0</v>
      </c>
      <c r="AF5" s="22">
        <f t="shared" si="2"/>
        <v>5299725</v>
      </c>
      <c r="AG5" s="22">
        <f t="shared" si="3"/>
        <v>-168939</v>
      </c>
      <c r="AH5" s="23">
        <f>'Revenue &amp; Demand'!P169</f>
        <v>0</v>
      </c>
      <c r="AI5" s="24">
        <f>'Revenue &amp; Demand'!Q169</f>
        <v>0</v>
      </c>
      <c r="AJ5" s="24">
        <f>'Manufacturing &amp; Production'!J209</f>
        <v>0</v>
      </c>
      <c r="AK5" s="22"/>
      <c r="AL5" s="22"/>
      <c r="AM5" s="22"/>
    </row>
    <row r="6" ht="19.5" customHeight="1">
      <c r="A6" s="15">
        <v>43221.0</v>
      </c>
      <c r="B6" s="18">
        <f t="shared" si="1"/>
        <v>2018</v>
      </c>
      <c r="C6" s="19">
        <f>'Revenue &amp; Demand'!C170</f>
        <v>0</v>
      </c>
      <c r="D6" s="19">
        <f>'Revenue &amp; Demand'!F170</f>
        <v>0</v>
      </c>
      <c r="E6" s="21">
        <f>'Revenue &amp; Demand'!E170</f>
        <v>0</v>
      </c>
      <c r="F6" s="21">
        <f>'Revenue &amp; Demand'!H170</f>
        <v>0</v>
      </c>
      <c r="G6" s="21">
        <f>'Revenue &amp; Demand'!J170</f>
        <v>0</v>
      </c>
      <c r="H6" s="21">
        <f>'Manufacturing &amp; Production'!F210</f>
        <v>0</v>
      </c>
      <c r="I6" s="21">
        <f>'Manufacturing &amp; Production'!G210</f>
        <v>0</v>
      </c>
      <c r="J6" s="21">
        <f>'Workforce &amp; Expenses'!M262</f>
        <v>0</v>
      </c>
      <c r="K6" s="21">
        <f>'Manufacturing &amp; Production'!K210</f>
        <v>0</v>
      </c>
      <c r="L6" s="21">
        <f>'Clinical Trials &amp; R&amp;D'!F210</f>
        <v>94233</v>
      </c>
      <c r="M6" s="21">
        <f>'Clinical Trials &amp; R&amp;D'!I210</f>
        <v>0</v>
      </c>
      <c r="N6" s="21">
        <f>'Workforce &amp; Expenses'!P262</f>
        <v>7051</v>
      </c>
      <c r="O6" s="21">
        <f>'Workforce &amp; Expenses'!S262</f>
        <v>50454</v>
      </c>
      <c r="P6" s="21">
        <f>'Funding &amp; Cap'!F65</f>
        <v>3245</v>
      </c>
      <c r="Q6" s="21">
        <f>'Working Capital &amp; Assets'!B9</f>
        <v>2500</v>
      </c>
      <c r="R6" s="21">
        <f>'Funding &amp; Cap'!H65</f>
        <v>0</v>
      </c>
      <c r="S6" s="21">
        <f>'Working Capital &amp; Assets'!C9</f>
        <v>0</v>
      </c>
      <c r="T6" s="21">
        <f>'Working Capital &amp; Assets'!D9</f>
        <v>23279</v>
      </c>
      <c r="U6" s="21">
        <f>'Funding &amp; Cap'!B65</f>
        <v>0</v>
      </c>
      <c r="V6" s="21">
        <f>'Funding &amp; Cap'!C65</f>
        <v>0</v>
      </c>
      <c r="W6" s="21">
        <f>'Funding &amp; Cap'!D65</f>
        <v>0</v>
      </c>
      <c r="X6" s="21">
        <f>'Working Capital &amp; Assets'!E9</f>
        <v>0</v>
      </c>
      <c r="Y6" s="21">
        <f>'Working Capital &amp; Assets'!F9</f>
        <v>0</v>
      </c>
      <c r="Z6" s="21">
        <f>'Working Capital &amp; Assets'!G9</f>
        <v>0</v>
      </c>
      <c r="AA6" s="21">
        <f>'Working Capital &amp; Assets'!H9</f>
        <v>4023</v>
      </c>
      <c r="AB6" s="21">
        <f>'Working Capital &amp; Assets'!I9</f>
        <v>39374</v>
      </c>
      <c r="AC6" s="21">
        <f>'Working Capital &amp; Assets'!J9</f>
        <v>0</v>
      </c>
      <c r="AD6" s="21">
        <f>MIN(AE6,SUMIFS($W$2:$W$181,$A$2:$A$181,"&gt;"&amp;A6,$A$2:$A$181,"&lt;="&amp;EDATE(A6,12))+IF(AND(DATE(2033,12,1)&gt;A6,DATE(2033,12,1)&lt;=EDATE(A6,12)),'Funding &amp; Cap'!$B$200,0))</f>
        <v>0</v>
      </c>
      <c r="AE6" s="22">
        <f>'Funding &amp; Cap'!Q65</f>
        <v>0</v>
      </c>
      <c r="AF6" s="22">
        <f t="shared" si="2"/>
        <v>5132532</v>
      </c>
      <c r="AG6" s="22">
        <f t="shared" si="3"/>
        <v>-167193</v>
      </c>
      <c r="AH6" s="23">
        <f>'Revenue &amp; Demand'!P170</f>
        <v>0</v>
      </c>
      <c r="AI6" s="24">
        <f>'Revenue &amp; Demand'!Q170</f>
        <v>0</v>
      </c>
      <c r="AJ6" s="24">
        <f>'Manufacturing &amp; Production'!J210</f>
        <v>0</v>
      </c>
      <c r="AK6" s="22"/>
      <c r="AL6" s="22"/>
      <c r="AM6" s="22"/>
    </row>
    <row r="7" ht="19.5" customHeight="1">
      <c r="A7" s="15">
        <v>43252.0</v>
      </c>
      <c r="B7" s="18">
        <f t="shared" si="1"/>
        <v>2018</v>
      </c>
      <c r="C7" s="19">
        <f>'Revenue &amp; Demand'!C171</f>
        <v>0</v>
      </c>
      <c r="D7" s="19">
        <f>'Revenue &amp; Demand'!F171</f>
        <v>0</v>
      </c>
      <c r="E7" s="21">
        <f>'Revenue &amp; Demand'!E171</f>
        <v>0</v>
      </c>
      <c r="F7" s="21">
        <f>'Revenue &amp; Demand'!H171</f>
        <v>0</v>
      </c>
      <c r="G7" s="21">
        <f>'Revenue &amp; Demand'!J171</f>
        <v>0</v>
      </c>
      <c r="H7" s="21">
        <f>'Manufacturing &amp; Production'!F211</f>
        <v>0</v>
      </c>
      <c r="I7" s="21">
        <f>'Manufacturing &amp; Production'!G211</f>
        <v>0</v>
      </c>
      <c r="J7" s="21">
        <f>'Workforce &amp; Expenses'!M263</f>
        <v>0</v>
      </c>
      <c r="K7" s="21">
        <f>'Manufacturing &amp; Production'!K211</f>
        <v>0</v>
      </c>
      <c r="L7" s="21">
        <f>'Clinical Trials &amp; R&amp;D'!F211</f>
        <v>91299</v>
      </c>
      <c r="M7" s="21">
        <f>'Clinical Trials &amp; R&amp;D'!I211</f>
        <v>0</v>
      </c>
      <c r="N7" s="21">
        <f>'Workforce &amp; Expenses'!P263</f>
        <v>7906</v>
      </c>
      <c r="O7" s="21">
        <f>'Workforce &amp; Expenses'!S263</f>
        <v>49833</v>
      </c>
      <c r="P7" s="21">
        <f>'Funding &amp; Cap'!F66</f>
        <v>3304</v>
      </c>
      <c r="Q7" s="21">
        <f>'Working Capital &amp; Assets'!B10</f>
        <v>2500</v>
      </c>
      <c r="R7" s="21">
        <f>'Funding &amp; Cap'!H66</f>
        <v>0</v>
      </c>
      <c r="S7" s="21">
        <f>'Working Capital &amp; Assets'!C10</f>
        <v>0</v>
      </c>
      <c r="T7" s="21">
        <f>'Working Capital &amp; Assets'!D10</f>
        <v>23552</v>
      </c>
      <c r="U7" s="21">
        <f>'Funding &amp; Cap'!B66</f>
        <v>0</v>
      </c>
      <c r="V7" s="21">
        <f>'Funding &amp; Cap'!C66</f>
        <v>0</v>
      </c>
      <c r="W7" s="21">
        <f>'Funding &amp; Cap'!D66</f>
        <v>0</v>
      </c>
      <c r="X7" s="21">
        <f>'Working Capital &amp; Assets'!E10</f>
        <v>0</v>
      </c>
      <c r="Y7" s="21">
        <f>'Working Capital &amp; Assets'!F10</f>
        <v>0</v>
      </c>
      <c r="Z7" s="21">
        <f>'Working Capital &amp; Assets'!G10</f>
        <v>0</v>
      </c>
      <c r="AA7" s="21">
        <f>'Working Capital &amp; Assets'!H10</f>
        <v>4726</v>
      </c>
      <c r="AB7" s="21">
        <f>'Working Capital &amp; Assets'!I10</f>
        <v>46250</v>
      </c>
      <c r="AC7" s="21">
        <f>'Working Capital &amp; Assets'!J10</f>
        <v>0</v>
      </c>
      <c r="AD7" s="21">
        <f>MIN(AE7,SUMIFS($W$2:$W$181,$A$2:$A$181,"&gt;"&amp;A7,$A$2:$A$181,"&lt;="&amp;EDATE(A7,12))+IF(AND(DATE(2033,12,1)&gt;A7,DATE(2033,12,1)&lt;=EDATE(A7,12)),'Funding &amp; Cap'!$B$200,0))</f>
        <v>0</v>
      </c>
      <c r="AE7" s="22">
        <f>'Funding &amp; Cap'!Q66</f>
        <v>0</v>
      </c>
      <c r="AF7" s="22">
        <f t="shared" si="2"/>
        <v>4967521</v>
      </c>
      <c r="AG7" s="22">
        <f t="shared" si="3"/>
        <v>-165011</v>
      </c>
      <c r="AH7" s="23">
        <f>'Revenue &amp; Demand'!P171</f>
        <v>0</v>
      </c>
      <c r="AI7" s="24">
        <f>'Revenue &amp; Demand'!Q171</f>
        <v>0</v>
      </c>
      <c r="AJ7" s="24">
        <f>'Manufacturing &amp; Production'!J211</f>
        <v>0</v>
      </c>
      <c r="AK7" s="22"/>
      <c r="AL7" s="22"/>
      <c r="AM7" s="22"/>
    </row>
    <row r="8" ht="19.5" customHeight="1">
      <c r="A8" s="15">
        <v>43282.0</v>
      </c>
      <c r="B8" s="18">
        <f t="shared" si="1"/>
        <v>2018</v>
      </c>
      <c r="C8" s="19">
        <f>'Revenue &amp; Demand'!C172</f>
        <v>0</v>
      </c>
      <c r="D8" s="19">
        <f>'Revenue &amp; Demand'!F172</f>
        <v>0</v>
      </c>
      <c r="E8" s="21">
        <f>'Revenue &amp; Demand'!E172</f>
        <v>0</v>
      </c>
      <c r="F8" s="21">
        <f>'Revenue &amp; Demand'!H172</f>
        <v>0</v>
      </c>
      <c r="G8" s="21">
        <f>'Revenue &amp; Demand'!J172</f>
        <v>0</v>
      </c>
      <c r="H8" s="21">
        <f>'Manufacturing &amp; Production'!F212</f>
        <v>0</v>
      </c>
      <c r="I8" s="21">
        <f>'Manufacturing &amp; Production'!G212</f>
        <v>0</v>
      </c>
      <c r="J8" s="21">
        <f>'Workforce &amp; Expenses'!M264</f>
        <v>0</v>
      </c>
      <c r="K8" s="21">
        <f>'Manufacturing &amp; Production'!K212</f>
        <v>0</v>
      </c>
      <c r="L8" s="21">
        <f>'Clinical Trials &amp; R&amp;D'!F212</f>
        <v>89438</v>
      </c>
      <c r="M8" s="21">
        <f>'Clinical Trials &amp; R&amp;D'!I212</f>
        <v>0</v>
      </c>
      <c r="N8" s="21">
        <f>'Workforce &amp; Expenses'!P264</f>
        <v>8761</v>
      </c>
      <c r="O8" s="21">
        <f>'Workforce &amp; Expenses'!S264</f>
        <v>49211</v>
      </c>
      <c r="P8" s="21">
        <f>'Funding &amp; Cap'!F67</f>
        <v>3363</v>
      </c>
      <c r="Q8" s="21">
        <f>'Working Capital &amp; Assets'!B11</f>
        <v>2500</v>
      </c>
      <c r="R8" s="21">
        <f>'Funding &amp; Cap'!H67</f>
        <v>0</v>
      </c>
      <c r="S8" s="21">
        <f>'Working Capital &amp; Assets'!C11</f>
        <v>0</v>
      </c>
      <c r="T8" s="21">
        <f>'Working Capital &amp; Assets'!D11</f>
        <v>23826</v>
      </c>
      <c r="U8" s="21">
        <f>'Funding &amp; Cap'!B67</f>
        <v>0</v>
      </c>
      <c r="V8" s="21">
        <f>'Funding &amp; Cap'!C67</f>
        <v>0</v>
      </c>
      <c r="W8" s="21">
        <f>'Funding &amp; Cap'!D67</f>
        <v>0</v>
      </c>
      <c r="X8" s="21">
        <f>'Working Capital &amp; Assets'!E11</f>
        <v>0</v>
      </c>
      <c r="Y8" s="21">
        <f>'Working Capital &amp; Assets'!F11</f>
        <v>0</v>
      </c>
      <c r="Z8" s="21">
        <f>'Working Capital &amp; Assets'!G11</f>
        <v>0</v>
      </c>
      <c r="AA8" s="21">
        <f>'Working Capital &amp; Assets'!H11</f>
        <v>5429</v>
      </c>
      <c r="AB8" s="21">
        <f>'Working Capital &amp; Assets'!I11</f>
        <v>53126</v>
      </c>
      <c r="AC8" s="21">
        <f>'Working Capital &amp; Assets'!J11</f>
        <v>0</v>
      </c>
      <c r="AD8" s="21">
        <f>MIN(AE8,SUMIFS($W$2:$W$181,$A$2:$A$181,"&gt;"&amp;A8,$A$2:$A$181,"&lt;="&amp;EDATE(A8,12))+IF(AND(DATE(2033,12,1)&gt;A8,DATE(2033,12,1)&lt;=EDATE(A8,12)),'Funding &amp; Cap'!$B$200,0))</f>
        <v>0</v>
      </c>
      <c r="AE8" s="22">
        <f>'Funding &amp; Cap'!Q67</f>
        <v>0</v>
      </c>
      <c r="AF8" s="22">
        <f t="shared" si="2"/>
        <v>4803864</v>
      </c>
      <c r="AG8" s="22">
        <f t="shared" si="3"/>
        <v>-163657</v>
      </c>
      <c r="AH8" s="23">
        <f>'Revenue &amp; Demand'!P172</f>
        <v>0</v>
      </c>
      <c r="AI8" s="24">
        <f>'Revenue &amp; Demand'!Q172</f>
        <v>0</v>
      </c>
      <c r="AJ8" s="24">
        <f>'Manufacturing &amp; Production'!J212</f>
        <v>0</v>
      </c>
      <c r="AK8" s="22"/>
      <c r="AL8" s="22"/>
      <c r="AM8" s="22"/>
    </row>
    <row r="9" ht="19.5" customHeight="1">
      <c r="A9" s="15">
        <v>43313.0</v>
      </c>
      <c r="B9" s="18">
        <f t="shared" si="1"/>
        <v>2018</v>
      </c>
      <c r="C9" s="19">
        <f>'Revenue &amp; Demand'!C173</f>
        <v>0</v>
      </c>
      <c r="D9" s="19">
        <f>'Revenue &amp; Demand'!F173</f>
        <v>0</v>
      </c>
      <c r="E9" s="21">
        <f>'Revenue &amp; Demand'!E173</f>
        <v>0</v>
      </c>
      <c r="F9" s="21">
        <f>'Revenue &amp; Demand'!H173</f>
        <v>0</v>
      </c>
      <c r="G9" s="21">
        <f>'Revenue &amp; Demand'!J173</f>
        <v>0</v>
      </c>
      <c r="H9" s="21">
        <f>'Manufacturing &amp; Production'!F213</f>
        <v>0</v>
      </c>
      <c r="I9" s="21">
        <f>'Manufacturing &amp; Production'!G213</f>
        <v>0</v>
      </c>
      <c r="J9" s="21">
        <f>'Workforce &amp; Expenses'!M265</f>
        <v>0</v>
      </c>
      <c r="K9" s="21">
        <f>'Manufacturing &amp; Production'!K213</f>
        <v>0</v>
      </c>
      <c r="L9" s="21">
        <f>'Clinical Trials &amp; R&amp;D'!F213</f>
        <v>89433</v>
      </c>
      <c r="M9" s="21">
        <f>'Clinical Trials &amp; R&amp;D'!I213</f>
        <v>0</v>
      </c>
      <c r="N9" s="21">
        <f>'Workforce &amp; Expenses'!P265</f>
        <v>9615</v>
      </c>
      <c r="O9" s="21">
        <f>'Workforce &amp; Expenses'!S265</f>
        <v>48845</v>
      </c>
      <c r="P9" s="21">
        <f>'Funding &amp; Cap'!F68</f>
        <v>3422</v>
      </c>
      <c r="Q9" s="21">
        <f>'Working Capital &amp; Assets'!B12</f>
        <v>2500</v>
      </c>
      <c r="R9" s="21">
        <f>'Funding &amp; Cap'!H68</f>
        <v>0</v>
      </c>
      <c r="S9" s="21">
        <f>'Working Capital &amp; Assets'!C12</f>
        <v>0</v>
      </c>
      <c r="T9" s="21">
        <f>'Working Capital &amp; Assets'!D12</f>
        <v>24100</v>
      </c>
      <c r="U9" s="21">
        <f>'Funding &amp; Cap'!B68</f>
        <v>0</v>
      </c>
      <c r="V9" s="21">
        <f>'Funding &amp; Cap'!C68</f>
        <v>0</v>
      </c>
      <c r="W9" s="21">
        <f>'Funding &amp; Cap'!D68</f>
        <v>0</v>
      </c>
      <c r="X9" s="21">
        <f>'Working Capital &amp; Assets'!E12</f>
        <v>0</v>
      </c>
      <c r="Y9" s="21">
        <f>'Working Capital &amp; Assets'!F12</f>
        <v>0</v>
      </c>
      <c r="Z9" s="21">
        <f>'Working Capital &amp; Assets'!G12</f>
        <v>0</v>
      </c>
      <c r="AA9" s="21">
        <f>'Working Capital &amp; Assets'!H12</f>
        <v>6154</v>
      </c>
      <c r="AB9" s="21">
        <f>'Working Capital &amp; Assets'!I12</f>
        <v>60225</v>
      </c>
      <c r="AC9" s="21">
        <f>'Working Capital &amp; Assets'!J12</f>
        <v>0</v>
      </c>
      <c r="AD9" s="21">
        <f>MIN(AE9,SUMIFS($W$2:$W$181,$A$2:$A$181,"&gt;"&amp;A9,$A$2:$A$181,"&lt;="&amp;EDATE(A9,12))+IF(AND(DATE(2033,12,1)&gt;A9,DATE(2033,12,1)&lt;=EDATE(A9,12)),'Funding &amp; Cap'!$B$200,0))</f>
        <v>0</v>
      </c>
      <c r="AE9" s="22">
        <f>'Funding &amp; Cap'!Q68</f>
        <v>0</v>
      </c>
      <c r="AF9" s="22">
        <f t="shared" si="2"/>
        <v>4639695</v>
      </c>
      <c r="AG9" s="22">
        <f t="shared" si="3"/>
        <v>-164169</v>
      </c>
      <c r="AH9" s="23">
        <f>'Revenue &amp; Demand'!P173</f>
        <v>0</v>
      </c>
      <c r="AI9" s="24">
        <f>'Revenue &amp; Demand'!Q173</f>
        <v>0</v>
      </c>
      <c r="AJ9" s="24">
        <f>'Manufacturing &amp; Production'!J213</f>
        <v>0</v>
      </c>
      <c r="AK9" s="22"/>
      <c r="AL9" s="22"/>
      <c r="AM9" s="22"/>
    </row>
    <row r="10" ht="19.5" customHeight="1">
      <c r="A10" s="15">
        <v>43344.0</v>
      </c>
      <c r="B10" s="18">
        <f t="shared" si="1"/>
        <v>2018</v>
      </c>
      <c r="C10" s="19">
        <f>'Revenue &amp; Demand'!C174</f>
        <v>0</v>
      </c>
      <c r="D10" s="19">
        <f>'Revenue &amp; Demand'!F174</f>
        <v>0</v>
      </c>
      <c r="E10" s="21">
        <f>'Revenue &amp; Demand'!E174</f>
        <v>0</v>
      </c>
      <c r="F10" s="21">
        <f>'Revenue &amp; Demand'!H174</f>
        <v>0</v>
      </c>
      <c r="G10" s="21">
        <f>'Revenue &amp; Demand'!J174</f>
        <v>0</v>
      </c>
      <c r="H10" s="21">
        <f>'Manufacturing &amp; Production'!F214</f>
        <v>0</v>
      </c>
      <c r="I10" s="21">
        <f>'Manufacturing &amp; Production'!G214</f>
        <v>0</v>
      </c>
      <c r="J10" s="21">
        <f>'Workforce &amp; Expenses'!M266</f>
        <v>0</v>
      </c>
      <c r="K10" s="21">
        <f>'Manufacturing &amp; Production'!K214</f>
        <v>0</v>
      </c>
      <c r="L10" s="21">
        <f>'Clinical Trials &amp; R&amp;D'!F214</f>
        <v>91572</v>
      </c>
      <c r="M10" s="21">
        <f>'Clinical Trials &amp; R&amp;D'!I214</f>
        <v>0</v>
      </c>
      <c r="N10" s="21">
        <f>'Workforce &amp; Expenses'!P266</f>
        <v>10470</v>
      </c>
      <c r="O10" s="21">
        <f>'Workforce &amp; Expenses'!S266</f>
        <v>48924</v>
      </c>
      <c r="P10" s="21">
        <f>'Funding &amp; Cap'!F69</f>
        <v>3481</v>
      </c>
      <c r="Q10" s="21">
        <f>'Working Capital &amp; Assets'!B13</f>
        <v>2500</v>
      </c>
      <c r="R10" s="21">
        <f>'Funding &amp; Cap'!H69</f>
        <v>0</v>
      </c>
      <c r="S10" s="21">
        <f>'Working Capital &amp; Assets'!C13</f>
        <v>0</v>
      </c>
      <c r="T10" s="21">
        <f>'Working Capital &amp; Assets'!D13</f>
        <v>57238</v>
      </c>
      <c r="U10" s="21">
        <f>'Funding &amp; Cap'!B69</f>
        <v>0</v>
      </c>
      <c r="V10" s="21">
        <f>'Funding &amp; Cap'!C69</f>
        <v>0</v>
      </c>
      <c r="W10" s="21">
        <f>'Funding &amp; Cap'!D69</f>
        <v>0</v>
      </c>
      <c r="X10" s="21">
        <f>'Working Capital &amp; Assets'!E13</f>
        <v>0</v>
      </c>
      <c r="Y10" s="21">
        <f>'Working Capital &amp; Assets'!F13</f>
        <v>0</v>
      </c>
      <c r="Z10" s="21">
        <f>'Working Capital &amp; Assets'!G13</f>
        <v>0</v>
      </c>
      <c r="AA10" s="21">
        <f>'Working Capital &amp; Assets'!H13</f>
        <v>6919</v>
      </c>
      <c r="AB10" s="21">
        <f>'Working Capital &amp; Assets'!I13</f>
        <v>67710</v>
      </c>
      <c r="AC10" s="21">
        <f>'Working Capital &amp; Assets'!J13</f>
        <v>0</v>
      </c>
      <c r="AD10" s="21">
        <f>MIN(AE10,SUMIFS($W$2:$W$181,$A$2:$A$181,"&gt;"&amp;A10,$A$2:$A$181,"&lt;="&amp;EDATE(A10,12))+IF(AND(DATE(2033,12,1)&gt;A10,DATE(2033,12,1)&lt;=EDATE(A10,12)),'Funding &amp; Cap'!$B$200,0))</f>
        <v>0</v>
      </c>
      <c r="AE10" s="22">
        <f>'Funding &amp; Cap'!Q69</f>
        <v>0</v>
      </c>
      <c r="AF10" s="22">
        <f t="shared" si="2"/>
        <v>4439741</v>
      </c>
      <c r="AG10" s="22">
        <f t="shared" si="3"/>
        <v>-199954</v>
      </c>
      <c r="AH10" s="23">
        <f>'Revenue &amp; Demand'!P174</f>
        <v>0</v>
      </c>
      <c r="AI10" s="24">
        <f>'Revenue &amp; Demand'!Q174</f>
        <v>0</v>
      </c>
      <c r="AJ10" s="24">
        <f>'Manufacturing &amp; Production'!J214</f>
        <v>0</v>
      </c>
      <c r="AK10" s="22"/>
      <c r="AL10" s="22"/>
      <c r="AM10" s="22"/>
    </row>
    <row r="11" ht="19.5" customHeight="1">
      <c r="A11" s="15">
        <v>43374.0</v>
      </c>
      <c r="B11" s="18">
        <f t="shared" si="1"/>
        <v>2018</v>
      </c>
      <c r="C11" s="19">
        <f>'Revenue &amp; Demand'!C175</f>
        <v>0</v>
      </c>
      <c r="D11" s="19">
        <f>'Revenue &amp; Demand'!F175</f>
        <v>0</v>
      </c>
      <c r="E11" s="21">
        <f>'Revenue &amp; Demand'!E175</f>
        <v>0</v>
      </c>
      <c r="F11" s="21">
        <f>'Revenue &amp; Demand'!H175</f>
        <v>0</v>
      </c>
      <c r="G11" s="21">
        <f>'Revenue &amp; Demand'!J175</f>
        <v>0</v>
      </c>
      <c r="H11" s="21">
        <f>'Manufacturing &amp; Production'!F215</f>
        <v>0</v>
      </c>
      <c r="I11" s="21">
        <f>'Manufacturing &amp; Production'!G215</f>
        <v>0</v>
      </c>
      <c r="J11" s="21">
        <f>'Workforce &amp; Expenses'!M267</f>
        <v>0</v>
      </c>
      <c r="K11" s="21">
        <f>'Manufacturing &amp; Production'!K215</f>
        <v>0</v>
      </c>
      <c r="L11" s="21">
        <f>'Clinical Trials &amp; R&amp;D'!F215</f>
        <v>95567</v>
      </c>
      <c r="M11" s="21">
        <f>'Clinical Trials &amp; R&amp;D'!I215</f>
        <v>0</v>
      </c>
      <c r="N11" s="21">
        <f>'Workforce &amp; Expenses'!P267</f>
        <v>11325</v>
      </c>
      <c r="O11" s="21">
        <f>'Workforce &amp; Expenses'!S267</f>
        <v>49515</v>
      </c>
      <c r="P11" s="21">
        <f>'Funding &amp; Cap'!F70</f>
        <v>3540</v>
      </c>
      <c r="Q11" s="21">
        <f>'Working Capital &amp; Assets'!B14</f>
        <v>2500</v>
      </c>
      <c r="R11" s="21">
        <f>'Funding &amp; Cap'!H70</f>
        <v>0</v>
      </c>
      <c r="S11" s="21">
        <f>'Working Capital &amp; Assets'!C14</f>
        <v>0</v>
      </c>
      <c r="T11" s="21">
        <f>'Working Capital &amp; Assets'!D14</f>
        <v>24648</v>
      </c>
      <c r="U11" s="21">
        <f>'Funding &amp; Cap'!B70</f>
        <v>0</v>
      </c>
      <c r="V11" s="21">
        <f>'Funding &amp; Cap'!C70</f>
        <v>0</v>
      </c>
      <c r="W11" s="21">
        <f>'Funding &amp; Cap'!D70</f>
        <v>0</v>
      </c>
      <c r="X11" s="21">
        <f>'Working Capital &amp; Assets'!E14</f>
        <v>0</v>
      </c>
      <c r="Y11" s="21">
        <f>'Working Capital &amp; Assets'!F14</f>
        <v>0</v>
      </c>
      <c r="Z11" s="21">
        <f>'Working Capital &amp; Assets'!G14</f>
        <v>0</v>
      </c>
      <c r="AA11" s="21">
        <f>'Working Capital &amp; Assets'!H14</f>
        <v>7729</v>
      </c>
      <c r="AB11" s="21">
        <f>'Working Capital &amp; Assets'!I14</f>
        <v>75641</v>
      </c>
      <c r="AC11" s="21">
        <f>'Working Capital &amp; Assets'!J14</f>
        <v>0</v>
      </c>
      <c r="AD11" s="21">
        <f>MIN(AE11,SUMIFS($W$2:$W$181,$A$2:$A$181,"&gt;"&amp;A11,$A$2:$A$181,"&lt;="&amp;EDATE(A11,12))+IF(AND(DATE(2033,12,1)&gt;A11,DATE(2033,12,1)&lt;=EDATE(A11,12)),'Funding &amp; Cap'!$B$200,0))</f>
        <v>0</v>
      </c>
      <c r="AE11" s="22">
        <f>'Funding &amp; Cap'!Q70</f>
        <v>0</v>
      </c>
      <c r="AF11" s="22">
        <f t="shared" si="2"/>
        <v>4267427</v>
      </c>
      <c r="AG11" s="22">
        <f t="shared" si="3"/>
        <v>-172314</v>
      </c>
      <c r="AH11" s="23">
        <f>'Revenue &amp; Demand'!P175</f>
        <v>0</v>
      </c>
      <c r="AI11" s="24">
        <f>'Revenue &amp; Demand'!Q175</f>
        <v>0</v>
      </c>
      <c r="AJ11" s="24">
        <f>'Manufacturing &amp; Production'!J215</f>
        <v>0</v>
      </c>
      <c r="AK11" s="22"/>
      <c r="AL11" s="22"/>
      <c r="AM11" s="22"/>
    </row>
    <row r="12" ht="19.5" customHeight="1">
      <c r="A12" s="15">
        <v>43405.0</v>
      </c>
      <c r="B12" s="18">
        <f t="shared" si="1"/>
        <v>2018</v>
      </c>
      <c r="C12" s="19">
        <f>'Revenue &amp; Demand'!C176</f>
        <v>0</v>
      </c>
      <c r="D12" s="19">
        <f>'Revenue &amp; Demand'!F176</f>
        <v>0</v>
      </c>
      <c r="E12" s="21">
        <f>'Revenue &amp; Demand'!E176</f>
        <v>0</v>
      </c>
      <c r="F12" s="21">
        <f>'Revenue &amp; Demand'!H176</f>
        <v>0</v>
      </c>
      <c r="G12" s="21">
        <f>'Revenue &amp; Demand'!J176</f>
        <v>0</v>
      </c>
      <c r="H12" s="21">
        <f>'Manufacturing &amp; Production'!F216</f>
        <v>0</v>
      </c>
      <c r="I12" s="21">
        <f>'Manufacturing &amp; Production'!G216</f>
        <v>0</v>
      </c>
      <c r="J12" s="21">
        <f>'Workforce &amp; Expenses'!M268</f>
        <v>0</v>
      </c>
      <c r="K12" s="21">
        <f>'Manufacturing &amp; Production'!K216</f>
        <v>0</v>
      </c>
      <c r="L12" s="21">
        <f>'Clinical Trials &amp; R&amp;D'!F216</f>
        <v>100634</v>
      </c>
      <c r="M12" s="21">
        <f>'Clinical Trials &amp; R&amp;D'!I216</f>
        <v>0</v>
      </c>
      <c r="N12" s="21">
        <f>'Workforce &amp; Expenses'!P268</f>
        <v>12179</v>
      </c>
      <c r="O12" s="21">
        <f>'Workforce &amp; Expenses'!S268</f>
        <v>50550</v>
      </c>
      <c r="P12" s="21">
        <f>'Funding &amp; Cap'!F71</f>
        <v>3599</v>
      </c>
      <c r="Q12" s="21">
        <f>'Working Capital &amp; Assets'!B15</f>
        <v>2500</v>
      </c>
      <c r="R12" s="21">
        <f>'Funding &amp; Cap'!H71</f>
        <v>0</v>
      </c>
      <c r="S12" s="21">
        <f>'Working Capital &amp; Assets'!C15</f>
        <v>0</v>
      </c>
      <c r="T12" s="21">
        <f>'Working Capital &amp; Assets'!D15</f>
        <v>24922</v>
      </c>
      <c r="U12" s="21">
        <f>'Funding &amp; Cap'!B71</f>
        <v>0</v>
      </c>
      <c r="V12" s="21">
        <f>'Funding &amp; Cap'!C71</f>
        <v>0</v>
      </c>
      <c r="W12" s="21">
        <f>'Funding &amp; Cap'!D71</f>
        <v>0</v>
      </c>
      <c r="X12" s="21">
        <f>'Working Capital &amp; Assets'!E15</f>
        <v>0</v>
      </c>
      <c r="Y12" s="21">
        <f>'Working Capital &amp; Assets'!F15</f>
        <v>0</v>
      </c>
      <c r="Z12" s="21">
        <f>'Working Capital &amp; Assets'!G15</f>
        <v>0</v>
      </c>
      <c r="AA12" s="21">
        <f>'Working Capital &amp; Assets'!H15</f>
        <v>8579</v>
      </c>
      <c r="AB12" s="21">
        <f>'Working Capital &amp; Assets'!I15</f>
        <v>83959</v>
      </c>
      <c r="AC12" s="21">
        <f>'Working Capital &amp; Assets'!J15</f>
        <v>0</v>
      </c>
      <c r="AD12" s="21">
        <f>MIN(AE12,SUMIFS($W$2:$W$181,$A$2:$A$181,"&gt;"&amp;A12,$A$2:$A$181,"&lt;="&amp;EDATE(A12,12))+IF(AND(DATE(2033,12,1)&gt;A12,DATE(2033,12,1)&lt;=EDATE(A12,12)),'Funding &amp; Cap'!$B$200,0))</f>
        <v>0</v>
      </c>
      <c r="AE12" s="22">
        <f>'Funding &amp; Cap'!Q71</f>
        <v>0</v>
      </c>
      <c r="AF12" s="22">
        <f t="shared" si="2"/>
        <v>4088310</v>
      </c>
      <c r="AG12" s="22">
        <f t="shared" si="3"/>
        <v>-179117</v>
      </c>
      <c r="AH12" s="23">
        <f>'Revenue &amp; Demand'!P176</f>
        <v>0</v>
      </c>
      <c r="AI12" s="24">
        <f>'Revenue &amp; Demand'!Q176</f>
        <v>0</v>
      </c>
      <c r="AJ12" s="24">
        <f>'Manufacturing &amp; Production'!J216</f>
        <v>0</v>
      </c>
      <c r="AK12" s="22"/>
      <c r="AL12" s="22"/>
      <c r="AM12" s="22"/>
    </row>
    <row r="13" ht="19.5" customHeight="1">
      <c r="A13" s="15">
        <v>43435.0</v>
      </c>
      <c r="B13" s="18">
        <f t="shared" si="1"/>
        <v>2018</v>
      </c>
      <c r="C13" s="19">
        <f>'Revenue &amp; Demand'!C177</f>
        <v>0</v>
      </c>
      <c r="D13" s="19">
        <f>'Revenue &amp; Demand'!F177</f>
        <v>0</v>
      </c>
      <c r="E13" s="21">
        <f>'Revenue &amp; Demand'!E177</f>
        <v>0</v>
      </c>
      <c r="F13" s="21">
        <f>'Revenue &amp; Demand'!H177</f>
        <v>0</v>
      </c>
      <c r="G13" s="21">
        <f>'Revenue &amp; Demand'!J177</f>
        <v>0</v>
      </c>
      <c r="H13" s="21">
        <f>'Manufacturing &amp; Production'!F217</f>
        <v>0</v>
      </c>
      <c r="I13" s="21">
        <f>'Manufacturing &amp; Production'!G217</f>
        <v>0</v>
      </c>
      <c r="J13" s="21">
        <f>'Workforce &amp; Expenses'!M269</f>
        <v>0</v>
      </c>
      <c r="K13" s="21">
        <f>'Manufacturing &amp; Production'!K217</f>
        <v>0</v>
      </c>
      <c r="L13" s="21">
        <f>'Clinical Trials &amp; R&amp;D'!F217</f>
        <v>105700</v>
      </c>
      <c r="M13" s="21">
        <f>'Clinical Trials &amp; R&amp;D'!I217</f>
        <v>0</v>
      </c>
      <c r="N13" s="21">
        <f>'Workforce &amp; Expenses'!P269</f>
        <v>13035</v>
      </c>
      <c r="O13" s="21">
        <f>'Workforce &amp; Expenses'!S269</f>
        <v>51842</v>
      </c>
      <c r="P13" s="21">
        <f>'Funding &amp; Cap'!F72</f>
        <v>3656</v>
      </c>
      <c r="Q13" s="21">
        <f>'Working Capital &amp; Assets'!B16</f>
        <v>2500</v>
      </c>
      <c r="R13" s="21">
        <f>'Funding &amp; Cap'!H72</f>
        <v>0</v>
      </c>
      <c r="S13" s="21">
        <f>'Working Capital &amp; Assets'!C16</f>
        <v>0</v>
      </c>
      <c r="T13" s="21">
        <f>'Working Capital &amp; Assets'!D16</f>
        <v>25195</v>
      </c>
      <c r="U13" s="21">
        <f>'Funding &amp; Cap'!B72</f>
        <v>0</v>
      </c>
      <c r="V13" s="21">
        <f>'Funding &amp; Cap'!C72</f>
        <v>0</v>
      </c>
      <c r="W13" s="21">
        <f>'Funding &amp; Cap'!D72</f>
        <v>0</v>
      </c>
      <c r="X13" s="21">
        <f>'Working Capital &amp; Assets'!E16</f>
        <v>0</v>
      </c>
      <c r="Y13" s="21">
        <f>'Working Capital &amp; Assets'!F16</f>
        <v>0</v>
      </c>
      <c r="Z13" s="21">
        <f>'Working Capital &amp; Assets'!G16</f>
        <v>0</v>
      </c>
      <c r="AA13" s="21">
        <f>'Working Capital &amp; Assets'!H16</f>
        <v>9452</v>
      </c>
      <c r="AB13" s="21">
        <f>'Working Capital &amp; Assets'!I16</f>
        <v>92500</v>
      </c>
      <c r="AC13" s="21">
        <f>'Working Capital &amp; Assets'!J16</f>
        <v>0</v>
      </c>
      <c r="AD13" s="21">
        <f>MIN(AE13,SUMIFS($W$2:$W$181,$A$2:$A$181,"&gt;"&amp;A13,$A$2:$A$181,"&lt;="&amp;EDATE(A13,12))+IF(AND(DATE(2033,12,1)&gt;A13,DATE(2033,12,1)&lt;=EDATE(A13,12)),'Funding &amp; Cap'!$B$200,0))</f>
        <v>0</v>
      </c>
      <c r="AE13" s="22">
        <f>'Funding &amp; Cap'!Q72</f>
        <v>0</v>
      </c>
      <c r="AF13" s="22">
        <f t="shared" si="2"/>
        <v>3901952</v>
      </c>
      <c r="AG13" s="22">
        <f t="shared" si="3"/>
        <v>-186358</v>
      </c>
      <c r="AH13" s="23">
        <f>'Revenue &amp; Demand'!P177</f>
        <v>0</v>
      </c>
      <c r="AI13" s="24">
        <f>'Revenue &amp; Demand'!Q177</f>
        <v>0</v>
      </c>
      <c r="AJ13" s="24">
        <f>'Manufacturing &amp; Production'!J217</f>
        <v>0</v>
      </c>
      <c r="AK13" s="22"/>
      <c r="AL13" s="22"/>
      <c r="AM13" s="22"/>
    </row>
    <row r="14" ht="19.5" customHeight="1">
      <c r="A14" s="15">
        <v>43466.0</v>
      </c>
      <c r="B14" s="18">
        <f t="shared" si="1"/>
        <v>2019</v>
      </c>
      <c r="C14" s="19">
        <f>'Revenue &amp; Demand'!C178</f>
        <v>0</v>
      </c>
      <c r="D14" s="19">
        <f>'Revenue &amp; Demand'!F178</f>
        <v>0</v>
      </c>
      <c r="E14" s="21">
        <f>'Revenue &amp; Demand'!E178</f>
        <v>0</v>
      </c>
      <c r="F14" s="21">
        <f>'Revenue &amp; Demand'!H178</f>
        <v>25277</v>
      </c>
      <c r="G14" s="21">
        <f>'Revenue &amp; Demand'!J178</f>
        <v>2941</v>
      </c>
      <c r="H14" s="21">
        <f>'Manufacturing &amp; Production'!F218</f>
        <v>0</v>
      </c>
      <c r="I14" s="21">
        <f>'Manufacturing &amp; Production'!G218</f>
        <v>0</v>
      </c>
      <c r="J14" s="21">
        <f>'Workforce &amp; Expenses'!M270</f>
        <v>10111</v>
      </c>
      <c r="K14" s="21">
        <f>'Manufacturing &amp; Production'!K218</f>
        <v>294</v>
      </c>
      <c r="L14" s="21">
        <f>'Clinical Trials &amp; R&amp;D'!F218</f>
        <v>139023</v>
      </c>
      <c r="M14" s="21">
        <f>'Clinical Trials &amp; R&amp;D'!I218</f>
        <v>0</v>
      </c>
      <c r="N14" s="21">
        <f>'Workforce &amp; Expenses'!P270</f>
        <v>7326</v>
      </c>
      <c r="O14" s="21">
        <f>'Workforce &amp; Expenses'!S270</f>
        <v>69580</v>
      </c>
      <c r="P14" s="21">
        <f>'Funding &amp; Cap'!F73</f>
        <v>7522</v>
      </c>
      <c r="Q14" s="21">
        <f>'Working Capital &amp; Assets'!B17</f>
        <v>10000</v>
      </c>
      <c r="R14" s="21">
        <f>'Funding &amp; Cap'!H73</f>
        <v>0</v>
      </c>
      <c r="S14" s="21">
        <f>'Working Capital &amp; Assets'!C17</f>
        <v>0</v>
      </c>
      <c r="T14" s="21">
        <f>'Working Capital &amp; Assets'!D17</f>
        <v>47535</v>
      </c>
      <c r="U14" s="21">
        <f>'Funding &amp; Cap'!B73</f>
        <v>0</v>
      </c>
      <c r="V14" s="21">
        <f>'Funding &amp; Cap'!C73</f>
        <v>0</v>
      </c>
      <c r="W14" s="21">
        <f>'Funding &amp; Cap'!D73</f>
        <v>0</v>
      </c>
      <c r="X14" s="21">
        <f>'Working Capital &amp; Assets'!E17</f>
        <v>4047</v>
      </c>
      <c r="Y14" s="21">
        <f>'Working Capital &amp; Assets'!F17</f>
        <v>0</v>
      </c>
      <c r="Z14" s="21">
        <f>'Working Capital &amp; Assets'!G17</f>
        <v>1847</v>
      </c>
      <c r="AA14" s="21">
        <f>'Working Capital &amp; Assets'!H17</f>
        <v>12007</v>
      </c>
      <c r="AB14" s="21">
        <f>'Working Capital &amp; Assets'!I17</f>
        <v>99750</v>
      </c>
      <c r="AC14" s="21">
        <f>'Working Capital &amp; Assets'!J17</f>
        <v>3693</v>
      </c>
      <c r="AD14" s="21">
        <f>MIN(AE14,SUMIFS($W$2:$W$181,$A$2:$A$181,"&gt;"&amp;A14,$A$2:$A$181,"&lt;="&amp;EDATE(A14,12))+IF(AND(DATE(2033,12,1)&gt;A14,DATE(2033,12,1)&lt;=EDATE(A14,12)),'Funding &amp; Cap'!$B$200,0))</f>
        <v>0</v>
      </c>
      <c r="AE14" s="22">
        <f>'Funding &amp; Cap'!Q73</f>
        <v>0</v>
      </c>
      <c r="AF14" s="22">
        <f t="shared" si="2"/>
        <v>3663905</v>
      </c>
      <c r="AG14" s="22">
        <f t="shared" si="3"/>
        <v>-238047</v>
      </c>
      <c r="AH14" s="23">
        <f>'Revenue &amp; Demand'!P178</f>
        <v>0</v>
      </c>
      <c r="AI14" s="24">
        <f>'Revenue &amp; Demand'!Q178</f>
        <v>0</v>
      </c>
      <c r="AJ14" s="24">
        <f>'Manufacturing &amp; Production'!J218</f>
        <v>0</v>
      </c>
      <c r="AK14" s="22"/>
      <c r="AL14" s="22"/>
      <c r="AM14" s="22"/>
    </row>
    <row r="15" ht="19.5" customHeight="1">
      <c r="A15" s="15">
        <v>43497.0</v>
      </c>
      <c r="B15" s="18">
        <f t="shared" si="1"/>
        <v>2019</v>
      </c>
      <c r="C15" s="19">
        <f>'Revenue &amp; Demand'!C179</f>
        <v>0</v>
      </c>
      <c r="D15" s="19">
        <f>'Revenue &amp; Demand'!F179</f>
        <v>0</v>
      </c>
      <c r="E15" s="21">
        <f>'Revenue &amp; Demand'!E179</f>
        <v>0</v>
      </c>
      <c r="F15" s="21">
        <f>'Revenue &amp; Demand'!H179</f>
        <v>25835</v>
      </c>
      <c r="G15" s="21">
        <f>'Revenue &amp; Demand'!J179</f>
        <v>2941</v>
      </c>
      <c r="H15" s="21">
        <f>'Manufacturing &amp; Production'!F219</f>
        <v>0</v>
      </c>
      <c r="I15" s="21">
        <f>'Manufacturing &amp; Production'!G219</f>
        <v>0</v>
      </c>
      <c r="J15" s="21">
        <f>'Workforce &amp; Expenses'!M271</f>
        <v>10334</v>
      </c>
      <c r="K15" s="21">
        <f>'Manufacturing &amp; Production'!K219</f>
        <v>294</v>
      </c>
      <c r="L15" s="21">
        <f>'Clinical Trials &amp; R&amp;D'!F219</f>
        <v>142092</v>
      </c>
      <c r="M15" s="21">
        <f>'Clinical Trials &amp; R&amp;D'!I219</f>
        <v>0</v>
      </c>
      <c r="N15" s="21">
        <f>'Workforce &amp; Expenses'!P271</f>
        <v>9027</v>
      </c>
      <c r="O15" s="21">
        <f>'Workforce &amp; Expenses'!S271</f>
        <v>71046</v>
      </c>
      <c r="P15" s="21">
        <f>'Funding &amp; Cap'!F74</f>
        <v>7670</v>
      </c>
      <c r="Q15" s="21">
        <f>'Working Capital &amp; Assets'!B18</f>
        <v>10000</v>
      </c>
      <c r="R15" s="21">
        <f>'Funding &amp; Cap'!H74</f>
        <v>0</v>
      </c>
      <c r="S15" s="21">
        <f>'Working Capital &amp; Assets'!C18</f>
        <v>0</v>
      </c>
      <c r="T15" s="21">
        <f>'Working Capital &amp; Assets'!D18</f>
        <v>48122</v>
      </c>
      <c r="U15" s="21">
        <f>'Funding &amp; Cap'!B74</f>
        <v>0</v>
      </c>
      <c r="V15" s="21">
        <f>'Funding &amp; Cap'!C74</f>
        <v>0</v>
      </c>
      <c r="W15" s="21">
        <f>'Funding &amp; Cap'!D74</f>
        <v>0</v>
      </c>
      <c r="X15" s="21">
        <f>'Working Capital &amp; Assets'!E18</f>
        <v>7989</v>
      </c>
      <c r="Y15" s="21">
        <f>'Working Capital &amp; Assets'!F18</f>
        <v>0</v>
      </c>
      <c r="Z15" s="21">
        <f>'Working Capital &amp; Assets'!G18</f>
        <v>3645</v>
      </c>
      <c r="AA15" s="21">
        <f>'Working Capital &amp; Assets'!H18</f>
        <v>14474</v>
      </c>
      <c r="AB15" s="21">
        <f>'Working Capital &amp; Assets'!I18</f>
        <v>106609</v>
      </c>
      <c r="AC15" s="21">
        <f>'Working Capital &amp; Assets'!J18</f>
        <v>7290</v>
      </c>
      <c r="AD15" s="21">
        <f>MIN(AE15,SUMIFS($W$2:$W$181,$A$2:$A$181,"&gt;"&amp;A15,$A$2:$A$181,"&lt;="&amp;EDATE(A15,12))+IF(AND(DATE(2033,12,1)&gt;A15,DATE(2033,12,1)&lt;=EDATE(A15,12)),'Funding &amp; Cap'!$B$200,0))</f>
        <v>0</v>
      </c>
      <c r="AE15" s="22">
        <f>'Funding &amp; Cap'!Q74</f>
        <v>0</v>
      </c>
      <c r="AF15" s="22">
        <f t="shared" si="2"/>
        <v>3418949</v>
      </c>
      <c r="AG15" s="22">
        <f t="shared" si="3"/>
        <v>-244956</v>
      </c>
      <c r="AH15" s="23">
        <f>'Revenue &amp; Demand'!P179</f>
        <v>0</v>
      </c>
      <c r="AI15" s="24">
        <f>'Revenue &amp; Demand'!Q179</f>
        <v>0</v>
      </c>
      <c r="AJ15" s="24">
        <f>'Manufacturing &amp; Production'!J219</f>
        <v>0</v>
      </c>
      <c r="AK15" s="22"/>
      <c r="AL15" s="22"/>
      <c r="AM15" s="22"/>
    </row>
    <row r="16" ht="19.5" customHeight="1">
      <c r="A16" s="15">
        <v>43525.0</v>
      </c>
      <c r="B16" s="18">
        <f t="shared" si="1"/>
        <v>2019</v>
      </c>
      <c r="C16" s="19">
        <f>'Revenue &amp; Demand'!C180</f>
        <v>0</v>
      </c>
      <c r="D16" s="19">
        <f>'Revenue &amp; Demand'!F180</f>
        <v>0</v>
      </c>
      <c r="E16" s="21">
        <f>'Revenue &amp; Demand'!E180</f>
        <v>0</v>
      </c>
      <c r="F16" s="21">
        <f>'Revenue &amp; Demand'!H180</f>
        <v>25833</v>
      </c>
      <c r="G16" s="21">
        <f>'Revenue &amp; Demand'!J180</f>
        <v>18382</v>
      </c>
      <c r="H16" s="21">
        <f>'Manufacturing &amp; Production'!F220</f>
        <v>0</v>
      </c>
      <c r="I16" s="21">
        <f>'Manufacturing &amp; Production'!G220</f>
        <v>0</v>
      </c>
      <c r="J16" s="21">
        <f>'Workforce &amp; Expenses'!M272</f>
        <v>10333</v>
      </c>
      <c r="K16" s="21">
        <f>'Manufacturing &amp; Production'!K220</f>
        <v>1838</v>
      </c>
      <c r="L16" s="21">
        <f>'Clinical Trials &amp; R&amp;D'!F220</f>
        <v>142084</v>
      </c>
      <c r="M16" s="21">
        <f>'Clinical Trials &amp; R&amp;D'!I220</f>
        <v>0</v>
      </c>
      <c r="N16" s="21">
        <f>'Workforce &amp; Expenses'!P272</f>
        <v>10725</v>
      </c>
      <c r="O16" s="21">
        <f>'Workforce &amp; Expenses'!S272</f>
        <v>71883</v>
      </c>
      <c r="P16" s="21">
        <f>'Funding &amp; Cap'!F75</f>
        <v>7817</v>
      </c>
      <c r="Q16" s="21">
        <f>'Working Capital &amp; Assets'!B19</f>
        <v>10000</v>
      </c>
      <c r="R16" s="21">
        <f>'Funding &amp; Cap'!H75</f>
        <v>0</v>
      </c>
      <c r="S16" s="21">
        <f>'Working Capital &amp; Assets'!C19</f>
        <v>0</v>
      </c>
      <c r="T16" s="21">
        <f>'Working Capital &amp; Assets'!D19</f>
        <v>119131</v>
      </c>
      <c r="U16" s="21">
        <f>'Funding &amp; Cap'!B75</f>
        <v>0</v>
      </c>
      <c r="V16" s="21">
        <f>'Funding &amp; Cap'!C75</f>
        <v>0</v>
      </c>
      <c r="W16" s="21">
        <f>'Funding &amp; Cap'!D75</f>
        <v>0</v>
      </c>
      <c r="X16" s="21">
        <f>'Working Capital &amp; Assets'!E19</f>
        <v>11748</v>
      </c>
      <c r="Y16" s="21">
        <f>'Working Capital &amp; Assets'!F19</f>
        <v>0</v>
      </c>
      <c r="Z16" s="21">
        <f>'Working Capital &amp; Assets'!G19</f>
        <v>5360</v>
      </c>
      <c r="AA16" s="21">
        <f>'Working Capital &amp; Assets'!H19</f>
        <v>16790</v>
      </c>
      <c r="AB16" s="21">
        <f>'Working Capital &amp; Assets'!I19</f>
        <v>112791</v>
      </c>
      <c r="AC16" s="21">
        <f>'Working Capital &amp; Assets'!J19</f>
        <v>10720</v>
      </c>
      <c r="AD16" s="21">
        <f>MIN(AE16,SUMIFS($W$2:$W$181,$A$2:$A$181,"&gt;"&amp;A16,$A$2:$A$181,"&lt;="&amp;EDATE(A16,12))+IF(AND(DATE(2033,12,1)&gt;A16,DATE(2033,12,1)&lt;=EDATE(A16,12)),'Funding &amp; Cap'!$B$200,0))</f>
        <v>0</v>
      </c>
      <c r="AE16" s="22">
        <f>'Funding &amp; Cap'!Q75</f>
        <v>0</v>
      </c>
      <c r="AF16" s="22">
        <f t="shared" si="2"/>
        <v>3113624</v>
      </c>
      <c r="AG16" s="22">
        <f t="shared" si="3"/>
        <v>-305325</v>
      </c>
      <c r="AH16" s="23">
        <f>'Revenue &amp; Demand'!P180</f>
        <v>0</v>
      </c>
      <c r="AI16" s="24">
        <f>'Revenue &amp; Demand'!Q180</f>
        <v>0</v>
      </c>
      <c r="AJ16" s="24">
        <f>'Manufacturing &amp; Production'!J220</f>
        <v>0</v>
      </c>
      <c r="AK16" s="22"/>
      <c r="AL16" s="22"/>
      <c r="AM16" s="22"/>
    </row>
    <row r="17" ht="19.5" customHeight="1">
      <c r="A17" s="15">
        <v>43556.0</v>
      </c>
      <c r="B17" s="18">
        <f t="shared" si="1"/>
        <v>2019</v>
      </c>
      <c r="C17" s="19">
        <f>'Revenue &amp; Demand'!C181</f>
        <v>0</v>
      </c>
      <c r="D17" s="19">
        <f>'Revenue &amp; Demand'!F181</f>
        <v>0</v>
      </c>
      <c r="E17" s="21">
        <f>'Revenue &amp; Demand'!E181</f>
        <v>0</v>
      </c>
      <c r="F17" s="21">
        <f>'Revenue &amp; Demand'!H181</f>
        <v>25348</v>
      </c>
      <c r="G17" s="21">
        <f>'Revenue &amp; Demand'!J181</f>
        <v>2941</v>
      </c>
      <c r="H17" s="21">
        <f>'Manufacturing &amp; Production'!F221</f>
        <v>0</v>
      </c>
      <c r="I17" s="21">
        <f>'Manufacturing &amp; Production'!G221</f>
        <v>0</v>
      </c>
      <c r="J17" s="21">
        <f>'Workforce &amp; Expenses'!M273</f>
        <v>10139</v>
      </c>
      <c r="K17" s="21">
        <f>'Manufacturing &amp; Production'!K221</f>
        <v>294</v>
      </c>
      <c r="L17" s="21">
        <f>'Clinical Trials &amp; R&amp;D'!F221</f>
        <v>139413</v>
      </c>
      <c r="M17" s="21">
        <f>'Clinical Trials &amp; R&amp;D'!I221</f>
        <v>0</v>
      </c>
      <c r="N17" s="21">
        <f>'Workforce &amp; Expenses'!P273</f>
        <v>12422</v>
      </c>
      <c r="O17" s="21">
        <f>'Workforce &amp; Expenses'!S273</f>
        <v>71995</v>
      </c>
      <c r="P17" s="21">
        <f>'Funding &amp; Cap'!F76</f>
        <v>7965</v>
      </c>
      <c r="Q17" s="21">
        <f>'Working Capital &amp; Assets'!B20</f>
        <v>10000</v>
      </c>
      <c r="R17" s="21">
        <f>'Funding &amp; Cap'!H76</f>
        <v>0</v>
      </c>
      <c r="S17" s="21">
        <f>'Working Capital &amp; Assets'!C20</f>
        <v>0</v>
      </c>
      <c r="T17" s="21">
        <f>'Working Capital &amp; Assets'!D20</f>
        <v>49296</v>
      </c>
      <c r="U17" s="21">
        <f>'Funding &amp; Cap'!B76</f>
        <v>0</v>
      </c>
      <c r="V17" s="21">
        <f>'Funding &amp; Cap'!C76</f>
        <v>0</v>
      </c>
      <c r="W17" s="21">
        <f>'Funding &amp; Cap'!D76</f>
        <v>0</v>
      </c>
      <c r="X17" s="21">
        <f>'Working Capital &amp; Assets'!E20</f>
        <v>15295</v>
      </c>
      <c r="Y17" s="21">
        <f>'Working Capital &amp; Assets'!F20</f>
        <v>0</v>
      </c>
      <c r="Z17" s="21">
        <f>'Working Capital &amp; Assets'!G20</f>
        <v>6978</v>
      </c>
      <c r="AA17" s="21">
        <f>'Working Capital &amp; Assets'!H20</f>
        <v>18932</v>
      </c>
      <c r="AB17" s="21">
        <f>'Working Capital &amp; Assets'!I20</f>
        <v>118192</v>
      </c>
      <c r="AC17" s="21">
        <f>'Working Capital &amp; Assets'!J20</f>
        <v>13957</v>
      </c>
      <c r="AD17" s="21">
        <f>MIN(AE17,SUMIFS($W$2:$W$181,$A$2:$A$181,"&gt;"&amp;A17,$A$2:$A$181,"&lt;="&amp;EDATE(A17,12))+IF(AND(DATE(2033,12,1)&gt;A17,DATE(2033,12,1)&lt;=EDATE(A17,12)),'Funding &amp; Cap'!$B$200,0))</f>
        <v>0</v>
      </c>
      <c r="AE17" s="22">
        <f>'Funding &amp; Cap'!Q76</f>
        <v>0</v>
      </c>
      <c r="AF17" s="22">
        <f t="shared" si="2"/>
        <v>2863969</v>
      </c>
      <c r="AG17" s="22">
        <f t="shared" si="3"/>
        <v>-249655</v>
      </c>
      <c r="AH17" s="23">
        <f>'Revenue &amp; Demand'!P181</f>
        <v>0</v>
      </c>
      <c r="AI17" s="24">
        <f>'Revenue &amp; Demand'!Q181</f>
        <v>0</v>
      </c>
      <c r="AJ17" s="24">
        <f>'Manufacturing &amp; Production'!J221</f>
        <v>0</v>
      </c>
      <c r="AK17" s="22"/>
      <c r="AL17" s="22"/>
      <c r="AM17" s="22"/>
    </row>
    <row r="18" ht="19.5" customHeight="1">
      <c r="A18" s="15">
        <v>43586.0</v>
      </c>
      <c r="B18" s="18">
        <f t="shared" si="1"/>
        <v>2019</v>
      </c>
      <c r="C18" s="19">
        <f>'Revenue &amp; Demand'!C182</f>
        <v>0</v>
      </c>
      <c r="D18" s="19">
        <f>'Revenue &amp; Demand'!F182</f>
        <v>0</v>
      </c>
      <c r="E18" s="21">
        <f>'Revenue &amp; Demand'!E182</f>
        <v>0</v>
      </c>
      <c r="F18" s="21">
        <f>'Revenue &amp; Demand'!H182</f>
        <v>24583</v>
      </c>
      <c r="G18" s="21">
        <f>'Revenue &amp; Demand'!J182</f>
        <v>2941</v>
      </c>
      <c r="H18" s="21">
        <f>'Manufacturing &amp; Production'!F222</f>
        <v>0</v>
      </c>
      <c r="I18" s="21">
        <f>'Manufacturing &amp; Production'!G222</f>
        <v>0</v>
      </c>
      <c r="J18" s="21">
        <f>'Workforce &amp; Expenses'!M274</f>
        <v>9833</v>
      </c>
      <c r="K18" s="21">
        <f>'Manufacturing &amp; Production'!K222</f>
        <v>294</v>
      </c>
      <c r="L18" s="21">
        <f>'Clinical Trials &amp; R&amp;D'!F222</f>
        <v>135204</v>
      </c>
      <c r="M18" s="21">
        <f>'Clinical Trials &amp; R&amp;D'!I222</f>
        <v>0</v>
      </c>
      <c r="N18" s="21">
        <f>'Workforce &amp; Expenses'!P274</f>
        <v>14117</v>
      </c>
      <c r="O18" s="21">
        <f>'Workforce &amp; Expenses'!S274</f>
        <v>71477</v>
      </c>
      <c r="P18" s="21">
        <f>'Funding &amp; Cap'!F77</f>
        <v>8112</v>
      </c>
      <c r="Q18" s="21">
        <f>'Working Capital &amp; Assets'!B21</f>
        <v>10000</v>
      </c>
      <c r="R18" s="21">
        <f>'Funding &amp; Cap'!H77</f>
        <v>0</v>
      </c>
      <c r="S18" s="21">
        <f>'Working Capital &amp; Assets'!C21</f>
        <v>0</v>
      </c>
      <c r="T18" s="21">
        <f>'Working Capital &amp; Assets'!D21</f>
        <v>49883</v>
      </c>
      <c r="U18" s="21">
        <f>'Funding &amp; Cap'!B77</f>
        <v>0</v>
      </c>
      <c r="V18" s="21">
        <f>'Funding &amp; Cap'!C77</f>
        <v>0</v>
      </c>
      <c r="W18" s="21">
        <f>'Funding &amp; Cap'!D77</f>
        <v>0</v>
      </c>
      <c r="X18" s="21">
        <f>'Working Capital &amp; Assets'!E21</f>
        <v>18659</v>
      </c>
      <c r="Y18" s="21">
        <f>'Working Capital &amp; Assets'!F21</f>
        <v>0</v>
      </c>
      <c r="Z18" s="21">
        <f>'Working Capital &amp; Assets'!G21</f>
        <v>8513</v>
      </c>
      <c r="AA18" s="21">
        <f>'Working Capital &amp; Assets'!H21</f>
        <v>20922</v>
      </c>
      <c r="AB18" s="21">
        <f>'Working Capital &amp; Assets'!I21</f>
        <v>122916</v>
      </c>
      <c r="AC18" s="21">
        <f>'Working Capital &amp; Assets'!J21</f>
        <v>17027</v>
      </c>
      <c r="AD18" s="21">
        <f>MIN(AE18,SUMIFS($W$2:$W$181,$A$2:$A$181,"&gt;"&amp;A18,$A$2:$A$181,"&lt;="&amp;EDATE(A18,12))+IF(AND(DATE(2033,12,1)&gt;A18,DATE(2033,12,1)&lt;=EDATE(A18,12)),'Funding &amp; Cap'!$B$200,0))</f>
        <v>0</v>
      </c>
      <c r="AE18" s="22">
        <f>'Funding &amp; Cap'!Q77</f>
        <v>0</v>
      </c>
      <c r="AF18" s="22">
        <f t="shared" si="2"/>
        <v>2615570</v>
      </c>
      <c r="AG18" s="22">
        <f t="shared" si="3"/>
        <v>-248399</v>
      </c>
      <c r="AH18" s="23">
        <f>'Revenue &amp; Demand'!P182</f>
        <v>0</v>
      </c>
      <c r="AI18" s="24">
        <f>'Revenue &amp; Demand'!Q182</f>
        <v>0</v>
      </c>
      <c r="AJ18" s="24">
        <f>'Manufacturing &amp; Production'!J222</f>
        <v>0</v>
      </c>
      <c r="AK18" s="22"/>
      <c r="AL18" s="22"/>
      <c r="AM18" s="22"/>
    </row>
    <row r="19" ht="19.5" customHeight="1">
      <c r="A19" s="15">
        <v>43617.0</v>
      </c>
      <c r="B19" s="18">
        <f t="shared" si="1"/>
        <v>2019</v>
      </c>
      <c r="C19" s="19">
        <f>'Revenue &amp; Demand'!C183</f>
        <v>0</v>
      </c>
      <c r="D19" s="19">
        <f>'Revenue &amp; Demand'!F183</f>
        <v>1</v>
      </c>
      <c r="E19" s="21">
        <f>'Revenue &amp; Demand'!E183</f>
        <v>0</v>
      </c>
      <c r="F19" s="21">
        <f>'Revenue &amp; Demand'!H183</f>
        <v>23817</v>
      </c>
      <c r="G19" s="21">
        <f>'Revenue &amp; Demand'!J183</f>
        <v>18382</v>
      </c>
      <c r="H19" s="21">
        <f>'Manufacturing &amp; Production'!F223</f>
        <v>0</v>
      </c>
      <c r="I19" s="21">
        <f>'Manufacturing &amp; Production'!G223</f>
        <v>0</v>
      </c>
      <c r="J19" s="21">
        <f>'Workforce &amp; Expenses'!M275</f>
        <v>9527</v>
      </c>
      <c r="K19" s="21">
        <f>'Manufacturing &amp; Production'!K223</f>
        <v>1838</v>
      </c>
      <c r="L19" s="21">
        <f>'Clinical Trials &amp; R&amp;D'!F223</f>
        <v>130995</v>
      </c>
      <c r="M19" s="21">
        <f>'Clinical Trials &amp; R&amp;D'!I223</f>
        <v>0</v>
      </c>
      <c r="N19" s="21">
        <f>'Workforce &amp; Expenses'!P275</f>
        <v>15812</v>
      </c>
      <c r="O19" s="21">
        <f>'Workforce &amp; Expenses'!S275</f>
        <v>70596</v>
      </c>
      <c r="P19" s="21">
        <f>'Funding &amp; Cap'!F78</f>
        <v>8260</v>
      </c>
      <c r="Q19" s="21">
        <f>'Working Capital &amp; Assets'!B22</f>
        <v>10000</v>
      </c>
      <c r="R19" s="21">
        <f>'Funding &amp; Cap'!H78</f>
        <v>0</v>
      </c>
      <c r="S19" s="21">
        <f>'Working Capital &amp; Assets'!C22</f>
        <v>0</v>
      </c>
      <c r="T19" s="21">
        <f>'Working Capital &amp; Assets'!D22</f>
        <v>50469</v>
      </c>
      <c r="U19" s="21">
        <f>'Funding &amp; Cap'!B78</f>
        <v>0</v>
      </c>
      <c r="V19" s="21">
        <f>'Funding &amp; Cap'!C78</f>
        <v>0</v>
      </c>
      <c r="W19" s="21">
        <f>'Funding &amp; Cap'!D78</f>
        <v>0</v>
      </c>
      <c r="X19" s="21">
        <f>'Working Capital &amp; Assets'!E22</f>
        <v>21918</v>
      </c>
      <c r="Y19" s="21">
        <f>'Working Capital &amp; Assets'!F22</f>
        <v>0</v>
      </c>
      <c r="Z19" s="21">
        <f>'Working Capital &amp; Assets'!G22</f>
        <v>10000</v>
      </c>
      <c r="AA19" s="21">
        <f>'Working Capital &amp; Assets'!H22</f>
        <v>22825</v>
      </c>
      <c r="AB19" s="21">
        <f>'Working Capital &amp; Assets'!I22</f>
        <v>127250</v>
      </c>
      <c r="AC19" s="21">
        <f>'Working Capital &amp; Assets'!J22</f>
        <v>20000</v>
      </c>
      <c r="AD19" s="21">
        <f>MIN(AE19,SUMIFS($W$2:$W$181,$A$2:$A$181,"&gt;"&amp;A19,$A$2:$A$181,"&lt;="&amp;EDATE(A19,12))+IF(AND(DATE(2033,12,1)&gt;A19,DATE(2033,12,1)&lt;=EDATE(A19,12)),'Funding &amp; Cap'!$B$200,0))</f>
        <v>0</v>
      </c>
      <c r="AE19" s="22">
        <f>'Funding &amp; Cap'!Q78</f>
        <v>0</v>
      </c>
      <c r="AF19" s="22">
        <f t="shared" si="2"/>
        <v>2382996</v>
      </c>
      <c r="AG19" s="22">
        <f t="shared" si="3"/>
        <v>-232574</v>
      </c>
      <c r="AH19" s="23">
        <f>'Revenue &amp; Demand'!P183</f>
        <v>0</v>
      </c>
      <c r="AI19" s="24">
        <f>'Revenue &amp; Demand'!Q183</f>
        <v>0</v>
      </c>
      <c r="AJ19" s="24">
        <f>'Manufacturing &amp; Production'!J223</f>
        <v>0</v>
      </c>
      <c r="AK19" s="22"/>
      <c r="AL19" s="22"/>
      <c r="AM19" s="22"/>
    </row>
    <row r="20" ht="19.5" customHeight="1">
      <c r="A20" s="15">
        <v>43647.0</v>
      </c>
      <c r="B20" s="18">
        <f t="shared" si="1"/>
        <v>2019</v>
      </c>
      <c r="C20" s="19">
        <f>'Revenue &amp; Demand'!C184</f>
        <v>0</v>
      </c>
      <c r="D20" s="19">
        <f>'Revenue &amp; Demand'!F184</f>
        <v>1</v>
      </c>
      <c r="E20" s="21">
        <f>'Revenue &amp; Demand'!E184</f>
        <v>0</v>
      </c>
      <c r="F20" s="21">
        <f>'Revenue &amp; Demand'!H184</f>
        <v>23332</v>
      </c>
      <c r="G20" s="21">
        <f>'Revenue &amp; Demand'!J184</f>
        <v>2941</v>
      </c>
      <c r="H20" s="21">
        <f>'Manufacturing &amp; Production'!F224</f>
        <v>0</v>
      </c>
      <c r="I20" s="21">
        <f>'Manufacturing &amp; Production'!G224</f>
        <v>0</v>
      </c>
      <c r="J20" s="21">
        <f>'Workforce &amp; Expenses'!M276</f>
        <v>9333</v>
      </c>
      <c r="K20" s="21">
        <f>'Manufacturing &amp; Production'!K224</f>
        <v>294</v>
      </c>
      <c r="L20" s="21">
        <f>'Clinical Trials &amp; R&amp;D'!F224</f>
        <v>128324</v>
      </c>
      <c r="M20" s="21">
        <f>'Clinical Trials &amp; R&amp;D'!I224</f>
        <v>0</v>
      </c>
      <c r="N20" s="21">
        <f>'Workforce &amp; Expenses'!P276</f>
        <v>17509</v>
      </c>
      <c r="O20" s="21">
        <f>'Workforce &amp; Expenses'!S276</f>
        <v>69715</v>
      </c>
      <c r="P20" s="21">
        <f>'Funding &amp; Cap'!F79</f>
        <v>8407</v>
      </c>
      <c r="Q20" s="21">
        <f>'Working Capital &amp; Assets'!B23</f>
        <v>10000</v>
      </c>
      <c r="R20" s="21">
        <f>'Funding &amp; Cap'!H79</f>
        <v>0</v>
      </c>
      <c r="S20" s="21">
        <f>'Working Capital &amp; Assets'!C23</f>
        <v>0</v>
      </c>
      <c r="T20" s="21">
        <f>'Working Capital &amp; Assets'!D23</f>
        <v>51056</v>
      </c>
      <c r="U20" s="21">
        <f>'Funding &amp; Cap'!B79</f>
        <v>0</v>
      </c>
      <c r="V20" s="21">
        <f>'Funding &amp; Cap'!C79</f>
        <v>0</v>
      </c>
      <c r="W20" s="21">
        <f>'Funding &amp; Cap'!D79</f>
        <v>0</v>
      </c>
      <c r="X20" s="21">
        <f>'Working Capital &amp; Assets'!E23</f>
        <v>25176</v>
      </c>
      <c r="Y20" s="21">
        <f>'Working Capital &amp; Assets'!F23</f>
        <v>0</v>
      </c>
      <c r="Z20" s="21">
        <f>'Working Capital &amp; Assets'!G23</f>
        <v>11487</v>
      </c>
      <c r="AA20" s="21">
        <f>'Working Capital &amp; Assets'!H23</f>
        <v>24728</v>
      </c>
      <c r="AB20" s="21">
        <f>'Working Capital &amp; Assets'!I23</f>
        <v>131584</v>
      </c>
      <c r="AC20" s="21">
        <f>'Working Capital &amp; Assets'!J23</f>
        <v>22973</v>
      </c>
      <c r="AD20" s="21">
        <f>MIN(AE20,SUMIFS($W$2:$W$181,$A$2:$A$181,"&gt;"&amp;A20,$A$2:$A$181,"&lt;="&amp;EDATE(A20,12))+IF(AND(DATE(2033,12,1)&gt;A20,DATE(2033,12,1)&lt;=EDATE(A20,12)),'Funding &amp; Cap'!$B$200,0))</f>
        <v>0</v>
      </c>
      <c r="AE20" s="22">
        <f>'Funding &amp; Cap'!Q79</f>
        <v>0</v>
      </c>
      <c r="AF20" s="22">
        <f t="shared" si="2"/>
        <v>2137503</v>
      </c>
      <c r="AG20" s="22">
        <f t="shared" si="3"/>
        <v>-245493</v>
      </c>
      <c r="AH20" s="23">
        <f>'Revenue &amp; Demand'!P184</f>
        <v>0</v>
      </c>
      <c r="AI20" s="24">
        <f>'Revenue &amp; Demand'!Q184</f>
        <v>0</v>
      </c>
      <c r="AJ20" s="24">
        <f>'Manufacturing &amp; Production'!J224</f>
        <v>0</v>
      </c>
      <c r="AK20" s="22"/>
      <c r="AL20" s="22"/>
      <c r="AM20" s="22"/>
    </row>
    <row r="21" ht="19.5" customHeight="1">
      <c r="A21" s="15">
        <v>43678.0</v>
      </c>
      <c r="B21" s="18">
        <f t="shared" si="1"/>
        <v>2019</v>
      </c>
      <c r="C21" s="19">
        <f>'Revenue &amp; Demand'!C185</f>
        <v>0</v>
      </c>
      <c r="D21" s="19">
        <f>'Revenue &amp; Demand'!F185</f>
        <v>1</v>
      </c>
      <c r="E21" s="21">
        <f>'Revenue &amp; Demand'!E185</f>
        <v>0</v>
      </c>
      <c r="F21" s="21">
        <f>'Revenue &amp; Demand'!H185</f>
        <v>23330</v>
      </c>
      <c r="G21" s="21">
        <f>'Revenue &amp; Demand'!J185</f>
        <v>2941</v>
      </c>
      <c r="H21" s="21">
        <f>'Manufacturing &amp; Production'!F225</f>
        <v>0</v>
      </c>
      <c r="I21" s="21">
        <f>'Manufacturing &amp; Production'!G225</f>
        <v>0</v>
      </c>
      <c r="J21" s="21">
        <f>'Workforce &amp; Expenses'!M277</f>
        <v>9332</v>
      </c>
      <c r="K21" s="21">
        <f>'Manufacturing &amp; Production'!K225</f>
        <v>294</v>
      </c>
      <c r="L21" s="21">
        <f>'Clinical Trials &amp; R&amp;D'!F225</f>
        <v>128316</v>
      </c>
      <c r="M21" s="21">
        <f>'Clinical Trials &amp; R&amp;D'!I225</f>
        <v>0</v>
      </c>
      <c r="N21" s="21">
        <f>'Workforce &amp; Expenses'!P277</f>
        <v>19207</v>
      </c>
      <c r="O21" s="21">
        <f>'Workforce &amp; Expenses'!S277</f>
        <v>69198</v>
      </c>
      <c r="P21" s="21">
        <f>'Funding &amp; Cap'!F80</f>
        <v>8555</v>
      </c>
      <c r="Q21" s="21">
        <f>'Working Capital &amp; Assets'!B24</f>
        <v>10000</v>
      </c>
      <c r="R21" s="21">
        <f>'Funding &amp; Cap'!H80</f>
        <v>0</v>
      </c>
      <c r="S21" s="21">
        <f>'Working Capital &amp; Assets'!C24</f>
        <v>0</v>
      </c>
      <c r="T21" s="21">
        <f>'Working Capital &amp; Assets'!D24</f>
        <v>51643</v>
      </c>
      <c r="U21" s="21">
        <f>'Funding &amp; Cap'!B80</f>
        <v>0</v>
      </c>
      <c r="V21" s="21">
        <f>'Funding &amp; Cap'!C80</f>
        <v>0</v>
      </c>
      <c r="W21" s="21">
        <f>'Funding &amp; Cap'!D80</f>
        <v>0</v>
      </c>
      <c r="X21" s="21">
        <f>'Working Capital &amp; Assets'!E24</f>
        <v>28540</v>
      </c>
      <c r="Y21" s="21">
        <f>'Working Capital &amp; Assets'!F24</f>
        <v>0</v>
      </c>
      <c r="Z21" s="21">
        <f>'Working Capital &amp; Assets'!G24</f>
        <v>13022</v>
      </c>
      <c r="AA21" s="21">
        <f>'Working Capital &amp; Assets'!H24</f>
        <v>26719</v>
      </c>
      <c r="AB21" s="21">
        <f>'Working Capital &amp; Assets'!I24</f>
        <v>136308</v>
      </c>
      <c r="AC21" s="21">
        <f>'Working Capital &amp; Assets'!J24</f>
        <v>26043</v>
      </c>
      <c r="AD21" s="21">
        <f>MIN(AE21,SUMIFS($W$2:$W$181,$A$2:$A$181,"&gt;"&amp;A21,$A$2:$A$181,"&lt;="&amp;EDATE(A21,12))+IF(AND(DATE(2033,12,1)&gt;A21,DATE(2033,12,1)&lt;=EDATE(A21,12)),'Funding &amp; Cap'!$B$200,0))</f>
        <v>0</v>
      </c>
      <c r="AE21" s="22">
        <f>'Funding &amp; Cap'!Q80</f>
        <v>0</v>
      </c>
      <c r="AF21" s="22">
        <f t="shared" si="2"/>
        <v>1890670</v>
      </c>
      <c r="AG21" s="22">
        <f t="shared" si="3"/>
        <v>-246833</v>
      </c>
      <c r="AH21" s="23">
        <f>'Revenue &amp; Demand'!P185</f>
        <v>0</v>
      </c>
      <c r="AI21" s="24">
        <f>'Revenue &amp; Demand'!Q185</f>
        <v>0</v>
      </c>
      <c r="AJ21" s="24">
        <f>'Manufacturing &amp; Production'!J225</f>
        <v>0</v>
      </c>
      <c r="AK21" s="22"/>
      <c r="AL21" s="22"/>
      <c r="AM21" s="22"/>
    </row>
    <row r="22" ht="19.5" customHeight="1">
      <c r="A22" s="15">
        <v>43709.0</v>
      </c>
      <c r="B22" s="18">
        <f t="shared" si="1"/>
        <v>2019</v>
      </c>
      <c r="C22" s="19">
        <f>'Revenue &amp; Demand'!C186</f>
        <v>0</v>
      </c>
      <c r="D22" s="19">
        <f>'Revenue &amp; Demand'!F186</f>
        <v>1</v>
      </c>
      <c r="E22" s="21">
        <f>'Revenue &amp; Demand'!E186</f>
        <v>0</v>
      </c>
      <c r="F22" s="21">
        <f>'Revenue &amp; Demand'!H186</f>
        <v>23888</v>
      </c>
      <c r="G22" s="21">
        <f>'Revenue &amp; Demand'!J186</f>
        <v>18382</v>
      </c>
      <c r="H22" s="21">
        <f>'Manufacturing &amp; Production'!F226</f>
        <v>0</v>
      </c>
      <c r="I22" s="21">
        <f>'Manufacturing &amp; Production'!G226</f>
        <v>0</v>
      </c>
      <c r="J22" s="21">
        <f>'Workforce &amp; Expenses'!M278</f>
        <v>9555</v>
      </c>
      <c r="K22" s="21">
        <f>'Manufacturing &amp; Production'!K226</f>
        <v>1838</v>
      </c>
      <c r="L22" s="21">
        <f>'Clinical Trials &amp; R&amp;D'!F226</f>
        <v>131385</v>
      </c>
      <c r="M22" s="21">
        <f>'Clinical Trials &amp; R&amp;D'!I226</f>
        <v>0</v>
      </c>
      <c r="N22" s="21">
        <f>'Workforce &amp; Expenses'!P278</f>
        <v>20908</v>
      </c>
      <c r="O22" s="21">
        <f>'Workforce &amp; Expenses'!S278</f>
        <v>69309</v>
      </c>
      <c r="P22" s="21">
        <f>'Funding &amp; Cap'!F81</f>
        <v>8702</v>
      </c>
      <c r="Q22" s="21">
        <f>'Working Capital &amp; Assets'!B25</f>
        <v>10000</v>
      </c>
      <c r="R22" s="21">
        <f>'Funding &amp; Cap'!H81</f>
        <v>0</v>
      </c>
      <c r="S22" s="21">
        <f>'Working Capital &amp; Assets'!C25</f>
        <v>0</v>
      </c>
      <c r="T22" s="21">
        <f>'Working Capital &amp; Assets'!D25</f>
        <v>122653</v>
      </c>
      <c r="U22" s="21">
        <f>'Funding &amp; Cap'!B81</f>
        <v>0</v>
      </c>
      <c r="V22" s="21">
        <f>'Funding &amp; Cap'!C81</f>
        <v>0</v>
      </c>
      <c r="W22" s="21">
        <f>'Funding &amp; Cap'!D81</f>
        <v>0</v>
      </c>
      <c r="X22" s="21">
        <f>'Working Capital &amp; Assets'!E25</f>
        <v>32088</v>
      </c>
      <c r="Y22" s="21">
        <f>'Working Capital &amp; Assets'!F25</f>
        <v>0</v>
      </c>
      <c r="Z22" s="21">
        <f>'Working Capital &amp; Assets'!G25</f>
        <v>14640</v>
      </c>
      <c r="AA22" s="21">
        <f>'Working Capital &amp; Assets'!H25</f>
        <v>28860</v>
      </c>
      <c r="AB22" s="21">
        <f>'Working Capital &amp; Assets'!I25</f>
        <v>141709</v>
      </c>
      <c r="AC22" s="21">
        <f>'Working Capital &amp; Assets'!J25</f>
        <v>29280</v>
      </c>
      <c r="AD22" s="21">
        <f>MIN(AE22,SUMIFS($W$2:$W$181,$A$2:$A$181,"&gt;"&amp;A22,$A$2:$A$181,"&lt;="&amp;EDATE(A22,12))+IF(AND(DATE(2033,12,1)&gt;A22,DATE(2033,12,1)&lt;=EDATE(A22,12)),'Funding &amp; Cap'!$B$200,0))</f>
        <v>0</v>
      </c>
      <c r="AE22" s="22">
        <f>'Funding &amp; Cap'!Q81</f>
        <v>0</v>
      </c>
      <c r="AF22" s="22">
        <f t="shared" si="2"/>
        <v>1582905</v>
      </c>
      <c r="AG22" s="22">
        <f t="shared" si="3"/>
        <v>-307765</v>
      </c>
      <c r="AH22" s="23">
        <f>'Revenue &amp; Demand'!P186</f>
        <v>0</v>
      </c>
      <c r="AI22" s="24">
        <f>'Revenue &amp; Demand'!Q186</f>
        <v>0</v>
      </c>
      <c r="AJ22" s="24">
        <f>'Manufacturing &amp; Production'!J226</f>
        <v>0</v>
      </c>
      <c r="AK22" s="22"/>
      <c r="AL22" s="22"/>
      <c r="AM22" s="22"/>
    </row>
    <row r="23" ht="19.5" customHeight="1">
      <c r="A23" s="15">
        <v>43739.0</v>
      </c>
      <c r="B23" s="18">
        <f t="shared" si="1"/>
        <v>2019</v>
      </c>
      <c r="C23" s="19">
        <f>'Revenue &amp; Demand'!C187</f>
        <v>0</v>
      </c>
      <c r="D23" s="19">
        <f>'Revenue &amp; Demand'!F187</f>
        <v>1</v>
      </c>
      <c r="E23" s="21">
        <f>'Revenue &amp; Demand'!E187</f>
        <v>0</v>
      </c>
      <c r="F23" s="21">
        <f>'Revenue &amp; Demand'!H187</f>
        <v>24930</v>
      </c>
      <c r="G23" s="21">
        <f>'Revenue &amp; Demand'!J187</f>
        <v>2941</v>
      </c>
      <c r="H23" s="21">
        <f>'Manufacturing &amp; Production'!F227</f>
        <v>0</v>
      </c>
      <c r="I23" s="21">
        <f>'Manufacturing &amp; Production'!G227</f>
        <v>0</v>
      </c>
      <c r="J23" s="21">
        <f>'Workforce &amp; Expenses'!M279</f>
        <v>9972</v>
      </c>
      <c r="K23" s="21">
        <f>'Manufacturing &amp; Production'!K227</f>
        <v>294</v>
      </c>
      <c r="L23" s="21">
        <f>'Clinical Trials &amp; R&amp;D'!F227</f>
        <v>137117</v>
      </c>
      <c r="M23" s="21">
        <f>'Clinical Trials &amp; R&amp;D'!I227</f>
        <v>0</v>
      </c>
      <c r="N23" s="21">
        <f>'Workforce &amp; Expenses'!P279</f>
        <v>22611</v>
      </c>
      <c r="O23" s="21">
        <f>'Workforce &amp; Expenses'!S279</f>
        <v>70146</v>
      </c>
      <c r="P23" s="21">
        <f>'Funding &amp; Cap'!F82</f>
        <v>8850</v>
      </c>
      <c r="Q23" s="21">
        <f>'Working Capital &amp; Assets'!B26</f>
        <v>10000</v>
      </c>
      <c r="R23" s="21">
        <f>'Funding &amp; Cap'!H82</f>
        <v>0</v>
      </c>
      <c r="S23" s="21">
        <f>'Working Capital &amp; Assets'!C26</f>
        <v>0</v>
      </c>
      <c r="T23" s="21">
        <f>'Working Capital &amp; Assets'!D26</f>
        <v>52817</v>
      </c>
      <c r="U23" s="21">
        <f>'Funding &amp; Cap'!B82</f>
        <v>0</v>
      </c>
      <c r="V23" s="21">
        <f>'Funding &amp; Cap'!C82</f>
        <v>0</v>
      </c>
      <c r="W23" s="21">
        <f>'Funding &amp; Cap'!D82</f>
        <v>0</v>
      </c>
      <c r="X23" s="21">
        <f>'Working Capital &amp; Assets'!E26</f>
        <v>35846</v>
      </c>
      <c r="Y23" s="21">
        <f>'Working Capital &amp; Assets'!F26</f>
        <v>0</v>
      </c>
      <c r="Z23" s="21">
        <f>'Working Capital &amp; Assets'!G26</f>
        <v>16355</v>
      </c>
      <c r="AA23" s="21">
        <f>'Working Capital &amp; Assets'!H26</f>
        <v>31177</v>
      </c>
      <c r="AB23" s="21">
        <f>'Working Capital &amp; Assets'!I26</f>
        <v>147891</v>
      </c>
      <c r="AC23" s="21">
        <f>'Working Capital &amp; Assets'!J26</f>
        <v>32710</v>
      </c>
      <c r="AD23" s="21">
        <f>MIN(AE23,SUMIFS($W$2:$W$181,$A$2:$A$181,"&gt;"&amp;A23,$A$2:$A$181,"&lt;="&amp;EDATE(A23,12))+IF(AND(DATE(2033,12,1)&gt;A23,DATE(2033,12,1)&lt;=EDATE(A23,12)),'Funding &amp; Cap'!$B$200,0))</f>
        <v>0</v>
      </c>
      <c r="AE23" s="22">
        <f>'Funding &amp; Cap'!Q82</f>
        <v>0</v>
      </c>
      <c r="AF23" s="22">
        <f t="shared" si="2"/>
        <v>1324275</v>
      </c>
      <c r="AG23" s="22">
        <f t="shared" si="3"/>
        <v>-258630</v>
      </c>
      <c r="AH23" s="23">
        <f>'Revenue &amp; Demand'!P187</f>
        <v>0</v>
      </c>
      <c r="AI23" s="24">
        <f>'Revenue &amp; Demand'!Q187</f>
        <v>0</v>
      </c>
      <c r="AJ23" s="24">
        <f>'Manufacturing &amp; Production'!J227</f>
        <v>0</v>
      </c>
      <c r="AK23" s="22"/>
      <c r="AL23" s="22"/>
      <c r="AM23" s="22"/>
    </row>
    <row r="24" ht="19.5" customHeight="1">
      <c r="A24" s="15">
        <v>43770.0</v>
      </c>
      <c r="B24" s="18">
        <f t="shared" si="1"/>
        <v>2019</v>
      </c>
      <c r="C24" s="19">
        <f>'Revenue &amp; Demand'!C188</f>
        <v>0</v>
      </c>
      <c r="D24" s="19">
        <f>'Revenue &amp; Demand'!F188</f>
        <v>1</v>
      </c>
      <c r="E24" s="21">
        <f>'Revenue &amp; Demand'!E188</f>
        <v>0</v>
      </c>
      <c r="F24" s="21">
        <f>'Revenue &amp; Demand'!H188</f>
        <v>26252</v>
      </c>
      <c r="G24" s="21">
        <f>'Revenue &amp; Demand'!J188</f>
        <v>2941</v>
      </c>
      <c r="H24" s="21">
        <f>'Manufacturing &amp; Production'!F228</f>
        <v>0</v>
      </c>
      <c r="I24" s="21">
        <f>'Manufacturing &amp; Production'!G228</f>
        <v>0</v>
      </c>
      <c r="J24" s="21">
        <f>'Workforce &amp; Expenses'!M280</f>
        <v>10501</v>
      </c>
      <c r="K24" s="21">
        <f>'Manufacturing &amp; Production'!K228</f>
        <v>294</v>
      </c>
      <c r="L24" s="21">
        <f>'Clinical Trials &amp; R&amp;D'!F228</f>
        <v>144388</v>
      </c>
      <c r="M24" s="21">
        <f>'Clinical Trials &amp; R&amp;D'!I228</f>
        <v>0</v>
      </c>
      <c r="N24" s="21">
        <f>'Workforce &amp; Expenses'!P280</f>
        <v>24315</v>
      </c>
      <c r="O24" s="21">
        <f>'Workforce &amp; Expenses'!S280</f>
        <v>71612</v>
      </c>
      <c r="P24" s="21">
        <f>'Funding &amp; Cap'!F83</f>
        <v>8997</v>
      </c>
      <c r="Q24" s="21">
        <f>'Working Capital &amp; Assets'!B27</f>
        <v>10000</v>
      </c>
      <c r="R24" s="21">
        <f>'Funding &amp; Cap'!H83</f>
        <v>0</v>
      </c>
      <c r="S24" s="21">
        <f>'Working Capital &amp; Assets'!C27</f>
        <v>0</v>
      </c>
      <c r="T24" s="21">
        <f>'Working Capital &amp; Assets'!D27</f>
        <v>53404</v>
      </c>
      <c r="U24" s="21">
        <f>'Funding &amp; Cap'!B83</f>
        <v>0</v>
      </c>
      <c r="V24" s="21">
        <f>'Funding &amp; Cap'!C83</f>
        <v>0</v>
      </c>
      <c r="W24" s="21">
        <f>'Funding &amp; Cap'!D83</f>
        <v>0</v>
      </c>
      <c r="X24" s="21">
        <f>'Working Capital &amp; Assets'!E27</f>
        <v>39788</v>
      </c>
      <c r="Y24" s="21">
        <f>'Working Capital &amp; Assets'!F27</f>
        <v>0</v>
      </c>
      <c r="Z24" s="21">
        <f>'Working Capital &amp; Assets'!G27</f>
        <v>18153</v>
      </c>
      <c r="AA24" s="21">
        <f>'Working Capital &amp; Assets'!H27</f>
        <v>33644</v>
      </c>
      <c r="AB24" s="21">
        <f>'Working Capital &amp; Assets'!I27</f>
        <v>154750</v>
      </c>
      <c r="AC24" s="21">
        <f>'Working Capital &amp; Assets'!J27</f>
        <v>36307</v>
      </c>
      <c r="AD24" s="21">
        <f>MIN(AE24,SUMIFS($W$2:$W$181,$A$2:$A$181,"&gt;"&amp;A24,$A$2:$A$181,"&lt;="&amp;EDATE(A24,12))+IF(AND(DATE(2033,12,1)&gt;A24,DATE(2033,12,1)&lt;=EDATE(A24,12)),'Funding &amp; Cap'!$B$200,0))</f>
        <v>0</v>
      </c>
      <c r="AE24" s="22">
        <f>'Funding &amp; Cap'!Q83</f>
        <v>0</v>
      </c>
      <c r="AF24" s="22">
        <f t="shared" si="2"/>
        <v>1056137</v>
      </c>
      <c r="AG24" s="22">
        <f t="shared" si="3"/>
        <v>-268138</v>
      </c>
      <c r="AH24" s="23">
        <f>'Revenue &amp; Demand'!P188</f>
        <v>0</v>
      </c>
      <c r="AI24" s="24">
        <f>'Revenue &amp; Demand'!Q188</f>
        <v>0</v>
      </c>
      <c r="AJ24" s="24">
        <f>'Manufacturing &amp; Production'!J228</f>
        <v>0</v>
      </c>
      <c r="AK24" s="22"/>
      <c r="AL24" s="22"/>
      <c r="AM24" s="22"/>
    </row>
    <row r="25" ht="19.5" customHeight="1">
      <c r="A25" s="15">
        <v>43800.0</v>
      </c>
      <c r="B25" s="18">
        <f t="shared" si="1"/>
        <v>2019</v>
      </c>
      <c r="C25" s="19">
        <f>'Revenue &amp; Demand'!C189</f>
        <v>0</v>
      </c>
      <c r="D25" s="19">
        <f>'Revenue &amp; Demand'!F189</f>
        <v>1</v>
      </c>
      <c r="E25" s="21">
        <f>'Revenue &amp; Demand'!E189</f>
        <v>0</v>
      </c>
      <c r="F25" s="21">
        <f>'Revenue &amp; Demand'!H189</f>
        <v>27575</v>
      </c>
      <c r="G25" s="21">
        <f>'Revenue &amp; Demand'!J189</f>
        <v>21326</v>
      </c>
      <c r="H25" s="21">
        <f>'Manufacturing &amp; Production'!F229</f>
        <v>0</v>
      </c>
      <c r="I25" s="21">
        <f>'Manufacturing &amp; Production'!G229</f>
        <v>0</v>
      </c>
      <c r="J25" s="21">
        <f>'Workforce &amp; Expenses'!M281</f>
        <v>11030</v>
      </c>
      <c r="K25" s="21">
        <f>'Manufacturing &amp; Production'!K229</f>
        <v>2134</v>
      </c>
      <c r="L25" s="21">
        <f>'Clinical Trials &amp; R&amp;D'!F229</f>
        <v>151659</v>
      </c>
      <c r="M25" s="21">
        <f>'Clinical Trials &amp; R&amp;D'!I229</f>
        <v>0</v>
      </c>
      <c r="N25" s="21">
        <f>'Workforce &amp; Expenses'!P281</f>
        <v>26021</v>
      </c>
      <c r="O25" s="21">
        <f>'Workforce &amp; Expenses'!S281</f>
        <v>73443</v>
      </c>
      <c r="P25" s="21">
        <f>'Funding &amp; Cap'!F84</f>
        <v>9143</v>
      </c>
      <c r="Q25" s="21">
        <f>'Working Capital &amp; Assets'!B28</f>
        <v>10000</v>
      </c>
      <c r="R25" s="21">
        <f>'Funding &amp; Cap'!H84</f>
        <v>0</v>
      </c>
      <c r="S25" s="21">
        <f>'Working Capital &amp; Assets'!C28</f>
        <v>0</v>
      </c>
      <c r="T25" s="21">
        <f>'Working Capital &amp; Assets'!D28</f>
        <v>53991</v>
      </c>
      <c r="U25" s="21">
        <f>'Funding &amp; Cap'!B84</f>
        <v>0</v>
      </c>
      <c r="V25" s="21">
        <f>'Funding &amp; Cap'!C84</f>
        <v>0</v>
      </c>
      <c r="W25" s="21">
        <f>'Funding &amp; Cap'!D84</f>
        <v>0</v>
      </c>
      <c r="X25" s="21">
        <f>'Working Capital &amp; Assets'!E28</f>
        <v>43836</v>
      </c>
      <c r="Y25" s="21">
        <f>'Working Capital &amp; Assets'!F28</f>
        <v>0</v>
      </c>
      <c r="Z25" s="21">
        <f>'Working Capital &amp; Assets'!G28</f>
        <v>20000</v>
      </c>
      <c r="AA25" s="21">
        <f>'Working Capital &amp; Assets'!H28</f>
        <v>36199</v>
      </c>
      <c r="AB25" s="21">
        <f>'Working Capital &amp; Assets'!I28</f>
        <v>162000</v>
      </c>
      <c r="AC25" s="21">
        <f>'Working Capital &amp; Assets'!J28</f>
        <v>40000</v>
      </c>
      <c r="AD25" s="21">
        <f>MIN(AE25,SUMIFS($W$2:$W$181,$A$2:$A$181,"&gt;"&amp;A25,$A$2:$A$181,"&lt;="&amp;EDATE(A25,12))+IF(AND(DATE(2033,12,1)&gt;A25,DATE(2033,12,1)&lt;=EDATE(A25,12)),'Funding &amp; Cap'!$B$200,0))</f>
        <v>0</v>
      </c>
      <c r="AE25" s="22">
        <f>'Funding &amp; Cap'!Q84</f>
        <v>0</v>
      </c>
      <c r="AF25" s="22">
        <f t="shared" si="2"/>
        <v>794363</v>
      </c>
      <c r="AG25" s="22">
        <f t="shared" si="3"/>
        <v>-261774</v>
      </c>
      <c r="AH25" s="23">
        <f>'Revenue &amp; Demand'!P189</f>
        <v>0</v>
      </c>
      <c r="AI25" s="24">
        <f>'Revenue &amp; Demand'!Q189</f>
        <v>0</v>
      </c>
      <c r="AJ25" s="24">
        <f>'Manufacturing &amp; Production'!J229</f>
        <v>0</v>
      </c>
      <c r="AK25" s="22"/>
      <c r="AL25" s="22"/>
      <c r="AM25" s="22"/>
    </row>
    <row r="26" ht="19.5" customHeight="1">
      <c r="A26" s="15">
        <v>43831.0</v>
      </c>
      <c r="B26" s="18">
        <f t="shared" si="1"/>
        <v>2020</v>
      </c>
      <c r="C26" s="19">
        <f>'Revenue &amp; Demand'!C190</f>
        <v>0</v>
      </c>
      <c r="D26" s="19">
        <f>'Revenue &amp; Demand'!F190</f>
        <v>1</v>
      </c>
      <c r="E26" s="21">
        <f>'Revenue &amp; Demand'!E190</f>
        <v>0</v>
      </c>
      <c r="F26" s="21">
        <f>'Revenue &amp; Demand'!H190</f>
        <v>84256</v>
      </c>
      <c r="G26" s="21">
        <f>'Revenue &amp; Demand'!J190</f>
        <v>8824</v>
      </c>
      <c r="H26" s="21">
        <f>'Manufacturing &amp; Production'!F230</f>
        <v>0</v>
      </c>
      <c r="I26" s="21">
        <f>'Manufacturing &amp; Production'!G230</f>
        <v>0</v>
      </c>
      <c r="J26" s="21">
        <f>'Workforce &amp; Expenses'!M282</f>
        <v>37073</v>
      </c>
      <c r="K26" s="21">
        <f>'Manufacturing &amp; Production'!K230</f>
        <v>882</v>
      </c>
      <c r="L26" s="21">
        <f>'Clinical Trials &amp; R&amp;D'!F230</f>
        <v>231705</v>
      </c>
      <c r="M26" s="21">
        <f>'Clinical Trials &amp; R&amp;D'!I230</f>
        <v>0</v>
      </c>
      <c r="N26" s="21">
        <f>'Workforce &amp; Expenses'!P282</f>
        <v>14931</v>
      </c>
      <c r="O26" s="21">
        <f>'Workforce &amp; Expenses'!S282</f>
        <v>122788</v>
      </c>
      <c r="P26" s="21">
        <f>'Funding &amp; Cap'!F85</f>
        <v>18053</v>
      </c>
      <c r="Q26" s="21">
        <f>'Working Capital &amp; Assets'!B29</f>
        <v>20000</v>
      </c>
      <c r="R26" s="21">
        <f>'Funding &amp; Cap'!H85</f>
        <v>0</v>
      </c>
      <c r="S26" s="21">
        <f>'Working Capital &amp; Assets'!C29</f>
        <v>0</v>
      </c>
      <c r="T26" s="21">
        <f>'Working Capital &amp; Assets'!D29</f>
        <v>79225</v>
      </c>
      <c r="U26" s="21">
        <f>'Funding &amp; Cap'!B85</f>
        <v>0</v>
      </c>
      <c r="V26" s="21">
        <f>'Funding &amp; Cap'!C85</f>
        <v>0</v>
      </c>
      <c r="W26" s="21">
        <f>'Funding &amp; Cap'!D85</f>
        <v>0</v>
      </c>
      <c r="X26" s="21">
        <f>'Working Capital &amp; Assets'!E29</f>
        <v>53337</v>
      </c>
      <c r="Y26" s="21">
        <f>'Working Capital &amp; Assets'!F29</f>
        <v>0</v>
      </c>
      <c r="Z26" s="21">
        <f>'Working Capital &amp; Assets'!G29</f>
        <v>24335</v>
      </c>
      <c r="AA26" s="21">
        <f>'Working Capital &amp; Assets'!H29</f>
        <v>43503</v>
      </c>
      <c r="AB26" s="21">
        <f>'Working Capital &amp; Assets'!I29</f>
        <v>178555</v>
      </c>
      <c r="AC26" s="21">
        <f>'Working Capital &amp; Assets'!J29</f>
        <v>51071</v>
      </c>
      <c r="AD26" s="21">
        <f>MIN(AE26,SUMIFS($W$2:$W$181,$A$2:$A$181,"&gt;"&amp;A26,$A$2:$A$181,"&lt;="&amp;EDATE(A26,12))+IF(AND(DATE(2033,12,1)&gt;A26,DATE(2033,12,1)&lt;=EDATE(A26,12)),'Funding &amp; Cap'!$B$200,0))</f>
        <v>0</v>
      </c>
      <c r="AE26" s="22">
        <f>'Funding &amp; Cap'!Q85</f>
        <v>0</v>
      </c>
      <c r="AF26" s="22">
        <f t="shared" si="2"/>
        <v>421933</v>
      </c>
      <c r="AG26" s="22">
        <f t="shared" si="3"/>
        <v>-372430</v>
      </c>
      <c r="AH26" s="23">
        <f>'Revenue &amp; Demand'!P190</f>
        <v>0</v>
      </c>
      <c r="AI26" s="24">
        <f>'Revenue &amp; Demand'!Q190</f>
        <v>0</v>
      </c>
      <c r="AJ26" s="24">
        <f>'Manufacturing &amp; Production'!J230</f>
        <v>0</v>
      </c>
      <c r="AK26" s="22"/>
      <c r="AL26" s="22"/>
      <c r="AM26" s="22"/>
    </row>
    <row r="27" ht="19.5" customHeight="1">
      <c r="A27" s="15">
        <v>43862.0</v>
      </c>
      <c r="B27" s="18">
        <f t="shared" si="1"/>
        <v>2020</v>
      </c>
      <c r="C27" s="19">
        <f>'Revenue &amp; Demand'!C191</f>
        <v>0</v>
      </c>
      <c r="D27" s="19">
        <f>'Revenue &amp; Demand'!F191</f>
        <v>1</v>
      </c>
      <c r="E27" s="21">
        <f>'Revenue &amp; Demand'!E191</f>
        <v>0</v>
      </c>
      <c r="F27" s="21">
        <f>'Revenue &amp; Demand'!H191</f>
        <v>86116</v>
      </c>
      <c r="G27" s="21">
        <f>'Revenue &amp; Demand'!J191</f>
        <v>8824</v>
      </c>
      <c r="H27" s="21">
        <f>'Manufacturing &amp; Production'!F231</f>
        <v>0</v>
      </c>
      <c r="I27" s="21">
        <f>'Manufacturing &amp; Production'!G231</f>
        <v>0</v>
      </c>
      <c r="J27" s="21">
        <f>'Workforce &amp; Expenses'!M283</f>
        <v>37891</v>
      </c>
      <c r="K27" s="21">
        <f>'Manufacturing &amp; Production'!K231</f>
        <v>882</v>
      </c>
      <c r="L27" s="21">
        <f>'Clinical Trials &amp; R&amp;D'!F231</f>
        <v>236820</v>
      </c>
      <c r="M27" s="21">
        <f>'Clinical Trials &amp; R&amp;D'!I231</f>
        <v>0</v>
      </c>
      <c r="N27" s="21">
        <f>'Workforce &amp; Expenses'!P283</f>
        <v>18294</v>
      </c>
      <c r="O27" s="21">
        <f>'Workforce &amp; Expenses'!S283</f>
        <v>125376</v>
      </c>
      <c r="P27" s="21">
        <f>'Funding &amp; Cap'!F86</f>
        <v>18407</v>
      </c>
      <c r="Q27" s="21">
        <f>'Working Capital &amp; Assets'!B30</f>
        <v>20000</v>
      </c>
      <c r="R27" s="21">
        <f>'Funding &amp; Cap'!H86</f>
        <v>0</v>
      </c>
      <c r="S27" s="21">
        <f>'Working Capital &amp; Assets'!C30</f>
        <v>0</v>
      </c>
      <c r="T27" s="21">
        <f>'Working Capital &amp; Assets'!D30</f>
        <v>80203</v>
      </c>
      <c r="U27" s="21">
        <f>'Funding &amp; Cap'!B86</f>
        <v>0</v>
      </c>
      <c r="V27" s="21">
        <f>'Funding &amp; Cap'!C86</f>
        <v>0</v>
      </c>
      <c r="W27" s="21">
        <f>'Funding &amp; Cap'!D86</f>
        <v>0</v>
      </c>
      <c r="X27" s="21">
        <f>'Working Capital &amp; Assets'!E30</f>
        <v>62495</v>
      </c>
      <c r="Y27" s="21">
        <f>'Working Capital &amp; Assets'!F30</f>
        <v>0</v>
      </c>
      <c r="Z27" s="21">
        <f>'Working Capital &amp; Assets'!G30</f>
        <v>28513</v>
      </c>
      <c r="AA27" s="21">
        <f>'Working Capital &amp; Assets'!H30</f>
        <v>50538</v>
      </c>
      <c r="AB27" s="21">
        <f>'Working Capital &amp; Assets'!I30</f>
        <v>194324</v>
      </c>
      <c r="AC27" s="21">
        <f>'Working Capital &amp; Assets'!J30</f>
        <v>61765</v>
      </c>
      <c r="AD27" s="21">
        <f>MIN(AE27,SUMIFS($W$2:$W$181,$A$2:$A$181,"&gt;"&amp;A27,$A$2:$A$181,"&lt;="&amp;EDATE(A27,12))+IF(AND(DATE(2033,12,1)&gt;A27,DATE(2033,12,1)&lt;=EDATE(A27,12)),'Funding &amp; Cap'!$B$200,0))</f>
        <v>0</v>
      </c>
      <c r="AE27" s="22">
        <f>'Funding &amp; Cap'!Q86</f>
        <v>0</v>
      </c>
      <c r="AF27" s="22">
        <f t="shared" si="2"/>
        <v>37569</v>
      </c>
      <c r="AG27" s="22">
        <f t="shared" si="3"/>
        <v>-384364</v>
      </c>
      <c r="AH27" s="23">
        <f>'Revenue &amp; Demand'!P191</f>
        <v>0</v>
      </c>
      <c r="AI27" s="24">
        <f>'Revenue &amp; Demand'!Q191</f>
        <v>0</v>
      </c>
      <c r="AJ27" s="24">
        <f>'Manufacturing &amp; Production'!J231</f>
        <v>0</v>
      </c>
      <c r="AK27" s="22"/>
      <c r="AL27" s="22"/>
      <c r="AM27" s="22"/>
    </row>
    <row r="28" ht="19.5" customHeight="1">
      <c r="A28" s="15">
        <v>43891.0</v>
      </c>
      <c r="B28" s="18">
        <f t="shared" si="1"/>
        <v>2020</v>
      </c>
      <c r="C28" s="19">
        <f>'Revenue &amp; Demand'!C192</f>
        <v>0</v>
      </c>
      <c r="D28" s="19">
        <f>'Revenue &amp; Demand'!F192</f>
        <v>2</v>
      </c>
      <c r="E28" s="21">
        <f>'Revenue &amp; Demand'!E192</f>
        <v>0</v>
      </c>
      <c r="F28" s="21">
        <f>'Revenue &amp; Demand'!H192</f>
        <v>86112</v>
      </c>
      <c r="G28" s="21">
        <f>'Revenue &amp; Demand'!J192</f>
        <v>55147</v>
      </c>
      <c r="H28" s="21">
        <f>'Manufacturing &amp; Production'!F232</f>
        <v>0</v>
      </c>
      <c r="I28" s="21">
        <f>'Manufacturing &amp; Production'!G232</f>
        <v>0</v>
      </c>
      <c r="J28" s="21">
        <f>'Workforce &amp; Expenses'!M284</f>
        <v>37889</v>
      </c>
      <c r="K28" s="21">
        <f>'Manufacturing &amp; Production'!K232</f>
        <v>5515</v>
      </c>
      <c r="L28" s="21">
        <f>'Clinical Trials &amp; R&amp;D'!F232</f>
        <v>236807</v>
      </c>
      <c r="M28" s="21">
        <f>'Clinical Trials &amp; R&amp;D'!I232</f>
        <v>0</v>
      </c>
      <c r="N28" s="21">
        <f>'Workforce &amp; Expenses'!P284</f>
        <v>21641</v>
      </c>
      <c r="O28" s="21">
        <f>'Workforce &amp; Expenses'!S284</f>
        <v>126853</v>
      </c>
      <c r="P28" s="21">
        <f>'Funding &amp; Cap'!F87</f>
        <v>18761</v>
      </c>
      <c r="Q28" s="21">
        <f>'Working Capital &amp; Assets'!B31</f>
        <v>20000</v>
      </c>
      <c r="R28" s="21">
        <f>'Funding &amp; Cap'!H87</f>
        <v>0</v>
      </c>
      <c r="S28" s="21">
        <f>'Working Capital &amp; Assets'!C31</f>
        <v>0</v>
      </c>
      <c r="T28" s="21">
        <f>'Working Capital &amp; Assets'!D31</f>
        <v>198552</v>
      </c>
      <c r="U28" s="21">
        <f>'Funding &amp; Cap'!B87</f>
        <v>24000000</v>
      </c>
      <c r="V28" s="21">
        <f>'Funding &amp; Cap'!C87</f>
        <v>0</v>
      </c>
      <c r="W28" s="21">
        <f>'Funding &amp; Cap'!D87</f>
        <v>0</v>
      </c>
      <c r="X28" s="21">
        <f>'Working Capital &amp; Assets'!E31</f>
        <v>71058</v>
      </c>
      <c r="Y28" s="21">
        <f>'Working Capital &amp; Assets'!F31</f>
        <v>0</v>
      </c>
      <c r="Z28" s="21">
        <f>'Working Capital &amp; Assets'!G31</f>
        <v>32420</v>
      </c>
      <c r="AA28" s="21">
        <f>'Working Capital &amp; Assets'!H31</f>
        <v>57106</v>
      </c>
      <c r="AB28" s="21">
        <f>'Working Capital &amp; Assets'!I31</f>
        <v>208734</v>
      </c>
      <c r="AC28" s="21">
        <f>'Working Capital &amp; Assets'!J31</f>
        <v>71808</v>
      </c>
      <c r="AD28" s="21">
        <f>MIN(AE28,SUMIFS($W$2:$W$181,$A$2:$A$181,"&gt;"&amp;A28,$A$2:$A$181,"&lt;="&amp;EDATE(A28,12))+IF(AND(DATE(2033,12,1)&gt;A28,DATE(2033,12,1)&lt;=EDATE(A28,12)),'Funding &amp; Cap'!$B$200,0))</f>
        <v>0</v>
      </c>
      <c r="AE28" s="22">
        <f>'Funding &amp; Cap'!Q87</f>
        <v>0</v>
      </c>
      <c r="AF28" s="22">
        <f t="shared" si="2"/>
        <v>23570122</v>
      </c>
      <c r="AG28" s="22">
        <f t="shared" si="3"/>
        <v>-467447</v>
      </c>
      <c r="AH28" s="23">
        <f>'Revenue &amp; Demand'!P192</f>
        <v>0</v>
      </c>
      <c r="AI28" s="24">
        <f>'Revenue &amp; Demand'!Q192</f>
        <v>0</v>
      </c>
      <c r="AJ28" s="24">
        <f>'Manufacturing &amp; Production'!J232</f>
        <v>0</v>
      </c>
      <c r="AK28" s="22"/>
      <c r="AL28" s="22"/>
      <c r="AM28" s="22"/>
    </row>
    <row r="29" ht="19.5" customHeight="1">
      <c r="A29" s="15">
        <v>43922.0</v>
      </c>
      <c r="B29" s="18">
        <f t="shared" si="1"/>
        <v>2020</v>
      </c>
      <c r="C29" s="19">
        <f>'Revenue &amp; Demand'!C193</f>
        <v>0</v>
      </c>
      <c r="D29" s="19">
        <f>'Revenue &amp; Demand'!F193</f>
        <v>2</v>
      </c>
      <c r="E29" s="21">
        <f>'Revenue &amp; Demand'!E193</f>
        <v>0</v>
      </c>
      <c r="F29" s="21">
        <f>'Revenue &amp; Demand'!H193</f>
        <v>84493</v>
      </c>
      <c r="G29" s="21">
        <f>'Revenue &amp; Demand'!J193</f>
        <v>8824</v>
      </c>
      <c r="H29" s="21">
        <f>'Manufacturing &amp; Production'!F233</f>
        <v>0</v>
      </c>
      <c r="I29" s="21">
        <f>'Manufacturing &amp; Production'!G233</f>
        <v>0</v>
      </c>
      <c r="J29" s="21">
        <f>'Workforce &amp; Expenses'!M285</f>
        <v>37177</v>
      </c>
      <c r="K29" s="21">
        <f>'Manufacturing &amp; Production'!K233</f>
        <v>882</v>
      </c>
      <c r="L29" s="21">
        <f>'Clinical Trials &amp; R&amp;D'!F233</f>
        <v>232355</v>
      </c>
      <c r="M29" s="21">
        <f>'Clinical Trials &amp; R&amp;D'!I233</f>
        <v>0</v>
      </c>
      <c r="N29" s="21">
        <f>'Workforce &amp; Expenses'!P285</f>
        <v>24975</v>
      </c>
      <c r="O29" s="21">
        <f>'Workforce &amp; Expenses'!S285</f>
        <v>127049</v>
      </c>
      <c r="P29" s="21">
        <f>'Funding &amp; Cap'!F88</f>
        <v>19115</v>
      </c>
      <c r="Q29" s="21">
        <f>'Working Capital &amp; Assets'!B32</f>
        <v>20000</v>
      </c>
      <c r="R29" s="21">
        <f>'Funding &amp; Cap'!H88</f>
        <v>0</v>
      </c>
      <c r="S29" s="21">
        <f>'Working Capital &amp; Assets'!C32</f>
        <v>0</v>
      </c>
      <c r="T29" s="21">
        <f>'Working Capital &amp; Assets'!D32</f>
        <v>82160</v>
      </c>
      <c r="U29" s="21">
        <f>'Funding &amp; Cap'!B88</f>
        <v>0</v>
      </c>
      <c r="V29" s="21">
        <f>'Funding &amp; Cap'!C88</f>
        <v>0</v>
      </c>
      <c r="W29" s="21">
        <f>'Funding &amp; Cap'!D88</f>
        <v>0</v>
      </c>
      <c r="X29" s="21">
        <f>'Working Capital &amp; Assets'!E32</f>
        <v>78933</v>
      </c>
      <c r="Y29" s="21">
        <f>'Working Capital &amp; Assets'!F32</f>
        <v>0</v>
      </c>
      <c r="Z29" s="21">
        <f>'Working Capital &amp; Assets'!G32</f>
        <v>36013</v>
      </c>
      <c r="AA29" s="21">
        <f>'Working Capital &amp; Assets'!H32</f>
        <v>63135</v>
      </c>
      <c r="AB29" s="21">
        <f>'Working Capital &amp; Assets'!I32</f>
        <v>221574</v>
      </c>
      <c r="AC29" s="21">
        <f>'Working Capital &amp; Assets'!J32</f>
        <v>81098</v>
      </c>
      <c r="AD29" s="21">
        <f>MIN(AE29,SUMIFS($W$2:$W$181,$A$2:$A$181,"&gt;"&amp;A29,$A$2:$A$181,"&lt;="&amp;EDATE(A29,12))+IF(AND(DATE(2033,12,1)&gt;A29,DATE(2033,12,1)&lt;=EDATE(A29,12)),'Funding &amp; Cap'!$B$200,0))</f>
        <v>0</v>
      </c>
      <c r="AE29" s="22">
        <f>'Funding &amp; Cap'!Q88</f>
        <v>0</v>
      </c>
      <c r="AF29" s="22">
        <f t="shared" si="2"/>
        <v>23175532</v>
      </c>
      <c r="AG29" s="22">
        <f t="shared" si="3"/>
        <v>-394590</v>
      </c>
      <c r="AH29" s="23">
        <f>'Revenue &amp; Demand'!P193</f>
        <v>0</v>
      </c>
      <c r="AI29" s="24">
        <f>'Revenue &amp; Demand'!Q193</f>
        <v>0</v>
      </c>
      <c r="AJ29" s="24">
        <f>'Manufacturing &amp; Production'!J233</f>
        <v>0</v>
      </c>
      <c r="AK29" s="22"/>
      <c r="AL29" s="22"/>
      <c r="AM29" s="22"/>
    </row>
    <row r="30" ht="19.5" customHeight="1">
      <c r="A30" s="15">
        <v>43952.0</v>
      </c>
      <c r="B30" s="18">
        <f t="shared" si="1"/>
        <v>2020</v>
      </c>
      <c r="C30" s="19">
        <f>'Revenue &amp; Demand'!C194</f>
        <v>0</v>
      </c>
      <c r="D30" s="19">
        <f>'Revenue &amp; Demand'!F194</f>
        <v>2</v>
      </c>
      <c r="E30" s="21">
        <f>'Revenue &amp; Demand'!E194</f>
        <v>0</v>
      </c>
      <c r="F30" s="21">
        <f>'Revenue &amp; Demand'!H194</f>
        <v>81942</v>
      </c>
      <c r="G30" s="21">
        <f>'Revenue &amp; Demand'!J194</f>
        <v>8824</v>
      </c>
      <c r="H30" s="21">
        <f>'Manufacturing &amp; Production'!F234</f>
        <v>0</v>
      </c>
      <c r="I30" s="21">
        <f>'Manufacturing &amp; Production'!G234</f>
        <v>0</v>
      </c>
      <c r="J30" s="21">
        <f>'Workforce &amp; Expenses'!M286</f>
        <v>36054</v>
      </c>
      <c r="K30" s="21">
        <f>'Manufacturing &amp; Production'!K234</f>
        <v>882</v>
      </c>
      <c r="L30" s="21">
        <f>'Clinical Trials &amp; R&amp;D'!F234</f>
        <v>225340</v>
      </c>
      <c r="M30" s="21">
        <f>'Clinical Trials &amp; R&amp;D'!I234</f>
        <v>0</v>
      </c>
      <c r="N30" s="21">
        <f>'Workforce &amp; Expenses'!P286</f>
        <v>28301</v>
      </c>
      <c r="O30" s="21">
        <f>'Workforce &amp; Expenses'!S286</f>
        <v>126136</v>
      </c>
      <c r="P30" s="21">
        <f>'Funding &amp; Cap'!F89</f>
        <v>19469</v>
      </c>
      <c r="Q30" s="21">
        <f>'Working Capital &amp; Assets'!B33</f>
        <v>20000</v>
      </c>
      <c r="R30" s="21">
        <f>'Funding &amp; Cap'!H89</f>
        <v>0</v>
      </c>
      <c r="S30" s="21">
        <f>'Working Capital &amp; Assets'!C33</f>
        <v>0</v>
      </c>
      <c r="T30" s="21">
        <f>'Working Capital &amp; Assets'!D33</f>
        <v>83138</v>
      </c>
      <c r="U30" s="21">
        <f>'Funding &amp; Cap'!B89</f>
        <v>0</v>
      </c>
      <c r="V30" s="21">
        <f>'Funding &amp; Cap'!C89</f>
        <v>0</v>
      </c>
      <c r="W30" s="21">
        <f>'Funding &amp; Cap'!D89</f>
        <v>0</v>
      </c>
      <c r="X30" s="21">
        <f>'Working Capital &amp; Assets'!E33</f>
        <v>86214</v>
      </c>
      <c r="Y30" s="21">
        <f>'Working Capital &amp; Assets'!F33</f>
        <v>0</v>
      </c>
      <c r="Z30" s="21">
        <f>'Working Capital &amp; Assets'!G33</f>
        <v>39335</v>
      </c>
      <c r="AA30" s="21">
        <f>'Working Capital &amp; Assets'!H33</f>
        <v>68697</v>
      </c>
      <c r="AB30" s="21">
        <f>'Working Capital &amp; Assets'!I33</f>
        <v>233055</v>
      </c>
      <c r="AC30" s="21">
        <f>'Working Capital &amp; Assets'!J33</f>
        <v>89737</v>
      </c>
      <c r="AD30" s="21">
        <f>MIN(AE30,SUMIFS($W$2:$W$181,$A$2:$A$181,"&gt;"&amp;A30,$A$2:$A$181,"&lt;="&amp;EDATE(A30,12))+IF(AND(DATE(2033,12,1)&gt;A30,DATE(2033,12,1)&lt;=EDATE(A30,12)),'Funding &amp; Cap'!$B$200,0))</f>
        <v>0</v>
      </c>
      <c r="AE30" s="22">
        <f>'Funding &amp; Cap'!Q89</f>
        <v>0</v>
      </c>
      <c r="AF30" s="22">
        <f t="shared" si="2"/>
        <v>22781526</v>
      </c>
      <c r="AG30" s="22">
        <f t="shared" si="3"/>
        <v>-394006</v>
      </c>
      <c r="AH30" s="23">
        <f>'Revenue &amp; Demand'!P194</f>
        <v>0</v>
      </c>
      <c r="AI30" s="24">
        <f>'Revenue &amp; Demand'!Q194</f>
        <v>0</v>
      </c>
      <c r="AJ30" s="24">
        <f>'Manufacturing &amp; Production'!J234</f>
        <v>0</v>
      </c>
      <c r="AK30" s="22"/>
      <c r="AL30" s="22"/>
      <c r="AM30" s="22"/>
    </row>
    <row r="31" ht="19.5" customHeight="1">
      <c r="A31" s="15">
        <v>43983.0</v>
      </c>
      <c r="B31" s="18">
        <f t="shared" si="1"/>
        <v>2020</v>
      </c>
      <c r="C31" s="19">
        <f>'Revenue &amp; Demand'!C195</f>
        <v>0</v>
      </c>
      <c r="D31" s="19">
        <f>'Revenue &amp; Demand'!F195</f>
        <v>2</v>
      </c>
      <c r="E31" s="21">
        <f>'Revenue &amp; Demand'!E195</f>
        <v>0</v>
      </c>
      <c r="F31" s="21">
        <f>'Revenue &amp; Demand'!H195</f>
        <v>79391</v>
      </c>
      <c r="G31" s="21">
        <f>'Revenue &amp; Demand'!J195</f>
        <v>55147</v>
      </c>
      <c r="H31" s="21">
        <f>'Manufacturing &amp; Production'!F235</f>
        <v>0</v>
      </c>
      <c r="I31" s="21">
        <f>'Manufacturing &amp; Production'!G235</f>
        <v>0</v>
      </c>
      <c r="J31" s="21">
        <f>'Workforce &amp; Expenses'!M287</f>
        <v>34932</v>
      </c>
      <c r="K31" s="21">
        <f>'Manufacturing &amp; Production'!K235</f>
        <v>5515</v>
      </c>
      <c r="L31" s="21">
        <f>'Clinical Trials &amp; R&amp;D'!F235</f>
        <v>218325</v>
      </c>
      <c r="M31" s="21">
        <f>'Clinical Trials &amp; R&amp;D'!I235</f>
        <v>0</v>
      </c>
      <c r="N31" s="21">
        <f>'Workforce &amp; Expenses'!P287</f>
        <v>31627</v>
      </c>
      <c r="O31" s="21">
        <f>'Workforce &amp; Expenses'!S287</f>
        <v>124582</v>
      </c>
      <c r="P31" s="21">
        <f>'Funding &amp; Cap'!F90</f>
        <v>19823</v>
      </c>
      <c r="Q31" s="21">
        <f>'Working Capital &amp; Assets'!B34</f>
        <v>20000</v>
      </c>
      <c r="R31" s="21">
        <f>'Funding &amp; Cap'!H90</f>
        <v>0</v>
      </c>
      <c r="S31" s="21">
        <f>'Working Capital &amp; Assets'!C34</f>
        <v>0</v>
      </c>
      <c r="T31" s="21">
        <f>'Working Capital &amp; Assets'!D34</f>
        <v>84116</v>
      </c>
      <c r="U31" s="21">
        <f>'Funding &amp; Cap'!B90</f>
        <v>0</v>
      </c>
      <c r="V31" s="21">
        <f>'Funding &amp; Cap'!C90</f>
        <v>0</v>
      </c>
      <c r="W31" s="21">
        <f>'Funding &amp; Cap'!D90</f>
        <v>0</v>
      </c>
      <c r="X31" s="21">
        <f>'Working Capital &amp; Assets'!E34</f>
        <v>93151</v>
      </c>
      <c r="Y31" s="21">
        <f>'Working Capital &amp; Assets'!F34</f>
        <v>0</v>
      </c>
      <c r="Z31" s="21">
        <f>'Working Capital &amp; Assets'!G34</f>
        <v>42500</v>
      </c>
      <c r="AA31" s="21">
        <f>'Working Capital &amp; Assets'!H34</f>
        <v>73990</v>
      </c>
      <c r="AB31" s="21">
        <f>'Working Capital &amp; Assets'!I34</f>
        <v>243750</v>
      </c>
      <c r="AC31" s="21">
        <f>'Working Capital &amp; Assets'!J34</f>
        <v>98000</v>
      </c>
      <c r="AD31" s="21">
        <f>MIN(AE31,SUMIFS($W$2:$W$181,$A$2:$A$181,"&gt;"&amp;A31,$A$2:$A$181,"&lt;="&amp;EDATE(A31,12))+IF(AND(DATE(2033,12,1)&gt;A31,DATE(2033,12,1)&lt;=EDATE(A31,12)),'Funding &amp; Cap'!$B$200,0))</f>
        <v>0</v>
      </c>
      <c r="AE31" s="22">
        <f>'Funding &amp; Cap'!Q90</f>
        <v>0</v>
      </c>
      <c r="AF31" s="22">
        <f t="shared" si="2"/>
        <v>22431116</v>
      </c>
      <c r="AG31" s="22">
        <f t="shared" si="3"/>
        <v>-350410</v>
      </c>
      <c r="AH31" s="23">
        <f>'Revenue &amp; Demand'!P195</f>
        <v>0</v>
      </c>
      <c r="AI31" s="24">
        <f>'Revenue &amp; Demand'!Q195</f>
        <v>0</v>
      </c>
      <c r="AJ31" s="24">
        <f>'Manufacturing &amp; Production'!J235</f>
        <v>0</v>
      </c>
      <c r="AK31" s="22"/>
      <c r="AL31" s="22"/>
      <c r="AM31" s="22"/>
    </row>
    <row r="32" ht="19.5" customHeight="1">
      <c r="A32" s="15">
        <v>44013.0</v>
      </c>
      <c r="B32" s="18">
        <f t="shared" si="1"/>
        <v>2020</v>
      </c>
      <c r="C32" s="19">
        <f>'Revenue &amp; Demand'!C196</f>
        <v>0</v>
      </c>
      <c r="D32" s="19">
        <f>'Revenue &amp; Demand'!F196</f>
        <v>2</v>
      </c>
      <c r="E32" s="21">
        <f>'Revenue &amp; Demand'!E196</f>
        <v>0</v>
      </c>
      <c r="F32" s="21">
        <f>'Revenue &amp; Demand'!H196</f>
        <v>77772</v>
      </c>
      <c r="G32" s="21">
        <f>'Revenue &amp; Demand'!J196</f>
        <v>8824</v>
      </c>
      <c r="H32" s="21">
        <f>'Manufacturing &amp; Production'!F236</f>
        <v>0</v>
      </c>
      <c r="I32" s="21">
        <f>'Manufacturing &amp; Production'!G236</f>
        <v>0</v>
      </c>
      <c r="J32" s="21">
        <f>'Workforce &amp; Expenses'!M288</f>
        <v>34220</v>
      </c>
      <c r="K32" s="21">
        <f>'Manufacturing &amp; Production'!K236</f>
        <v>882</v>
      </c>
      <c r="L32" s="21">
        <f>'Clinical Trials &amp; R&amp;D'!F236</f>
        <v>213873</v>
      </c>
      <c r="M32" s="21">
        <f>'Clinical Trials &amp; R&amp;D'!I236</f>
        <v>0</v>
      </c>
      <c r="N32" s="21">
        <f>'Workforce &amp; Expenses'!P288</f>
        <v>34960</v>
      </c>
      <c r="O32" s="21">
        <f>'Workforce &amp; Expenses'!S288</f>
        <v>123027</v>
      </c>
      <c r="P32" s="21">
        <f>'Funding &amp; Cap'!F91</f>
        <v>20177</v>
      </c>
      <c r="Q32" s="21">
        <f>'Working Capital &amp; Assets'!B35</f>
        <v>20000</v>
      </c>
      <c r="R32" s="21">
        <f>'Funding &amp; Cap'!H91</f>
        <v>0</v>
      </c>
      <c r="S32" s="21">
        <f>'Working Capital &amp; Assets'!C35</f>
        <v>0</v>
      </c>
      <c r="T32" s="21">
        <f>'Working Capital &amp; Assets'!D35</f>
        <v>85094</v>
      </c>
      <c r="U32" s="21">
        <f>'Funding &amp; Cap'!B91</f>
        <v>0</v>
      </c>
      <c r="V32" s="21">
        <f>'Funding &amp; Cap'!C91</f>
        <v>0</v>
      </c>
      <c r="W32" s="21">
        <f>'Funding &amp; Cap'!D91</f>
        <v>0</v>
      </c>
      <c r="X32" s="21">
        <f>'Working Capital &amp; Assets'!E35</f>
        <v>100088</v>
      </c>
      <c r="Y32" s="21">
        <f>'Working Capital &amp; Assets'!F35</f>
        <v>0</v>
      </c>
      <c r="Z32" s="21">
        <f>'Working Capital &amp; Assets'!G35</f>
        <v>45665</v>
      </c>
      <c r="AA32" s="21">
        <f>'Working Capital &amp; Assets'!H35</f>
        <v>79282</v>
      </c>
      <c r="AB32" s="21">
        <f>'Working Capital &amp; Assets'!I35</f>
        <v>254446</v>
      </c>
      <c r="AC32" s="21">
        <f>'Working Capital &amp; Assets'!J35</f>
        <v>106263</v>
      </c>
      <c r="AD32" s="21">
        <f>MIN(AE32,SUMIFS($W$2:$W$181,$A$2:$A$181,"&gt;"&amp;A32,$A$2:$A$181,"&lt;="&amp;EDATE(A32,12))+IF(AND(DATE(2033,12,1)&gt;A32,DATE(2033,12,1)&lt;=EDATE(A32,12)),'Funding &amp; Cap'!$B$200,0))</f>
        <v>0</v>
      </c>
      <c r="AE32" s="22">
        <f>'Funding &amp; Cap'!Q91</f>
        <v>0</v>
      </c>
      <c r="AF32" s="22">
        <f t="shared" si="2"/>
        <v>22039805</v>
      </c>
      <c r="AG32" s="22">
        <f t="shared" si="3"/>
        <v>-391311</v>
      </c>
      <c r="AH32" s="23">
        <f>'Revenue &amp; Demand'!P196</f>
        <v>0</v>
      </c>
      <c r="AI32" s="24">
        <f>'Revenue &amp; Demand'!Q196</f>
        <v>0</v>
      </c>
      <c r="AJ32" s="24">
        <f>'Manufacturing &amp; Production'!J236</f>
        <v>0</v>
      </c>
      <c r="AK32" s="22"/>
      <c r="AL32" s="22"/>
      <c r="AM32" s="22"/>
    </row>
    <row r="33" ht="19.5" customHeight="1">
      <c r="A33" s="15">
        <v>44044.0</v>
      </c>
      <c r="B33" s="18">
        <f t="shared" si="1"/>
        <v>2020</v>
      </c>
      <c r="C33" s="19">
        <f>'Revenue &amp; Demand'!C197</f>
        <v>0</v>
      </c>
      <c r="D33" s="19">
        <f>'Revenue &amp; Demand'!F197</f>
        <v>2</v>
      </c>
      <c r="E33" s="21">
        <f>'Revenue &amp; Demand'!E197</f>
        <v>0</v>
      </c>
      <c r="F33" s="21">
        <f>'Revenue &amp; Demand'!H197</f>
        <v>77767</v>
      </c>
      <c r="G33" s="21">
        <f>'Revenue &amp; Demand'!J197</f>
        <v>8824</v>
      </c>
      <c r="H33" s="21">
        <f>'Manufacturing &amp; Production'!F237</f>
        <v>0</v>
      </c>
      <c r="I33" s="21">
        <f>'Manufacturing &amp; Production'!G237</f>
        <v>0</v>
      </c>
      <c r="J33" s="21">
        <f>'Workforce &amp; Expenses'!M289</f>
        <v>34218</v>
      </c>
      <c r="K33" s="21">
        <f>'Manufacturing &amp; Production'!K237</f>
        <v>882</v>
      </c>
      <c r="L33" s="21">
        <f>'Clinical Trials &amp; R&amp;D'!F237</f>
        <v>213861</v>
      </c>
      <c r="M33" s="21">
        <f>'Clinical Trials &amp; R&amp;D'!I237</f>
        <v>0</v>
      </c>
      <c r="N33" s="21">
        <f>'Workforce &amp; Expenses'!P289</f>
        <v>38308</v>
      </c>
      <c r="O33" s="21">
        <f>'Workforce &amp; Expenses'!S289</f>
        <v>122114</v>
      </c>
      <c r="P33" s="21">
        <f>'Funding &amp; Cap'!F92</f>
        <v>20531</v>
      </c>
      <c r="Q33" s="21">
        <f>'Working Capital &amp; Assets'!B36</f>
        <v>20000</v>
      </c>
      <c r="R33" s="21">
        <f>'Funding &amp; Cap'!H92</f>
        <v>0</v>
      </c>
      <c r="S33" s="21">
        <f>'Working Capital &amp; Assets'!C36</f>
        <v>0</v>
      </c>
      <c r="T33" s="21">
        <f>'Working Capital &amp; Assets'!D36</f>
        <v>86072</v>
      </c>
      <c r="U33" s="21">
        <f>'Funding &amp; Cap'!B92</f>
        <v>0</v>
      </c>
      <c r="V33" s="21">
        <f>'Funding &amp; Cap'!C92</f>
        <v>0</v>
      </c>
      <c r="W33" s="21">
        <f>'Funding &amp; Cap'!D92</f>
        <v>0</v>
      </c>
      <c r="X33" s="21">
        <f>'Working Capital &amp; Assets'!E36</f>
        <v>107368</v>
      </c>
      <c r="Y33" s="21">
        <f>'Working Capital &amp; Assets'!F36</f>
        <v>0</v>
      </c>
      <c r="Z33" s="21">
        <f>'Working Capital &amp; Assets'!G36</f>
        <v>48987</v>
      </c>
      <c r="AA33" s="21">
        <f>'Working Capital &amp; Assets'!H36</f>
        <v>84844</v>
      </c>
      <c r="AB33" s="21">
        <f>'Working Capital &amp; Assets'!I36</f>
        <v>265926</v>
      </c>
      <c r="AC33" s="21">
        <f>'Working Capital &amp; Assets'!J36</f>
        <v>114902</v>
      </c>
      <c r="AD33" s="21">
        <f>MIN(AE33,SUMIFS($W$2:$W$181,$A$2:$A$181,"&gt;"&amp;A33,$A$2:$A$181,"&lt;="&amp;EDATE(A33,12))+IF(AND(DATE(2033,12,1)&gt;A33,DATE(2033,12,1)&lt;=EDATE(A33,12)),'Funding &amp; Cap'!$B$200,0))</f>
        <v>0</v>
      </c>
      <c r="AE33" s="22">
        <f>'Funding &amp; Cap'!Q92</f>
        <v>0</v>
      </c>
      <c r="AF33" s="22">
        <f t="shared" si="2"/>
        <v>21646020</v>
      </c>
      <c r="AG33" s="22">
        <f t="shared" si="3"/>
        <v>-393785</v>
      </c>
      <c r="AH33" s="23">
        <f>'Revenue &amp; Demand'!P197</f>
        <v>0</v>
      </c>
      <c r="AI33" s="24">
        <f>'Revenue &amp; Demand'!Q197</f>
        <v>0</v>
      </c>
      <c r="AJ33" s="24">
        <f>'Manufacturing &amp; Production'!J237</f>
        <v>0</v>
      </c>
      <c r="AK33" s="22"/>
      <c r="AL33" s="22"/>
      <c r="AM33" s="22"/>
    </row>
    <row r="34" ht="19.5" customHeight="1">
      <c r="A34" s="15">
        <v>44075.0</v>
      </c>
      <c r="B34" s="18">
        <f t="shared" si="1"/>
        <v>2020</v>
      </c>
      <c r="C34" s="19">
        <f>'Revenue &amp; Demand'!C198</f>
        <v>0</v>
      </c>
      <c r="D34" s="19">
        <f>'Revenue &amp; Demand'!F198</f>
        <v>3</v>
      </c>
      <c r="E34" s="21">
        <f>'Revenue &amp; Demand'!E198</f>
        <v>0</v>
      </c>
      <c r="F34" s="21">
        <f>'Revenue &amp; Demand'!H198</f>
        <v>79627</v>
      </c>
      <c r="G34" s="21">
        <f>'Revenue &amp; Demand'!J198</f>
        <v>55147</v>
      </c>
      <c r="H34" s="21">
        <f>'Manufacturing &amp; Production'!F238</f>
        <v>0</v>
      </c>
      <c r="I34" s="21">
        <f>'Manufacturing &amp; Production'!G238</f>
        <v>0</v>
      </c>
      <c r="J34" s="21">
        <f>'Workforce &amp; Expenses'!M290</f>
        <v>35036</v>
      </c>
      <c r="K34" s="21">
        <f>'Manufacturing &amp; Production'!K238</f>
        <v>5515</v>
      </c>
      <c r="L34" s="21">
        <f>'Clinical Trials &amp; R&amp;D'!F238</f>
        <v>218975</v>
      </c>
      <c r="M34" s="21">
        <f>'Clinical Trials &amp; R&amp;D'!I238</f>
        <v>0</v>
      </c>
      <c r="N34" s="21">
        <f>'Workforce &amp; Expenses'!P290</f>
        <v>41671</v>
      </c>
      <c r="O34" s="21">
        <f>'Workforce &amp; Expenses'!S290</f>
        <v>122310</v>
      </c>
      <c r="P34" s="21">
        <f>'Funding &amp; Cap'!F93</f>
        <v>20885</v>
      </c>
      <c r="Q34" s="21">
        <f>'Working Capital &amp; Assets'!B37</f>
        <v>20000</v>
      </c>
      <c r="R34" s="21">
        <f>'Funding &amp; Cap'!H93</f>
        <v>0</v>
      </c>
      <c r="S34" s="21">
        <f>'Working Capital &amp; Assets'!C37</f>
        <v>0</v>
      </c>
      <c r="T34" s="21">
        <f>'Working Capital &amp; Assets'!D37</f>
        <v>204421</v>
      </c>
      <c r="U34" s="21">
        <f>'Funding &amp; Cap'!B93</f>
        <v>0</v>
      </c>
      <c r="V34" s="21">
        <f>'Funding &amp; Cap'!C93</f>
        <v>0</v>
      </c>
      <c r="W34" s="21">
        <f>'Funding &amp; Cap'!D93</f>
        <v>0</v>
      </c>
      <c r="X34" s="21">
        <f>'Working Capital &amp; Assets'!E37</f>
        <v>115244</v>
      </c>
      <c r="Y34" s="21">
        <f>'Working Capital &amp; Assets'!F37</f>
        <v>0</v>
      </c>
      <c r="Z34" s="21">
        <f>'Working Capital &amp; Assets'!G37</f>
        <v>52580</v>
      </c>
      <c r="AA34" s="21">
        <f>'Working Capital &amp; Assets'!H37</f>
        <v>90873</v>
      </c>
      <c r="AB34" s="21">
        <f>'Working Capital &amp; Assets'!I37</f>
        <v>278766</v>
      </c>
      <c r="AC34" s="21">
        <f>'Working Capital &amp; Assets'!J37</f>
        <v>124192</v>
      </c>
      <c r="AD34" s="21">
        <f>MIN(AE34,SUMIFS($W$2:$W$181,$A$2:$A$181,"&gt;"&amp;A34,$A$2:$A$181,"&lt;="&amp;EDATE(A34,12))+IF(AND(DATE(2033,12,1)&gt;A34,DATE(2033,12,1)&lt;=EDATE(A34,12)),'Funding &amp; Cap'!$B$200,0))</f>
        <v>0</v>
      </c>
      <c r="AE34" s="22">
        <f>'Funding &amp; Cap'!Q93</f>
        <v>0</v>
      </c>
      <c r="AF34" s="22">
        <f t="shared" si="2"/>
        <v>21169556</v>
      </c>
      <c r="AG34" s="22">
        <f t="shared" si="3"/>
        <v>-476464</v>
      </c>
      <c r="AH34" s="23">
        <f>'Revenue &amp; Demand'!P198</f>
        <v>0</v>
      </c>
      <c r="AI34" s="24">
        <f>'Revenue &amp; Demand'!Q198</f>
        <v>0</v>
      </c>
      <c r="AJ34" s="24">
        <f>'Manufacturing &amp; Production'!J238</f>
        <v>0</v>
      </c>
      <c r="AK34" s="22"/>
      <c r="AL34" s="22"/>
      <c r="AM34" s="22"/>
    </row>
    <row r="35" ht="19.5" customHeight="1">
      <c r="A35" s="15">
        <v>44105.0</v>
      </c>
      <c r="B35" s="18">
        <f t="shared" si="1"/>
        <v>2020</v>
      </c>
      <c r="C35" s="19">
        <f>'Revenue &amp; Demand'!C199</f>
        <v>0</v>
      </c>
      <c r="D35" s="19">
        <f>'Revenue &amp; Demand'!F199</f>
        <v>3</v>
      </c>
      <c r="E35" s="21">
        <f>'Revenue &amp; Demand'!E199</f>
        <v>0</v>
      </c>
      <c r="F35" s="21">
        <f>'Revenue &amp; Demand'!H199</f>
        <v>83101</v>
      </c>
      <c r="G35" s="21">
        <f>'Revenue &amp; Demand'!J199</f>
        <v>8824</v>
      </c>
      <c r="H35" s="21">
        <f>'Manufacturing &amp; Production'!F239</f>
        <v>0</v>
      </c>
      <c r="I35" s="21">
        <f>'Manufacturing &amp; Production'!G239</f>
        <v>0</v>
      </c>
      <c r="J35" s="21">
        <f>'Workforce &amp; Expenses'!M291</f>
        <v>36565</v>
      </c>
      <c r="K35" s="21">
        <f>'Manufacturing &amp; Production'!K239</f>
        <v>882</v>
      </c>
      <c r="L35" s="21">
        <f>'Clinical Trials &amp; R&amp;D'!F239</f>
        <v>228529</v>
      </c>
      <c r="M35" s="21">
        <f>'Clinical Trials &amp; R&amp;D'!I239</f>
        <v>0</v>
      </c>
      <c r="N35" s="21">
        <f>'Workforce &amp; Expenses'!P291</f>
        <v>45047</v>
      </c>
      <c r="O35" s="21">
        <f>'Workforce &amp; Expenses'!S291</f>
        <v>123788</v>
      </c>
      <c r="P35" s="21">
        <f>'Funding &amp; Cap'!F94</f>
        <v>21239</v>
      </c>
      <c r="Q35" s="21">
        <f>'Working Capital &amp; Assets'!B38</f>
        <v>20000</v>
      </c>
      <c r="R35" s="21">
        <f>'Funding &amp; Cap'!H94</f>
        <v>0</v>
      </c>
      <c r="S35" s="21">
        <f>'Working Capital &amp; Assets'!C38</f>
        <v>0</v>
      </c>
      <c r="T35" s="21">
        <f>'Working Capital &amp; Assets'!D38</f>
        <v>88028</v>
      </c>
      <c r="U35" s="21">
        <f>'Funding &amp; Cap'!B94</f>
        <v>0</v>
      </c>
      <c r="V35" s="21">
        <f>'Funding &amp; Cap'!C94</f>
        <v>0</v>
      </c>
      <c r="W35" s="21">
        <f>'Funding &amp; Cap'!D94</f>
        <v>0</v>
      </c>
      <c r="X35" s="21">
        <f>'Working Capital &amp; Assets'!E38</f>
        <v>123807</v>
      </c>
      <c r="Y35" s="21">
        <f>'Working Capital &amp; Assets'!F38</f>
        <v>0</v>
      </c>
      <c r="Z35" s="21">
        <f>'Working Capital &amp; Assets'!G38</f>
        <v>56487</v>
      </c>
      <c r="AA35" s="21">
        <f>'Working Capital &amp; Assets'!H38</f>
        <v>97441</v>
      </c>
      <c r="AB35" s="21">
        <f>'Working Capital &amp; Assets'!I38</f>
        <v>293176</v>
      </c>
      <c r="AC35" s="21">
        <f>'Working Capital &amp; Assets'!J38</f>
        <v>134235</v>
      </c>
      <c r="AD35" s="21">
        <f>MIN(AE35,SUMIFS($W$2:$W$181,$A$2:$A$181,"&gt;"&amp;A35,$A$2:$A$181,"&lt;="&amp;EDATE(A35,12))+IF(AND(DATE(2033,12,1)&gt;A35,DATE(2033,12,1)&lt;=EDATE(A35,12)),'Funding &amp; Cap'!$B$200,0))</f>
        <v>0</v>
      </c>
      <c r="AE35" s="22">
        <f>'Funding &amp; Cap'!Q94</f>
        <v>0</v>
      </c>
      <c r="AF35" s="22">
        <f t="shared" si="2"/>
        <v>20757193</v>
      </c>
      <c r="AG35" s="22">
        <f t="shared" si="3"/>
        <v>-412363</v>
      </c>
      <c r="AH35" s="23">
        <f>'Revenue &amp; Demand'!P199</f>
        <v>0</v>
      </c>
      <c r="AI35" s="24">
        <f>'Revenue &amp; Demand'!Q199</f>
        <v>0</v>
      </c>
      <c r="AJ35" s="24">
        <f>'Manufacturing &amp; Production'!J239</f>
        <v>0</v>
      </c>
      <c r="AK35" s="22"/>
      <c r="AL35" s="22"/>
      <c r="AM35" s="22"/>
    </row>
    <row r="36" ht="19.5" customHeight="1">
      <c r="A36" s="15">
        <v>44136.0</v>
      </c>
      <c r="B36" s="18">
        <f t="shared" si="1"/>
        <v>2020</v>
      </c>
      <c r="C36" s="19">
        <f>'Revenue &amp; Demand'!C200</f>
        <v>0</v>
      </c>
      <c r="D36" s="19">
        <f>'Revenue &amp; Demand'!F200</f>
        <v>3</v>
      </c>
      <c r="E36" s="21">
        <f>'Revenue &amp; Demand'!E200</f>
        <v>0</v>
      </c>
      <c r="F36" s="21">
        <f>'Revenue &amp; Demand'!H200</f>
        <v>87508</v>
      </c>
      <c r="G36" s="21">
        <f>'Revenue &amp; Demand'!J200</f>
        <v>8824</v>
      </c>
      <c r="H36" s="21">
        <f>'Manufacturing &amp; Production'!F240</f>
        <v>0</v>
      </c>
      <c r="I36" s="21">
        <f>'Manufacturing &amp; Production'!G240</f>
        <v>0</v>
      </c>
      <c r="J36" s="21">
        <f>'Workforce &amp; Expenses'!M292</f>
        <v>38503</v>
      </c>
      <c r="K36" s="21">
        <f>'Manufacturing &amp; Production'!K240</f>
        <v>882</v>
      </c>
      <c r="L36" s="21">
        <f>'Clinical Trials &amp; R&amp;D'!F240</f>
        <v>240646</v>
      </c>
      <c r="M36" s="21">
        <f>'Clinical Trials &amp; R&amp;D'!I240</f>
        <v>0</v>
      </c>
      <c r="N36" s="21">
        <f>'Workforce &amp; Expenses'!P292</f>
        <v>48431</v>
      </c>
      <c r="O36" s="21">
        <f>'Workforce &amp; Expenses'!S292</f>
        <v>126375</v>
      </c>
      <c r="P36" s="21">
        <f>'Funding &amp; Cap'!F95</f>
        <v>21593</v>
      </c>
      <c r="Q36" s="21">
        <f>'Working Capital &amp; Assets'!B39</f>
        <v>20000</v>
      </c>
      <c r="R36" s="21">
        <f>'Funding &amp; Cap'!H95</f>
        <v>0</v>
      </c>
      <c r="S36" s="21">
        <f>'Working Capital &amp; Assets'!C39</f>
        <v>0</v>
      </c>
      <c r="T36" s="21">
        <f>'Working Capital &amp; Assets'!D39</f>
        <v>89006</v>
      </c>
      <c r="U36" s="21">
        <f>'Funding &amp; Cap'!B95</f>
        <v>0</v>
      </c>
      <c r="V36" s="21">
        <f>'Funding &amp; Cap'!C95</f>
        <v>0</v>
      </c>
      <c r="W36" s="21">
        <f>'Funding &amp; Cap'!D95</f>
        <v>0</v>
      </c>
      <c r="X36" s="21">
        <f>'Working Capital &amp; Assets'!E39</f>
        <v>132964</v>
      </c>
      <c r="Y36" s="21">
        <f>'Working Capital &amp; Assets'!F39</f>
        <v>0</v>
      </c>
      <c r="Z36" s="21">
        <f>'Working Capital &amp; Assets'!G39</f>
        <v>60665</v>
      </c>
      <c r="AA36" s="21">
        <f>'Working Capital &amp; Assets'!H39</f>
        <v>104476</v>
      </c>
      <c r="AB36" s="21">
        <f>'Working Capital &amp; Assets'!I39</f>
        <v>308946</v>
      </c>
      <c r="AC36" s="21">
        <f>'Working Capital &amp; Assets'!J39</f>
        <v>144929</v>
      </c>
      <c r="AD36" s="21">
        <f>MIN(AE36,SUMIFS($W$2:$W$181,$A$2:$A$181,"&gt;"&amp;A36,$A$2:$A$181,"&lt;="&amp;EDATE(A36,12))+IF(AND(DATE(2033,12,1)&gt;A36,DATE(2033,12,1)&lt;=EDATE(A36,12)),'Funding &amp; Cap'!$B$200,0))</f>
        <v>0</v>
      </c>
      <c r="AE36" s="22">
        <f>'Funding &amp; Cap'!Q95</f>
        <v>0</v>
      </c>
      <c r="AF36" s="22">
        <f t="shared" si="2"/>
        <v>20329846</v>
      </c>
      <c r="AG36" s="22">
        <f t="shared" si="3"/>
        <v>-427347</v>
      </c>
      <c r="AH36" s="23">
        <f>'Revenue &amp; Demand'!P200</f>
        <v>0</v>
      </c>
      <c r="AI36" s="24">
        <f>'Revenue &amp; Demand'!Q200</f>
        <v>0</v>
      </c>
      <c r="AJ36" s="24">
        <f>'Manufacturing &amp; Production'!J240</f>
        <v>0</v>
      </c>
      <c r="AK36" s="22"/>
      <c r="AL36" s="22"/>
      <c r="AM36" s="22"/>
    </row>
    <row r="37" ht="19.5" customHeight="1">
      <c r="A37" s="15">
        <v>44166.0</v>
      </c>
      <c r="B37" s="18">
        <f t="shared" si="1"/>
        <v>2020</v>
      </c>
      <c r="C37" s="19">
        <f>'Revenue &amp; Demand'!C201</f>
        <v>0</v>
      </c>
      <c r="D37" s="19">
        <f>'Revenue &amp; Demand'!F201</f>
        <v>3</v>
      </c>
      <c r="E37" s="21">
        <f>'Revenue &amp; Demand'!E201</f>
        <v>0</v>
      </c>
      <c r="F37" s="21">
        <f>'Revenue &amp; Demand'!H201</f>
        <v>91915</v>
      </c>
      <c r="G37" s="21">
        <f>'Revenue &amp; Demand'!J201</f>
        <v>63967</v>
      </c>
      <c r="H37" s="21">
        <f>'Manufacturing &amp; Production'!F241</f>
        <v>0</v>
      </c>
      <c r="I37" s="21">
        <f>'Manufacturing &amp; Production'!G241</f>
        <v>0</v>
      </c>
      <c r="J37" s="21">
        <f>'Workforce &amp; Expenses'!M293</f>
        <v>40442</v>
      </c>
      <c r="K37" s="21">
        <f>'Manufacturing &amp; Production'!K241</f>
        <v>6399</v>
      </c>
      <c r="L37" s="21">
        <f>'Clinical Trials &amp; R&amp;D'!F241</f>
        <v>252764</v>
      </c>
      <c r="M37" s="21">
        <f>'Clinical Trials &amp; R&amp;D'!I241</f>
        <v>0</v>
      </c>
      <c r="N37" s="21">
        <f>'Workforce &amp; Expenses'!P293</f>
        <v>51814</v>
      </c>
      <c r="O37" s="21">
        <f>'Workforce &amp; Expenses'!S293</f>
        <v>129602</v>
      </c>
      <c r="P37" s="21">
        <f>'Funding &amp; Cap'!F96</f>
        <v>21947</v>
      </c>
      <c r="Q37" s="21">
        <f>'Working Capital &amp; Assets'!B40</f>
        <v>20000</v>
      </c>
      <c r="R37" s="21">
        <f>'Funding &amp; Cap'!H96</f>
        <v>0</v>
      </c>
      <c r="S37" s="21">
        <f>'Working Capital &amp; Assets'!C40</f>
        <v>0</v>
      </c>
      <c r="T37" s="21">
        <f>'Working Capital &amp; Assets'!D40</f>
        <v>89985</v>
      </c>
      <c r="U37" s="21">
        <f>'Funding &amp; Cap'!B96</f>
        <v>0</v>
      </c>
      <c r="V37" s="21">
        <f>'Funding &amp; Cap'!C96</f>
        <v>0</v>
      </c>
      <c r="W37" s="21">
        <f>'Funding &amp; Cap'!D96</f>
        <v>0</v>
      </c>
      <c r="X37" s="21">
        <f>'Working Capital &amp; Assets'!E40</f>
        <v>142466</v>
      </c>
      <c r="Y37" s="21">
        <f>'Working Capital &amp; Assets'!F40</f>
        <v>0</v>
      </c>
      <c r="Z37" s="21">
        <f>'Working Capital &amp; Assets'!G40</f>
        <v>65000</v>
      </c>
      <c r="AA37" s="21">
        <f>'Working Capital &amp; Assets'!H40</f>
        <v>111781</v>
      </c>
      <c r="AB37" s="21">
        <f>'Working Capital &amp; Assets'!I40</f>
        <v>325500</v>
      </c>
      <c r="AC37" s="21">
        <f>'Working Capital &amp; Assets'!J40</f>
        <v>156000</v>
      </c>
      <c r="AD37" s="21">
        <f>MIN(AE37,SUMIFS($W$2:$W$181,$A$2:$A$181,"&gt;"&amp;A37,$A$2:$A$181,"&lt;="&amp;EDATE(A37,12))+IF(AND(DATE(2033,12,1)&gt;A37,DATE(2033,12,1)&lt;=EDATE(A37,12)),'Funding &amp; Cap'!$B$200,0))</f>
        <v>0</v>
      </c>
      <c r="AE37" s="22">
        <f>'Funding &amp; Cap'!Q96</f>
        <v>0</v>
      </c>
      <c r="AF37" s="22">
        <f t="shared" si="2"/>
        <v>19935815</v>
      </c>
      <c r="AG37" s="22">
        <f t="shared" si="3"/>
        <v>-394031</v>
      </c>
      <c r="AH37" s="23">
        <f>'Revenue &amp; Demand'!P201</f>
        <v>0</v>
      </c>
      <c r="AI37" s="24">
        <f>'Revenue &amp; Demand'!Q201</f>
        <v>0</v>
      </c>
      <c r="AJ37" s="24">
        <f>'Manufacturing &amp; Production'!J241</f>
        <v>0</v>
      </c>
      <c r="AK37" s="22"/>
      <c r="AL37" s="22"/>
      <c r="AM37" s="22"/>
    </row>
    <row r="38" ht="19.5" customHeight="1">
      <c r="A38" s="15">
        <v>44197.0</v>
      </c>
      <c r="B38" s="18">
        <f t="shared" si="1"/>
        <v>2021</v>
      </c>
      <c r="C38" s="19">
        <f>'Revenue &amp; Demand'!C202</f>
        <v>0</v>
      </c>
      <c r="D38" s="19">
        <f>'Revenue &amp; Demand'!F202</f>
        <v>3</v>
      </c>
      <c r="E38" s="21">
        <f>'Revenue &amp; Demand'!E202</f>
        <v>0</v>
      </c>
      <c r="F38" s="21">
        <f>'Revenue &amp; Demand'!H202</f>
        <v>193790</v>
      </c>
      <c r="G38" s="21">
        <f>'Revenue &amp; Demand'!J202</f>
        <v>20588</v>
      </c>
      <c r="H38" s="21">
        <f>'Manufacturing &amp; Production'!F242</f>
        <v>0</v>
      </c>
      <c r="I38" s="21">
        <f>'Manufacturing &amp; Production'!G242</f>
        <v>0</v>
      </c>
      <c r="J38" s="21">
        <f>'Workforce &amp; Expenses'!M294</f>
        <v>85267</v>
      </c>
      <c r="K38" s="21">
        <f>'Manufacturing &amp; Production'!K242</f>
        <v>2059</v>
      </c>
      <c r="L38" s="21">
        <f>'Clinical Trials &amp; R&amp;D'!F242</f>
        <v>320174</v>
      </c>
      <c r="M38" s="21">
        <f>'Clinical Trials &amp; R&amp;D'!I242</f>
        <v>0</v>
      </c>
      <c r="N38" s="21">
        <f>'Workforce &amp; Expenses'!P294</f>
        <v>25071</v>
      </c>
      <c r="O38" s="21">
        <f>'Workforce &amp; Expenses'!S294</f>
        <v>184182</v>
      </c>
      <c r="P38" s="21">
        <f>'Funding &amp; Cap'!F97</f>
        <v>33850</v>
      </c>
      <c r="Q38" s="21">
        <f>'Working Capital &amp; Assets'!B41</f>
        <v>37500</v>
      </c>
      <c r="R38" s="21">
        <f>'Funding &amp; Cap'!H97</f>
        <v>0</v>
      </c>
      <c r="S38" s="21">
        <f>'Working Capital &amp; Assets'!C41</f>
        <v>0</v>
      </c>
      <c r="T38" s="21">
        <f>'Working Capital &amp; Assets'!D41</f>
        <v>158451</v>
      </c>
      <c r="U38" s="21">
        <f>'Funding &amp; Cap'!B97</f>
        <v>0</v>
      </c>
      <c r="V38" s="21">
        <f>'Funding &amp; Cap'!C97</f>
        <v>0</v>
      </c>
      <c r="W38" s="21">
        <f>'Funding &amp; Cap'!D97</f>
        <v>0</v>
      </c>
      <c r="X38" s="21">
        <f>'Working Capital &amp; Assets'!E41</f>
        <v>162468</v>
      </c>
      <c r="Y38" s="21">
        <f>'Working Capital &amp; Assets'!F41</f>
        <v>0</v>
      </c>
      <c r="Z38" s="21">
        <f>'Working Capital &amp; Assets'!G41</f>
        <v>73433</v>
      </c>
      <c r="AA38" s="21">
        <f>'Working Capital &amp; Assets'!H41</f>
        <v>121873</v>
      </c>
      <c r="AB38" s="21">
        <f>'Working Capital &amp; Assets'!I41</f>
        <v>347866</v>
      </c>
      <c r="AC38" s="21">
        <f>'Working Capital &amp; Assets'!J41</f>
        <v>187320</v>
      </c>
      <c r="AD38" s="21">
        <f>MIN(AE38,SUMIFS($W$2:$W$181,$A$2:$A$181,"&gt;"&amp;A38,$A$2:$A$181,"&lt;="&amp;EDATE(A38,12))+IF(AND(DATE(2033,12,1)&gt;A38,DATE(2033,12,1)&lt;=EDATE(A38,12)),'Funding &amp; Cap'!$B$200,0))</f>
        <v>0</v>
      </c>
      <c r="AE38" s="22">
        <f>'Funding &amp; Cap'!Q97</f>
        <v>0</v>
      </c>
      <c r="AF38" s="22">
        <f t="shared" si="2"/>
        <v>19410332</v>
      </c>
      <c r="AG38" s="22">
        <f t="shared" si="3"/>
        <v>-525483</v>
      </c>
      <c r="AH38" s="23">
        <f>'Revenue &amp; Demand'!P202</f>
        <v>0</v>
      </c>
      <c r="AI38" s="24">
        <f>'Revenue &amp; Demand'!Q202</f>
        <v>0</v>
      </c>
      <c r="AJ38" s="24">
        <f>'Manufacturing &amp; Production'!J242</f>
        <v>0</v>
      </c>
      <c r="AK38" s="22"/>
      <c r="AL38" s="22"/>
      <c r="AM38" s="22"/>
    </row>
    <row r="39" ht="19.5" customHeight="1">
      <c r="A39" s="15">
        <v>44228.0</v>
      </c>
      <c r="B39" s="18">
        <f t="shared" si="1"/>
        <v>2021</v>
      </c>
      <c r="C39" s="19">
        <f>'Revenue &amp; Demand'!C203</f>
        <v>0</v>
      </c>
      <c r="D39" s="19">
        <f>'Revenue &amp; Demand'!F203</f>
        <v>4</v>
      </c>
      <c r="E39" s="21">
        <f>'Revenue &amp; Demand'!E203</f>
        <v>0</v>
      </c>
      <c r="F39" s="21">
        <f>'Revenue &amp; Demand'!H203</f>
        <v>198067</v>
      </c>
      <c r="G39" s="21">
        <f>'Revenue &amp; Demand'!J203</f>
        <v>20588</v>
      </c>
      <c r="H39" s="21">
        <f>'Manufacturing &amp; Production'!F243</f>
        <v>0</v>
      </c>
      <c r="I39" s="21">
        <f>'Manufacturing &amp; Production'!G243</f>
        <v>0</v>
      </c>
      <c r="J39" s="21">
        <f>'Workforce &amp; Expenses'!M295</f>
        <v>87150</v>
      </c>
      <c r="K39" s="21">
        <f>'Manufacturing &amp; Production'!K243</f>
        <v>2059</v>
      </c>
      <c r="L39" s="21">
        <f>'Clinical Trials &amp; R&amp;D'!F243</f>
        <v>327242</v>
      </c>
      <c r="M39" s="21">
        <f>'Clinical Trials &amp; R&amp;D'!I243</f>
        <v>0</v>
      </c>
      <c r="N39" s="21">
        <f>'Workforce &amp; Expenses'!P295</f>
        <v>30422</v>
      </c>
      <c r="O39" s="21">
        <f>'Workforce &amp; Expenses'!S295</f>
        <v>188063</v>
      </c>
      <c r="P39" s="21">
        <f>'Funding &amp; Cap'!F98</f>
        <v>34513</v>
      </c>
      <c r="Q39" s="21">
        <f>'Working Capital &amp; Assets'!B42</f>
        <v>37500</v>
      </c>
      <c r="R39" s="21">
        <f>'Funding &amp; Cap'!H98</f>
        <v>0</v>
      </c>
      <c r="S39" s="21">
        <f>'Working Capital &amp; Assets'!C42</f>
        <v>0</v>
      </c>
      <c r="T39" s="21">
        <f>'Working Capital &amp; Assets'!D42</f>
        <v>160407</v>
      </c>
      <c r="U39" s="21">
        <f>'Funding &amp; Cap'!B98</f>
        <v>0</v>
      </c>
      <c r="V39" s="21">
        <f>'Funding &amp; Cap'!C98</f>
        <v>0</v>
      </c>
      <c r="W39" s="21">
        <f>'Funding &amp; Cap'!D98</f>
        <v>0</v>
      </c>
      <c r="X39" s="21">
        <f>'Working Capital &amp; Assets'!E42</f>
        <v>181637</v>
      </c>
      <c r="Y39" s="21">
        <f>'Working Capital &amp; Assets'!F42</f>
        <v>0</v>
      </c>
      <c r="Z39" s="21">
        <f>'Working Capital &amp; Assets'!G42</f>
        <v>81505</v>
      </c>
      <c r="AA39" s="21">
        <f>'Working Capital &amp; Assets'!H42</f>
        <v>131459</v>
      </c>
      <c r="AB39" s="21">
        <f>'Working Capital &amp; Assets'!I42</f>
        <v>368939</v>
      </c>
      <c r="AC39" s="21">
        <f>'Working Capital &amp; Assets'!J42</f>
        <v>217482</v>
      </c>
      <c r="AD39" s="21">
        <f>MIN(AE39,SUMIFS($W$2:$W$181,$A$2:$A$181,"&gt;"&amp;A39,$A$2:$A$181,"&lt;="&amp;EDATE(A39,12))+IF(AND(DATE(2033,12,1)&gt;A39,DATE(2033,12,1)&lt;=EDATE(A39,12)),'Funding &amp; Cap'!$B$200,0))</f>
        <v>0</v>
      </c>
      <c r="AE39" s="22">
        <f>'Funding &amp; Cap'!Q98</f>
        <v>0</v>
      </c>
      <c r="AF39" s="22">
        <f t="shared" si="2"/>
        <v>18867224</v>
      </c>
      <c r="AG39" s="22">
        <f t="shared" si="3"/>
        <v>-543108</v>
      </c>
      <c r="AH39" s="23">
        <f>'Revenue &amp; Demand'!P203</f>
        <v>0</v>
      </c>
      <c r="AI39" s="24">
        <f>'Revenue &amp; Demand'!Q203</f>
        <v>0</v>
      </c>
      <c r="AJ39" s="24">
        <f>'Manufacturing &amp; Production'!J243</f>
        <v>0</v>
      </c>
      <c r="AK39" s="22"/>
      <c r="AL39" s="22"/>
      <c r="AM39" s="22"/>
    </row>
    <row r="40" ht="19.5" customHeight="1">
      <c r="A40" s="15">
        <v>44256.0</v>
      </c>
      <c r="B40" s="18">
        <f t="shared" si="1"/>
        <v>2021</v>
      </c>
      <c r="C40" s="19">
        <f>'Revenue &amp; Demand'!C204</f>
        <v>0</v>
      </c>
      <c r="D40" s="19">
        <f>'Revenue &amp; Demand'!F204</f>
        <v>4</v>
      </c>
      <c r="E40" s="21">
        <f>'Revenue &amp; Demand'!E204</f>
        <v>0</v>
      </c>
      <c r="F40" s="21">
        <f>'Revenue &amp; Demand'!H204</f>
        <v>198057</v>
      </c>
      <c r="G40" s="21">
        <f>'Revenue &amp; Demand'!J204</f>
        <v>128676</v>
      </c>
      <c r="H40" s="21">
        <f>'Manufacturing &amp; Production'!F244</f>
        <v>0</v>
      </c>
      <c r="I40" s="21">
        <f>'Manufacturing &amp; Production'!G244</f>
        <v>0</v>
      </c>
      <c r="J40" s="21">
        <f>'Workforce &amp; Expenses'!M296</f>
        <v>87145</v>
      </c>
      <c r="K40" s="21">
        <f>'Manufacturing &amp; Production'!K244</f>
        <v>12868</v>
      </c>
      <c r="L40" s="21">
        <f>'Clinical Trials &amp; R&amp;D'!F244</f>
        <v>327224</v>
      </c>
      <c r="M40" s="21">
        <f>'Clinical Trials &amp; R&amp;D'!I244</f>
        <v>0</v>
      </c>
      <c r="N40" s="21">
        <f>'Workforce &amp; Expenses'!P296</f>
        <v>35718</v>
      </c>
      <c r="O40" s="21">
        <f>'Workforce &amp; Expenses'!S296</f>
        <v>190280</v>
      </c>
      <c r="P40" s="21">
        <f>'Funding &amp; Cap'!F99</f>
        <v>35177</v>
      </c>
      <c r="Q40" s="21">
        <f>'Working Capital &amp; Assets'!B43</f>
        <v>37500</v>
      </c>
      <c r="R40" s="21">
        <f>'Funding &amp; Cap'!H99</f>
        <v>0</v>
      </c>
      <c r="S40" s="21">
        <f>'Working Capital &amp; Assets'!C43</f>
        <v>0</v>
      </c>
      <c r="T40" s="21">
        <f>'Working Capital &amp; Assets'!D43</f>
        <v>397105</v>
      </c>
      <c r="U40" s="21">
        <f>'Funding &amp; Cap'!B99</f>
        <v>0</v>
      </c>
      <c r="V40" s="21">
        <f>'Funding &amp; Cap'!C99</f>
        <v>0</v>
      </c>
      <c r="W40" s="21">
        <f>'Funding &amp; Cap'!D99</f>
        <v>0</v>
      </c>
      <c r="X40" s="21">
        <f>'Working Capital &amp; Assets'!E43</f>
        <v>199364</v>
      </c>
      <c r="Y40" s="21">
        <f>'Working Capital &amp; Assets'!F43</f>
        <v>0</v>
      </c>
      <c r="Z40" s="21">
        <f>'Working Capital &amp; Assets'!G43</f>
        <v>88950</v>
      </c>
      <c r="AA40" s="21">
        <f>'Working Capital &amp; Assets'!H43</f>
        <v>140167</v>
      </c>
      <c r="AB40" s="21">
        <f>'Working Capital &amp; Assets'!I43</f>
        <v>387773</v>
      </c>
      <c r="AC40" s="21">
        <f>'Working Capital &amp; Assets'!J43</f>
        <v>245640</v>
      </c>
      <c r="AD40" s="21">
        <f>MIN(AE40,SUMIFS($W$2:$W$181,$A$2:$A$181,"&gt;"&amp;A40,$A$2:$A$181,"&lt;="&amp;EDATE(A40,12))+IF(AND(DATE(2033,12,1)&gt;A40,DATE(2033,12,1)&lt;=EDATE(A40,12)),'Funding &amp; Cap'!$B$200,0))</f>
        <v>0</v>
      </c>
      <c r="AE40" s="22">
        <f>'Funding &amp; Cap'!Q99</f>
        <v>0</v>
      </c>
      <c r="AF40" s="22">
        <f t="shared" si="2"/>
        <v>18174145</v>
      </c>
      <c r="AG40" s="22">
        <f t="shared" si="3"/>
        <v>-693079</v>
      </c>
      <c r="AH40" s="23">
        <f>'Revenue &amp; Demand'!P204</f>
        <v>0</v>
      </c>
      <c r="AI40" s="24">
        <f>'Revenue &amp; Demand'!Q204</f>
        <v>0</v>
      </c>
      <c r="AJ40" s="24">
        <f>'Manufacturing &amp; Production'!J244</f>
        <v>0</v>
      </c>
      <c r="AK40" s="22"/>
      <c r="AL40" s="22"/>
      <c r="AM40" s="22"/>
    </row>
    <row r="41" ht="19.5" customHeight="1">
      <c r="A41" s="15">
        <v>44287.0</v>
      </c>
      <c r="B41" s="18">
        <f t="shared" si="1"/>
        <v>2021</v>
      </c>
      <c r="C41" s="19">
        <f>'Revenue &amp; Demand'!C205</f>
        <v>0</v>
      </c>
      <c r="D41" s="19">
        <f>'Revenue &amp; Demand'!F205</f>
        <v>5</v>
      </c>
      <c r="E41" s="21">
        <f>'Revenue &amp; Demand'!E205</f>
        <v>0</v>
      </c>
      <c r="F41" s="21">
        <f>'Revenue &amp; Demand'!H205</f>
        <v>194334</v>
      </c>
      <c r="G41" s="21">
        <f>'Revenue &amp; Demand'!J205</f>
        <v>20588</v>
      </c>
      <c r="H41" s="21">
        <f>'Manufacturing &amp; Production'!F245</f>
        <v>0</v>
      </c>
      <c r="I41" s="21">
        <f>'Manufacturing &amp; Production'!G245</f>
        <v>0</v>
      </c>
      <c r="J41" s="21">
        <f>'Workforce &amp; Expenses'!M297</f>
        <v>85507</v>
      </c>
      <c r="K41" s="21">
        <f>'Manufacturing &amp; Production'!K245</f>
        <v>2059</v>
      </c>
      <c r="L41" s="21">
        <f>'Clinical Trials &amp; R&amp;D'!F245</f>
        <v>321073</v>
      </c>
      <c r="M41" s="21">
        <f>'Clinical Trials &amp; R&amp;D'!I245</f>
        <v>0</v>
      </c>
      <c r="N41" s="21">
        <f>'Workforce &amp; Expenses'!P297</f>
        <v>40964</v>
      </c>
      <c r="O41" s="21">
        <f>'Workforce &amp; Expenses'!S297</f>
        <v>190574</v>
      </c>
      <c r="P41" s="21">
        <f>'Funding &amp; Cap'!F100</f>
        <v>35841</v>
      </c>
      <c r="Q41" s="21">
        <f>'Working Capital &amp; Assets'!B44</f>
        <v>37500</v>
      </c>
      <c r="R41" s="21">
        <f>'Funding &amp; Cap'!H100</f>
        <v>0</v>
      </c>
      <c r="S41" s="21">
        <f>'Working Capital &amp; Assets'!C44</f>
        <v>0</v>
      </c>
      <c r="T41" s="21">
        <f>'Working Capital &amp; Assets'!D44</f>
        <v>164319</v>
      </c>
      <c r="U41" s="21">
        <f>'Funding &amp; Cap'!B100</f>
        <v>0</v>
      </c>
      <c r="V41" s="21">
        <f>'Funding &amp; Cap'!C100</f>
        <v>0</v>
      </c>
      <c r="W41" s="21">
        <f>'Funding &amp; Cap'!D100</f>
        <v>0</v>
      </c>
      <c r="X41" s="21">
        <f>'Working Capital &amp; Assets'!E44</f>
        <v>215427</v>
      </c>
      <c r="Y41" s="21">
        <f>'Working Capital &amp; Assets'!F44</f>
        <v>0</v>
      </c>
      <c r="Z41" s="21">
        <f>'Working Capital &amp; Assets'!G44</f>
        <v>95672</v>
      </c>
      <c r="AA41" s="21">
        <f>'Working Capital &amp; Assets'!H44</f>
        <v>147861</v>
      </c>
      <c r="AB41" s="21">
        <f>'Working Capital &amp; Assets'!I44</f>
        <v>404022</v>
      </c>
      <c r="AC41" s="21">
        <f>'Working Capital &amp; Assets'!J44</f>
        <v>271482</v>
      </c>
      <c r="AD41" s="21">
        <f>MIN(AE41,SUMIFS($W$2:$W$181,$A$2:$A$181,"&gt;"&amp;A41,$A$2:$A$181,"&lt;="&amp;EDATE(A41,12))+IF(AND(DATE(2033,12,1)&gt;A41,DATE(2033,12,1)&lt;=EDATE(A41,12)),'Funding &amp; Cap'!$B$200,0))</f>
        <v>0</v>
      </c>
      <c r="AE41" s="22">
        <f>'Funding &amp; Cap'!Q100</f>
        <v>0</v>
      </c>
      <c r="AF41" s="22">
        <f t="shared" si="2"/>
        <v>17611571</v>
      </c>
      <c r="AG41" s="22">
        <f t="shared" si="3"/>
        <v>-562574</v>
      </c>
      <c r="AH41" s="23">
        <f>'Revenue &amp; Demand'!P205</f>
        <v>0</v>
      </c>
      <c r="AI41" s="24">
        <f>'Revenue &amp; Demand'!Q205</f>
        <v>0</v>
      </c>
      <c r="AJ41" s="24">
        <f>'Manufacturing &amp; Production'!J245</f>
        <v>0</v>
      </c>
      <c r="AK41" s="22"/>
      <c r="AL41" s="22"/>
      <c r="AM41" s="22"/>
    </row>
    <row r="42" ht="19.5" customHeight="1">
      <c r="A42" s="15">
        <v>44317.0</v>
      </c>
      <c r="B42" s="18">
        <f t="shared" si="1"/>
        <v>2021</v>
      </c>
      <c r="C42" s="19">
        <f>'Revenue &amp; Demand'!C206</f>
        <v>0</v>
      </c>
      <c r="D42" s="19">
        <f>'Revenue &amp; Demand'!F206</f>
        <v>5</v>
      </c>
      <c r="E42" s="21">
        <f>'Revenue &amp; Demand'!E206</f>
        <v>0</v>
      </c>
      <c r="F42" s="21">
        <f>'Revenue &amp; Demand'!H206</f>
        <v>188466</v>
      </c>
      <c r="G42" s="21">
        <f>'Revenue &amp; Demand'!J206</f>
        <v>20588</v>
      </c>
      <c r="H42" s="21">
        <f>'Manufacturing &amp; Production'!F246</f>
        <v>0</v>
      </c>
      <c r="I42" s="21">
        <f>'Manufacturing &amp; Production'!G246</f>
        <v>0</v>
      </c>
      <c r="J42" s="21">
        <f>'Workforce &amp; Expenses'!M298</f>
        <v>82925</v>
      </c>
      <c r="K42" s="21">
        <f>'Manufacturing &amp; Production'!K246</f>
        <v>2059</v>
      </c>
      <c r="L42" s="21">
        <f>'Clinical Trials &amp; R&amp;D'!F246</f>
        <v>311379</v>
      </c>
      <c r="M42" s="21">
        <f>'Clinical Trials &amp; R&amp;D'!I246</f>
        <v>0</v>
      </c>
      <c r="N42" s="21">
        <f>'Workforce &amp; Expenses'!P298</f>
        <v>46181</v>
      </c>
      <c r="O42" s="21">
        <f>'Workforce &amp; Expenses'!S298</f>
        <v>189204</v>
      </c>
      <c r="P42" s="21">
        <f>'Funding &amp; Cap'!F101</f>
        <v>36504</v>
      </c>
      <c r="Q42" s="21">
        <f>'Working Capital &amp; Assets'!B45</f>
        <v>37500</v>
      </c>
      <c r="R42" s="21">
        <f>'Funding &amp; Cap'!H101</f>
        <v>0</v>
      </c>
      <c r="S42" s="21">
        <f>'Working Capital &amp; Assets'!C45</f>
        <v>0</v>
      </c>
      <c r="T42" s="21">
        <f>'Working Capital &amp; Assets'!D45</f>
        <v>166275</v>
      </c>
      <c r="U42" s="21">
        <f>'Funding &amp; Cap'!B101</f>
        <v>0</v>
      </c>
      <c r="V42" s="21">
        <f>'Funding &amp; Cap'!C101</f>
        <v>0</v>
      </c>
      <c r="W42" s="21">
        <f>'Funding &amp; Cap'!D101</f>
        <v>0</v>
      </c>
      <c r="X42" s="21">
        <f>'Working Capital &amp; Assets'!E45</f>
        <v>230047</v>
      </c>
      <c r="Y42" s="21">
        <f>'Working Capital &amp; Assets'!F45</f>
        <v>0</v>
      </c>
      <c r="Z42" s="21">
        <f>'Working Capital &amp; Assets'!G45</f>
        <v>101767</v>
      </c>
      <c r="AA42" s="21">
        <f>'Working Capital &amp; Assets'!H45</f>
        <v>154677</v>
      </c>
      <c r="AB42" s="21">
        <f>'Working Capital &amp; Assets'!I45</f>
        <v>418032</v>
      </c>
      <c r="AC42" s="21">
        <f>'Working Capital &amp; Assets'!J45</f>
        <v>295320</v>
      </c>
      <c r="AD42" s="21">
        <f>MIN(AE42,SUMIFS($W$2:$W$181,$A$2:$A$181,"&gt;"&amp;A42,$A$2:$A$181,"&lt;="&amp;EDATE(A42,12))+IF(AND(DATE(2033,12,1)&gt;A42,DATE(2033,12,1)&lt;=EDATE(A42,12)),'Funding &amp; Cap'!$B$200,0))</f>
        <v>0</v>
      </c>
      <c r="AE42" s="22">
        <f>'Funding &amp; Cap'!Q101</f>
        <v>0</v>
      </c>
      <c r="AF42" s="22">
        <f t="shared" si="2"/>
        <v>17046551</v>
      </c>
      <c r="AG42" s="22">
        <f t="shared" si="3"/>
        <v>-565020</v>
      </c>
      <c r="AH42" s="23">
        <f>'Revenue &amp; Demand'!P206</f>
        <v>0</v>
      </c>
      <c r="AI42" s="24">
        <f>'Revenue &amp; Demand'!Q206</f>
        <v>0</v>
      </c>
      <c r="AJ42" s="24">
        <f>'Manufacturing &amp; Production'!J246</f>
        <v>0</v>
      </c>
      <c r="AK42" s="22"/>
      <c r="AL42" s="22"/>
      <c r="AM42" s="22"/>
    </row>
    <row r="43" ht="19.5" customHeight="1">
      <c r="A43" s="15">
        <v>44348.0</v>
      </c>
      <c r="B43" s="18">
        <f t="shared" si="1"/>
        <v>2021</v>
      </c>
      <c r="C43" s="19">
        <f>'Revenue &amp; Demand'!C207</f>
        <v>0</v>
      </c>
      <c r="D43" s="19">
        <f>'Revenue &amp; Demand'!F207</f>
        <v>6</v>
      </c>
      <c r="E43" s="21">
        <f>'Revenue &amp; Demand'!E207</f>
        <v>0</v>
      </c>
      <c r="F43" s="21">
        <f>'Revenue &amp; Demand'!H207</f>
        <v>182599</v>
      </c>
      <c r="G43" s="21">
        <f>'Revenue &amp; Demand'!J207</f>
        <v>128676</v>
      </c>
      <c r="H43" s="21">
        <f>'Manufacturing &amp; Production'!F247</f>
        <v>0</v>
      </c>
      <c r="I43" s="21">
        <f>'Manufacturing &amp; Production'!G247</f>
        <v>0</v>
      </c>
      <c r="J43" s="21">
        <f>'Workforce &amp; Expenses'!M299</f>
        <v>80344</v>
      </c>
      <c r="K43" s="21">
        <f>'Manufacturing &amp; Production'!K247</f>
        <v>12868</v>
      </c>
      <c r="L43" s="21">
        <f>'Clinical Trials &amp; R&amp;D'!F247</f>
        <v>301685</v>
      </c>
      <c r="M43" s="21">
        <f>'Clinical Trials &amp; R&amp;D'!I247</f>
        <v>0</v>
      </c>
      <c r="N43" s="21">
        <f>'Workforce &amp; Expenses'!P299</f>
        <v>51399</v>
      </c>
      <c r="O43" s="21">
        <f>'Workforce &amp; Expenses'!S299</f>
        <v>186872</v>
      </c>
      <c r="P43" s="21">
        <f>'Funding &amp; Cap'!F102</f>
        <v>37168</v>
      </c>
      <c r="Q43" s="21">
        <f>'Working Capital &amp; Assets'!B46</f>
        <v>37500</v>
      </c>
      <c r="R43" s="21">
        <f>'Funding &amp; Cap'!H102</f>
        <v>0</v>
      </c>
      <c r="S43" s="21">
        <f>'Working Capital &amp; Assets'!C46</f>
        <v>0</v>
      </c>
      <c r="T43" s="21">
        <f>'Working Capital &amp; Assets'!D46</f>
        <v>168232</v>
      </c>
      <c r="U43" s="21">
        <f>'Funding &amp; Cap'!B102</f>
        <v>0</v>
      </c>
      <c r="V43" s="21">
        <f>'Funding &amp; Cap'!C102</f>
        <v>0</v>
      </c>
      <c r="W43" s="21">
        <f>'Funding &amp; Cap'!D102</f>
        <v>0</v>
      </c>
      <c r="X43" s="21">
        <f>'Working Capital &amp; Assets'!E46</f>
        <v>243836</v>
      </c>
      <c r="Y43" s="21">
        <f>'Working Capital &amp; Assets'!F46</f>
        <v>0</v>
      </c>
      <c r="Z43" s="21">
        <f>'Working Capital &amp; Assets'!G46</f>
        <v>107500</v>
      </c>
      <c r="AA43" s="21">
        <f>'Working Capital &amp; Assets'!H46</f>
        <v>160986</v>
      </c>
      <c r="AB43" s="21">
        <f>'Working Capital &amp; Assets'!I46</f>
        <v>430750</v>
      </c>
      <c r="AC43" s="21">
        <f>'Working Capital &amp; Assets'!J46</f>
        <v>318000</v>
      </c>
      <c r="AD43" s="21">
        <f>MIN(AE43,SUMIFS($W$2:$W$181,$A$2:$A$181,"&gt;"&amp;A43,$A$2:$A$181,"&lt;="&amp;EDATE(A43,12))+IF(AND(DATE(2033,12,1)&gt;A43,DATE(2033,12,1)&lt;=EDATE(A43,12)),'Funding &amp; Cap'!$B$200,0))</f>
        <v>0</v>
      </c>
      <c r="AE43" s="22">
        <f>'Funding &amp; Cap'!Q102</f>
        <v>0</v>
      </c>
      <c r="AF43" s="22">
        <f t="shared" si="2"/>
        <v>16578611</v>
      </c>
      <c r="AG43" s="22">
        <f t="shared" si="3"/>
        <v>-467940</v>
      </c>
      <c r="AH43" s="23">
        <f>'Revenue &amp; Demand'!P207</f>
        <v>0</v>
      </c>
      <c r="AI43" s="24">
        <f>'Revenue &amp; Demand'!Q207</f>
        <v>0</v>
      </c>
      <c r="AJ43" s="24">
        <f>'Manufacturing &amp; Production'!J247</f>
        <v>0</v>
      </c>
      <c r="AK43" s="22"/>
      <c r="AL43" s="22"/>
      <c r="AM43" s="22"/>
    </row>
    <row r="44" ht="19.5" customHeight="1">
      <c r="A44" s="15">
        <v>44378.0</v>
      </c>
      <c r="B44" s="18">
        <f t="shared" si="1"/>
        <v>2021</v>
      </c>
      <c r="C44" s="19">
        <f>'Revenue &amp; Demand'!C208</f>
        <v>0</v>
      </c>
      <c r="D44" s="19">
        <f>'Revenue &amp; Demand'!F208</f>
        <v>6</v>
      </c>
      <c r="E44" s="21">
        <f>'Revenue &amp; Demand'!E208</f>
        <v>0</v>
      </c>
      <c r="F44" s="21">
        <f>'Revenue &amp; Demand'!H208</f>
        <v>178876</v>
      </c>
      <c r="G44" s="21">
        <f>'Revenue &amp; Demand'!J208</f>
        <v>20588</v>
      </c>
      <c r="H44" s="21">
        <f>'Manufacturing &amp; Production'!F248</f>
        <v>0</v>
      </c>
      <c r="I44" s="21">
        <f>'Manufacturing &amp; Production'!G248</f>
        <v>0</v>
      </c>
      <c r="J44" s="21">
        <f>'Workforce &amp; Expenses'!M300</f>
        <v>78705</v>
      </c>
      <c r="K44" s="21">
        <f>'Manufacturing &amp; Production'!K248</f>
        <v>2059</v>
      </c>
      <c r="L44" s="21">
        <f>'Clinical Trials &amp; R&amp;D'!F248</f>
        <v>295534</v>
      </c>
      <c r="M44" s="21">
        <f>'Clinical Trials &amp; R&amp;D'!I248</f>
        <v>0</v>
      </c>
      <c r="N44" s="21">
        <f>'Workforce &amp; Expenses'!P300</f>
        <v>56645</v>
      </c>
      <c r="O44" s="21">
        <f>'Workforce &amp; Expenses'!S300</f>
        <v>184541</v>
      </c>
      <c r="P44" s="21">
        <f>'Funding &amp; Cap'!F103</f>
        <v>37832</v>
      </c>
      <c r="Q44" s="21">
        <f>'Working Capital &amp; Assets'!B47</f>
        <v>37500</v>
      </c>
      <c r="R44" s="21">
        <f>'Funding &amp; Cap'!H103</f>
        <v>0</v>
      </c>
      <c r="S44" s="21">
        <f>'Working Capital &amp; Assets'!C47</f>
        <v>0</v>
      </c>
      <c r="T44" s="21">
        <f>'Working Capital &amp; Assets'!D47</f>
        <v>170188</v>
      </c>
      <c r="U44" s="21">
        <f>'Funding &amp; Cap'!B103</f>
        <v>0</v>
      </c>
      <c r="V44" s="21">
        <f>'Funding &amp; Cap'!C103</f>
        <v>0</v>
      </c>
      <c r="W44" s="21">
        <f>'Funding &amp; Cap'!D103</f>
        <v>0</v>
      </c>
      <c r="X44" s="21">
        <f>'Working Capital &amp; Assets'!E47</f>
        <v>257624</v>
      </c>
      <c r="Y44" s="21">
        <f>'Working Capital &amp; Assets'!F47</f>
        <v>0</v>
      </c>
      <c r="Z44" s="21">
        <f>'Working Capital &amp; Assets'!G47</f>
        <v>113233</v>
      </c>
      <c r="AA44" s="21">
        <f>'Working Capital &amp; Assets'!H47</f>
        <v>167295</v>
      </c>
      <c r="AB44" s="21">
        <f>'Working Capital &amp; Assets'!I47</f>
        <v>443468</v>
      </c>
      <c r="AC44" s="21">
        <f>'Working Capital &amp; Assets'!J47</f>
        <v>340680</v>
      </c>
      <c r="AD44" s="21">
        <f>MIN(AE44,SUMIFS($W$2:$W$181,$A$2:$A$181,"&gt;"&amp;A44,$A$2:$A$181,"&lt;="&amp;EDATE(A44,12))+IF(AND(DATE(2033,12,1)&gt;A44,DATE(2033,12,1)&lt;=EDATE(A44,12)),'Funding &amp; Cap'!$B$200,0))</f>
        <v>0</v>
      </c>
      <c r="AE44" s="22">
        <f>'Funding &amp; Cap'!Q103</f>
        <v>0</v>
      </c>
      <c r="AF44" s="22">
        <f t="shared" si="2"/>
        <v>16012589</v>
      </c>
      <c r="AG44" s="22">
        <f t="shared" si="3"/>
        <v>-566022</v>
      </c>
      <c r="AH44" s="23">
        <f>'Revenue &amp; Demand'!P208</f>
        <v>0</v>
      </c>
      <c r="AI44" s="24">
        <f>'Revenue &amp; Demand'!Q208</f>
        <v>0</v>
      </c>
      <c r="AJ44" s="24">
        <f>'Manufacturing &amp; Production'!J248</f>
        <v>0</v>
      </c>
      <c r="AK44" s="22"/>
      <c r="AL44" s="22"/>
      <c r="AM44" s="22"/>
    </row>
    <row r="45" ht="19.5" customHeight="1">
      <c r="A45" s="15">
        <v>44409.0</v>
      </c>
      <c r="B45" s="18">
        <f t="shared" si="1"/>
        <v>2021</v>
      </c>
      <c r="C45" s="19">
        <f>'Revenue &amp; Demand'!C209</f>
        <v>0</v>
      </c>
      <c r="D45" s="19">
        <f>'Revenue &amp; Demand'!F209</f>
        <v>6</v>
      </c>
      <c r="E45" s="21">
        <f>'Revenue &amp; Demand'!E209</f>
        <v>0</v>
      </c>
      <c r="F45" s="21">
        <f>'Revenue &amp; Demand'!H209</f>
        <v>178865</v>
      </c>
      <c r="G45" s="21">
        <f>'Revenue &amp; Demand'!J209</f>
        <v>20588</v>
      </c>
      <c r="H45" s="21">
        <f>'Manufacturing &amp; Production'!F249</f>
        <v>0</v>
      </c>
      <c r="I45" s="21">
        <f>'Manufacturing &amp; Production'!G249</f>
        <v>0</v>
      </c>
      <c r="J45" s="21">
        <f>'Workforce &amp; Expenses'!M301</f>
        <v>78701</v>
      </c>
      <c r="K45" s="21">
        <f>'Manufacturing &amp; Production'!K249</f>
        <v>2059</v>
      </c>
      <c r="L45" s="21">
        <f>'Clinical Trials &amp; R&amp;D'!F249</f>
        <v>295516</v>
      </c>
      <c r="M45" s="21">
        <f>'Clinical Trials &amp; R&amp;D'!I249</f>
        <v>0</v>
      </c>
      <c r="N45" s="21">
        <f>'Workforce &amp; Expenses'!P301</f>
        <v>61940</v>
      </c>
      <c r="O45" s="21">
        <f>'Workforce &amp; Expenses'!S301</f>
        <v>183171</v>
      </c>
      <c r="P45" s="21">
        <f>'Funding &amp; Cap'!F104</f>
        <v>38496</v>
      </c>
      <c r="Q45" s="21">
        <f>'Working Capital &amp; Assets'!B48</f>
        <v>37500</v>
      </c>
      <c r="R45" s="21">
        <f>'Funding &amp; Cap'!H104</f>
        <v>0</v>
      </c>
      <c r="S45" s="21">
        <f>'Working Capital &amp; Assets'!C48</f>
        <v>0</v>
      </c>
      <c r="T45" s="21">
        <f>'Working Capital &amp; Assets'!D48</f>
        <v>172144</v>
      </c>
      <c r="U45" s="21">
        <f>'Funding &amp; Cap'!B104</f>
        <v>0</v>
      </c>
      <c r="V45" s="21">
        <f>'Funding &amp; Cap'!C104</f>
        <v>0</v>
      </c>
      <c r="W45" s="21">
        <f>'Funding &amp; Cap'!D104</f>
        <v>0</v>
      </c>
      <c r="X45" s="21">
        <f>'Working Capital &amp; Assets'!E48</f>
        <v>272244</v>
      </c>
      <c r="Y45" s="21">
        <f>'Working Capital &amp; Assets'!F48</f>
        <v>0</v>
      </c>
      <c r="Z45" s="21">
        <f>'Working Capital &amp; Assets'!G48</f>
        <v>119328</v>
      </c>
      <c r="AA45" s="21">
        <f>'Working Capital &amp; Assets'!H48</f>
        <v>174112</v>
      </c>
      <c r="AB45" s="21">
        <f>'Working Capital &amp; Assets'!I48</f>
        <v>457478</v>
      </c>
      <c r="AC45" s="21">
        <f>'Working Capital &amp; Assets'!J48</f>
        <v>364518</v>
      </c>
      <c r="AD45" s="21">
        <f>MIN(AE45,SUMIFS($W$2:$W$181,$A$2:$A$181,"&gt;"&amp;A45,$A$2:$A$181,"&lt;="&amp;EDATE(A45,12))+IF(AND(DATE(2033,12,1)&gt;A45,DATE(2033,12,1)&lt;=EDATE(A45,12)),'Funding &amp; Cap'!$B$200,0))</f>
        <v>0</v>
      </c>
      <c r="AE45" s="22">
        <f>'Funding &amp; Cap'!Q104</f>
        <v>0</v>
      </c>
      <c r="AF45" s="22">
        <f t="shared" si="2"/>
        <v>15442461</v>
      </c>
      <c r="AG45" s="22">
        <f t="shared" si="3"/>
        <v>-570128</v>
      </c>
      <c r="AH45" s="23">
        <f>'Revenue &amp; Demand'!P209</f>
        <v>0</v>
      </c>
      <c r="AI45" s="24">
        <f>'Revenue &amp; Demand'!Q209</f>
        <v>0</v>
      </c>
      <c r="AJ45" s="24">
        <f>'Manufacturing &amp; Production'!J249</f>
        <v>0</v>
      </c>
      <c r="AK45" s="22"/>
      <c r="AL45" s="22"/>
      <c r="AM45" s="22"/>
    </row>
    <row r="46" ht="19.5" customHeight="1">
      <c r="A46" s="15">
        <v>44440.0</v>
      </c>
      <c r="B46" s="18">
        <f t="shared" si="1"/>
        <v>2021</v>
      </c>
      <c r="C46" s="19">
        <f>'Revenue &amp; Demand'!C210</f>
        <v>0</v>
      </c>
      <c r="D46" s="19">
        <f>'Revenue &amp; Demand'!F210</f>
        <v>7</v>
      </c>
      <c r="E46" s="21">
        <f>'Revenue &amp; Demand'!E210</f>
        <v>0</v>
      </c>
      <c r="F46" s="21">
        <f>'Revenue &amp; Demand'!H210</f>
        <v>183143</v>
      </c>
      <c r="G46" s="21">
        <f>'Revenue &amp; Demand'!J210</f>
        <v>128676</v>
      </c>
      <c r="H46" s="21">
        <f>'Manufacturing &amp; Production'!F250</f>
        <v>0</v>
      </c>
      <c r="I46" s="21">
        <f>'Manufacturing &amp; Production'!G250</f>
        <v>0</v>
      </c>
      <c r="J46" s="21">
        <f>'Workforce &amp; Expenses'!M302</f>
        <v>80583</v>
      </c>
      <c r="K46" s="21">
        <f>'Manufacturing &amp; Production'!K250</f>
        <v>12868</v>
      </c>
      <c r="L46" s="21">
        <f>'Clinical Trials &amp; R&amp;D'!F250</f>
        <v>302584</v>
      </c>
      <c r="M46" s="21">
        <f>'Clinical Trials &amp; R&amp;D'!I250</f>
        <v>0</v>
      </c>
      <c r="N46" s="21">
        <f>'Workforce &amp; Expenses'!P302</f>
        <v>67292</v>
      </c>
      <c r="O46" s="21">
        <f>'Workforce &amp; Expenses'!S302</f>
        <v>183465</v>
      </c>
      <c r="P46" s="21">
        <f>'Funding &amp; Cap'!F105</f>
        <v>39159</v>
      </c>
      <c r="Q46" s="21">
        <f>'Working Capital &amp; Assets'!B49</f>
        <v>37500</v>
      </c>
      <c r="R46" s="21">
        <f>'Funding &amp; Cap'!H105</f>
        <v>0</v>
      </c>
      <c r="S46" s="21">
        <f>'Working Capital &amp; Assets'!C49</f>
        <v>0</v>
      </c>
      <c r="T46" s="21">
        <f>'Working Capital &amp; Assets'!D49</f>
        <v>408842</v>
      </c>
      <c r="U46" s="21">
        <f>'Funding &amp; Cap'!B105</f>
        <v>0</v>
      </c>
      <c r="V46" s="21">
        <f>'Funding &amp; Cap'!C105</f>
        <v>0</v>
      </c>
      <c r="W46" s="21">
        <f>'Funding &amp; Cap'!D105</f>
        <v>0</v>
      </c>
      <c r="X46" s="21">
        <f>'Working Capital &amp; Assets'!E49</f>
        <v>288307</v>
      </c>
      <c r="Y46" s="21">
        <f>'Working Capital &amp; Assets'!F49</f>
        <v>0</v>
      </c>
      <c r="Z46" s="21">
        <f>'Working Capital &amp; Assets'!G49</f>
        <v>126050</v>
      </c>
      <c r="AA46" s="21">
        <f>'Working Capital &amp; Assets'!H49</f>
        <v>181806</v>
      </c>
      <c r="AB46" s="21">
        <f>'Working Capital &amp; Assets'!I49</f>
        <v>473727</v>
      </c>
      <c r="AC46" s="21">
        <f>'Working Capital &amp; Assets'!J49</f>
        <v>390360</v>
      </c>
      <c r="AD46" s="21">
        <f>MIN(AE46,SUMIFS($W$2:$W$181,$A$2:$A$181,"&gt;"&amp;A46,$A$2:$A$181,"&lt;="&amp;EDATE(A46,12))+IF(AND(DATE(2033,12,1)&gt;A46,DATE(2033,12,1)&lt;=EDATE(A46,12)),'Funding &amp; Cap'!$B$200,0))</f>
        <v>0</v>
      </c>
      <c r="AE46" s="22">
        <f>'Funding &amp; Cap'!Q105</f>
        <v>0</v>
      </c>
      <c r="AF46" s="22">
        <f t="shared" si="2"/>
        <v>14725646</v>
      </c>
      <c r="AG46" s="22">
        <f t="shared" si="3"/>
        <v>-716815</v>
      </c>
      <c r="AH46" s="23">
        <f>'Revenue &amp; Demand'!P210</f>
        <v>0</v>
      </c>
      <c r="AI46" s="24">
        <f>'Revenue &amp; Demand'!Q210</f>
        <v>0</v>
      </c>
      <c r="AJ46" s="24">
        <f>'Manufacturing &amp; Production'!J250</f>
        <v>0</v>
      </c>
      <c r="AK46" s="22"/>
      <c r="AL46" s="22"/>
      <c r="AM46" s="22"/>
    </row>
    <row r="47" ht="19.5" customHeight="1">
      <c r="A47" s="15">
        <v>44470.0</v>
      </c>
      <c r="B47" s="18">
        <f t="shared" si="1"/>
        <v>2021</v>
      </c>
      <c r="C47" s="19">
        <f>'Revenue &amp; Demand'!C211</f>
        <v>0</v>
      </c>
      <c r="D47" s="19">
        <f>'Revenue &amp; Demand'!F211</f>
        <v>7</v>
      </c>
      <c r="E47" s="21">
        <f>'Revenue &amp; Demand'!E211</f>
        <v>0</v>
      </c>
      <c r="F47" s="21">
        <f>'Revenue &amp; Demand'!H211</f>
        <v>191133</v>
      </c>
      <c r="G47" s="21">
        <f>'Revenue &amp; Demand'!J211</f>
        <v>20588</v>
      </c>
      <c r="H47" s="21">
        <f>'Manufacturing &amp; Production'!F251</f>
        <v>0</v>
      </c>
      <c r="I47" s="21">
        <f>'Manufacturing &amp; Production'!G251</f>
        <v>0</v>
      </c>
      <c r="J47" s="21">
        <f>'Workforce &amp; Expenses'!M303</f>
        <v>84099</v>
      </c>
      <c r="K47" s="21">
        <f>'Manufacturing &amp; Production'!K251</f>
        <v>2059</v>
      </c>
      <c r="L47" s="21">
        <f>'Clinical Trials &amp; R&amp;D'!F251</f>
        <v>315785</v>
      </c>
      <c r="M47" s="21">
        <f>'Clinical Trials &amp; R&amp;D'!I251</f>
        <v>0</v>
      </c>
      <c r="N47" s="21">
        <f>'Workforce &amp; Expenses'!P303</f>
        <v>72693</v>
      </c>
      <c r="O47" s="21">
        <f>'Workforce &amp; Expenses'!S303</f>
        <v>185681</v>
      </c>
      <c r="P47" s="21">
        <f>'Funding &amp; Cap'!F106</f>
        <v>39823</v>
      </c>
      <c r="Q47" s="21">
        <f>'Working Capital &amp; Assets'!B50</f>
        <v>37500</v>
      </c>
      <c r="R47" s="21">
        <f>'Funding &amp; Cap'!H106</f>
        <v>0</v>
      </c>
      <c r="S47" s="21">
        <f>'Working Capital &amp; Assets'!C50</f>
        <v>0</v>
      </c>
      <c r="T47" s="21">
        <f>'Working Capital &amp; Assets'!D50</f>
        <v>176056</v>
      </c>
      <c r="U47" s="21">
        <f>'Funding &amp; Cap'!B106</f>
        <v>0</v>
      </c>
      <c r="V47" s="21">
        <f>'Funding &amp; Cap'!C106</f>
        <v>0</v>
      </c>
      <c r="W47" s="21">
        <f>'Funding &amp; Cap'!D106</f>
        <v>0</v>
      </c>
      <c r="X47" s="21">
        <f>'Working Capital &amp; Assets'!E50</f>
        <v>306034</v>
      </c>
      <c r="Y47" s="21">
        <f>'Working Capital &amp; Assets'!F50</f>
        <v>0</v>
      </c>
      <c r="Z47" s="21">
        <f>'Working Capital &amp; Assets'!G50</f>
        <v>133495</v>
      </c>
      <c r="AA47" s="21">
        <f>'Working Capital &amp; Assets'!H50</f>
        <v>190513</v>
      </c>
      <c r="AB47" s="21">
        <f>'Working Capital &amp; Assets'!I50</f>
        <v>492561</v>
      </c>
      <c r="AC47" s="21">
        <f>'Working Capital &amp; Assets'!J50</f>
        <v>418518</v>
      </c>
      <c r="AD47" s="21">
        <f>MIN(AE47,SUMIFS($W$2:$W$181,$A$2:$A$181,"&gt;"&amp;A47,$A$2:$A$181,"&lt;="&amp;EDATE(A47,12))+IF(AND(DATE(2033,12,1)&gt;A47,DATE(2033,12,1)&lt;=EDATE(A47,12)),'Funding &amp; Cap'!$B$200,0))</f>
        <v>0</v>
      </c>
      <c r="AE47" s="22">
        <f>'Funding &amp; Cap'!Q106</f>
        <v>0</v>
      </c>
      <c r="AF47" s="22">
        <f t="shared" si="2"/>
        <v>14131521</v>
      </c>
      <c r="AG47" s="22">
        <f t="shared" si="3"/>
        <v>-594125</v>
      </c>
      <c r="AH47" s="23">
        <f>'Revenue &amp; Demand'!P211</f>
        <v>0</v>
      </c>
      <c r="AI47" s="24">
        <f>'Revenue &amp; Demand'!Q211</f>
        <v>0</v>
      </c>
      <c r="AJ47" s="24">
        <f>'Manufacturing &amp; Production'!J251</f>
        <v>0</v>
      </c>
      <c r="AK47" s="22"/>
      <c r="AL47" s="22"/>
      <c r="AM47" s="22"/>
    </row>
    <row r="48" ht="19.5" customHeight="1">
      <c r="A48" s="15">
        <v>44501.0</v>
      </c>
      <c r="B48" s="18">
        <f t="shared" si="1"/>
        <v>2021</v>
      </c>
      <c r="C48" s="19">
        <f>'Revenue &amp; Demand'!C212</f>
        <v>0</v>
      </c>
      <c r="D48" s="19">
        <f>'Revenue &amp; Demand'!F212</f>
        <v>8</v>
      </c>
      <c r="E48" s="21">
        <f>'Revenue &amp; Demand'!E212</f>
        <v>0</v>
      </c>
      <c r="F48" s="21">
        <f>'Revenue &amp; Demand'!H212</f>
        <v>201268</v>
      </c>
      <c r="G48" s="21">
        <f>'Revenue &amp; Demand'!J212</f>
        <v>20588</v>
      </c>
      <c r="H48" s="21">
        <f>'Manufacturing &amp; Production'!F252</f>
        <v>0</v>
      </c>
      <c r="I48" s="21">
        <f>'Manufacturing &amp; Production'!G252</f>
        <v>0</v>
      </c>
      <c r="J48" s="21">
        <f>'Workforce &amp; Expenses'!M304</f>
        <v>88558</v>
      </c>
      <c r="K48" s="21">
        <f>'Manufacturing &amp; Production'!K252</f>
        <v>2059</v>
      </c>
      <c r="L48" s="21">
        <f>'Clinical Trials &amp; R&amp;D'!F252</f>
        <v>332529</v>
      </c>
      <c r="M48" s="21">
        <f>'Clinical Trials &amp; R&amp;D'!I252</f>
        <v>0</v>
      </c>
      <c r="N48" s="21">
        <f>'Workforce &amp; Expenses'!P304</f>
        <v>78123</v>
      </c>
      <c r="O48" s="21">
        <f>'Workforce &amp; Expenses'!S304</f>
        <v>189562</v>
      </c>
      <c r="P48" s="21">
        <f>'Funding &amp; Cap'!F107</f>
        <v>40487</v>
      </c>
      <c r="Q48" s="21">
        <f>'Working Capital &amp; Assets'!B51</f>
        <v>37500</v>
      </c>
      <c r="R48" s="21">
        <f>'Funding &amp; Cap'!H107</f>
        <v>0</v>
      </c>
      <c r="S48" s="21">
        <f>'Working Capital &amp; Assets'!C51</f>
        <v>0</v>
      </c>
      <c r="T48" s="21">
        <f>'Working Capital &amp; Assets'!D51</f>
        <v>178013</v>
      </c>
      <c r="U48" s="21">
        <f>'Funding &amp; Cap'!B107</f>
        <v>0</v>
      </c>
      <c r="V48" s="21">
        <f>'Funding &amp; Cap'!C107</f>
        <v>0</v>
      </c>
      <c r="W48" s="21">
        <f>'Funding &amp; Cap'!D107</f>
        <v>0</v>
      </c>
      <c r="X48" s="21">
        <f>'Working Capital &amp; Assets'!E51</f>
        <v>325204</v>
      </c>
      <c r="Y48" s="21">
        <f>'Working Capital &amp; Assets'!F51</f>
        <v>0</v>
      </c>
      <c r="Z48" s="21">
        <f>'Working Capital &amp; Assets'!G51</f>
        <v>141567</v>
      </c>
      <c r="AA48" s="21">
        <f>'Working Capital &amp; Assets'!H51</f>
        <v>200099</v>
      </c>
      <c r="AB48" s="21">
        <f>'Working Capital &amp; Assets'!I51</f>
        <v>513634</v>
      </c>
      <c r="AC48" s="21">
        <f>'Working Capital &amp; Assets'!J51</f>
        <v>448680</v>
      </c>
      <c r="AD48" s="21">
        <f>MIN(AE48,SUMIFS($W$2:$W$181,$A$2:$A$181,"&gt;"&amp;A48,$A$2:$A$181,"&lt;="&amp;EDATE(A48,12))+IF(AND(DATE(2033,12,1)&gt;A48,DATE(2033,12,1)&lt;=EDATE(A48,12)),'Funding &amp; Cap'!$B$200,0))</f>
        <v>0</v>
      </c>
      <c r="AE48" s="22">
        <f>'Funding &amp; Cap'!Q107</f>
        <v>0</v>
      </c>
      <c r="AF48" s="22">
        <f t="shared" si="2"/>
        <v>13518112</v>
      </c>
      <c r="AG48" s="22">
        <f t="shared" si="3"/>
        <v>-613409</v>
      </c>
      <c r="AH48" s="23">
        <f>'Revenue &amp; Demand'!P212</f>
        <v>0</v>
      </c>
      <c r="AI48" s="24">
        <f>'Revenue &amp; Demand'!Q212</f>
        <v>0</v>
      </c>
      <c r="AJ48" s="24">
        <f>'Manufacturing &amp; Production'!J252</f>
        <v>0</v>
      </c>
      <c r="AK48" s="22"/>
      <c r="AL48" s="22"/>
      <c r="AM48" s="22"/>
    </row>
    <row r="49" ht="19.5" customHeight="1">
      <c r="A49" s="15">
        <v>44531.0</v>
      </c>
      <c r="B49" s="18">
        <f t="shared" si="1"/>
        <v>2021</v>
      </c>
      <c r="C49" s="19">
        <f>'Revenue &amp; Demand'!C213</f>
        <v>0</v>
      </c>
      <c r="D49" s="19">
        <f>'Revenue &amp; Demand'!F213</f>
        <v>8</v>
      </c>
      <c r="E49" s="21">
        <f>'Revenue &amp; Demand'!E213</f>
        <v>0</v>
      </c>
      <c r="F49" s="21">
        <f>'Revenue &amp; Demand'!H213</f>
        <v>211402</v>
      </c>
      <c r="G49" s="21">
        <f>'Revenue &amp; Demand'!J213</f>
        <v>149268</v>
      </c>
      <c r="H49" s="21">
        <f>'Manufacturing &amp; Production'!F253</f>
        <v>0</v>
      </c>
      <c r="I49" s="21">
        <f>'Manufacturing &amp; Production'!G253</f>
        <v>0</v>
      </c>
      <c r="J49" s="21">
        <f>'Workforce &amp; Expenses'!M305</f>
        <v>93016</v>
      </c>
      <c r="K49" s="21">
        <f>'Manufacturing &amp; Production'!K253</f>
        <v>14924</v>
      </c>
      <c r="L49" s="21">
        <f>'Clinical Trials &amp; R&amp;D'!F253</f>
        <v>349275</v>
      </c>
      <c r="M49" s="21">
        <f>'Clinical Trials &amp; R&amp;D'!I253</f>
        <v>0</v>
      </c>
      <c r="N49" s="21">
        <f>'Workforce &amp; Expenses'!P305</f>
        <v>83552</v>
      </c>
      <c r="O49" s="21">
        <f>'Workforce &amp; Expenses'!S305</f>
        <v>194405</v>
      </c>
      <c r="P49" s="21">
        <f>'Funding &amp; Cap'!F108</f>
        <v>41150</v>
      </c>
      <c r="Q49" s="21">
        <f>'Working Capital &amp; Assets'!B52</f>
        <v>37500</v>
      </c>
      <c r="R49" s="21">
        <f>'Funding &amp; Cap'!H108</f>
        <v>0</v>
      </c>
      <c r="S49" s="21">
        <f>'Working Capital &amp; Assets'!C52</f>
        <v>0</v>
      </c>
      <c r="T49" s="21">
        <f>'Working Capital &amp; Assets'!D52</f>
        <v>179968</v>
      </c>
      <c r="U49" s="21">
        <f>'Funding &amp; Cap'!B108</f>
        <v>0</v>
      </c>
      <c r="V49" s="21">
        <f>'Funding &amp; Cap'!C108</f>
        <v>0</v>
      </c>
      <c r="W49" s="21">
        <f>'Funding &amp; Cap'!D108</f>
        <v>0</v>
      </c>
      <c r="X49" s="21">
        <f>'Working Capital &amp; Assets'!E52</f>
        <v>345205</v>
      </c>
      <c r="Y49" s="21">
        <f>'Working Capital &amp; Assets'!F52</f>
        <v>0</v>
      </c>
      <c r="Z49" s="21">
        <f>'Working Capital &amp; Assets'!G52</f>
        <v>150000</v>
      </c>
      <c r="AA49" s="21">
        <f>'Working Capital &amp; Assets'!H52</f>
        <v>210192</v>
      </c>
      <c r="AB49" s="21">
        <f>'Working Capital &amp; Assets'!I52</f>
        <v>536000</v>
      </c>
      <c r="AC49" s="21">
        <f>'Working Capital &amp; Assets'!J52</f>
        <v>480000</v>
      </c>
      <c r="AD49" s="21">
        <f>MIN(AE49,SUMIFS($W$2:$W$181,$A$2:$A$181,"&gt;"&amp;A49,$A$2:$A$181,"&lt;="&amp;EDATE(A49,12))+IF(AND(DATE(2033,12,1)&gt;A49,DATE(2033,12,1)&lt;=EDATE(A49,12)),'Funding &amp; Cap'!$B$200,0))</f>
        <v>0</v>
      </c>
      <c r="AE49" s="22">
        <f>'Funding &amp; Cap'!Q108</f>
        <v>0</v>
      </c>
      <c r="AF49" s="22">
        <f t="shared" si="2"/>
        <v>12998987</v>
      </c>
      <c r="AG49" s="22">
        <f t="shared" si="3"/>
        <v>-519125</v>
      </c>
      <c r="AH49" s="23">
        <f>'Revenue &amp; Demand'!P213</f>
        <v>0</v>
      </c>
      <c r="AI49" s="24">
        <f>'Revenue &amp; Demand'!Q213</f>
        <v>0</v>
      </c>
      <c r="AJ49" s="24">
        <f>'Manufacturing &amp; Production'!J253</f>
        <v>0</v>
      </c>
      <c r="AK49" s="22"/>
      <c r="AL49" s="22"/>
      <c r="AM49" s="22"/>
    </row>
    <row r="50" ht="19.5" customHeight="1">
      <c r="A50" s="15">
        <v>44562.0</v>
      </c>
      <c r="B50" s="18">
        <f t="shared" si="1"/>
        <v>2022</v>
      </c>
      <c r="C50" s="19">
        <f>'Revenue &amp; Demand'!C214</f>
        <v>0</v>
      </c>
      <c r="D50" s="19">
        <f>'Revenue &amp; Demand'!F214</f>
        <v>9</v>
      </c>
      <c r="E50" s="21">
        <f>'Revenue &amp; Demand'!E214</f>
        <v>0</v>
      </c>
      <c r="F50" s="21">
        <f>'Revenue &amp; Demand'!H214</f>
        <v>421282</v>
      </c>
      <c r="G50" s="21">
        <f>'Revenue &amp; Demand'!J214</f>
        <v>29412</v>
      </c>
      <c r="H50" s="21">
        <f>'Manufacturing &amp; Production'!F254</f>
        <v>0</v>
      </c>
      <c r="I50" s="21">
        <f>'Manufacturing &amp; Production'!G254</f>
        <v>0</v>
      </c>
      <c r="J50" s="21">
        <f>'Workforce &amp; Expenses'!M306</f>
        <v>185364</v>
      </c>
      <c r="K50" s="21">
        <f>'Manufacturing &amp; Production'!K254</f>
        <v>2941</v>
      </c>
      <c r="L50" s="21">
        <f>'Clinical Trials &amp; R&amp;D'!F254</f>
        <v>1074268</v>
      </c>
      <c r="M50" s="21">
        <f>'Clinical Trials &amp; R&amp;D'!I254</f>
        <v>189577</v>
      </c>
      <c r="N50" s="21">
        <f>'Workforce &amp; Expenses'!P306</f>
        <v>81903</v>
      </c>
      <c r="O50" s="21">
        <f>'Workforce &amp; Expenses'!S306</f>
        <v>409294</v>
      </c>
      <c r="P50" s="21">
        <f>'Funding &amp; Cap'!F109</f>
        <v>56416</v>
      </c>
      <c r="Q50" s="21">
        <f>'Working Capital &amp; Assets'!B53</f>
        <v>91667</v>
      </c>
      <c r="R50" s="21">
        <f>'Funding &amp; Cap'!H109</f>
        <v>472</v>
      </c>
      <c r="S50" s="21">
        <f>'Working Capital &amp; Assets'!C53</f>
        <v>0</v>
      </c>
      <c r="T50" s="21">
        <f>'Working Capital &amp; Assets'!D53</f>
        <v>190141</v>
      </c>
      <c r="U50" s="21">
        <f>'Funding &amp; Cap'!B109</f>
        <v>0</v>
      </c>
      <c r="V50" s="21">
        <f>'Funding &amp; Cap'!C109</f>
        <v>0</v>
      </c>
      <c r="W50" s="21">
        <f>'Funding &amp; Cap'!D109</f>
        <v>0</v>
      </c>
      <c r="X50" s="21">
        <f>'Working Capital &amp; Assets'!E53</f>
        <v>384740</v>
      </c>
      <c r="Y50" s="21">
        <f>'Working Capital &amp; Assets'!F53</f>
        <v>0</v>
      </c>
      <c r="Z50" s="21">
        <f>'Working Capital &amp; Assets'!G53</f>
        <v>170740</v>
      </c>
      <c r="AA50" s="21">
        <f>'Working Capital &amp; Assets'!H53</f>
        <v>261546</v>
      </c>
      <c r="AB50" s="21">
        <f>'Working Capital &amp; Assets'!I53</f>
        <v>694467</v>
      </c>
      <c r="AC50" s="21">
        <f>'Working Capital &amp; Assets'!J53</f>
        <v>561880</v>
      </c>
      <c r="AD50" s="21">
        <f>MIN(AE50,SUMIFS($W$2:$W$181,$A$2:$A$181,"&gt;"&amp;A50,$A$2:$A$181,"&lt;="&amp;EDATE(A50,12))+IF(AND(DATE(2033,12,1)&gt;A50,DATE(2033,12,1)&lt;=EDATE(A50,12)),'Funding &amp; Cap'!$B$200,0))</f>
        <v>0</v>
      </c>
      <c r="AE50" s="22">
        <f>'Funding &amp; Cap'!Q109</f>
        <v>0</v>
      </c>
      <c r="AF50" s="22">
        <f t="shared" si="2"/>
        <v>11547147</v>
      </c>
      <c r="AG50" s="22">
        <f t="shared" si="3"/>
        <v>-1451840</v>
      </c>
      <c r="AH50" s="23">
        <f>'Revenue &amp; Demand'!P214</f>
        <v>0</v>
      </c>
      <c r="AI50" s="24">
        <f>'Revenue &amp; Demand'!Q214</f>
        <v>0</v>
      </c>
      <c r="AJ50" s="24">
        <f>'Manufacturing &amp; Production'!J254</f>
        <v>0</v>
      </c>
      <c r="AK50" s="22"/>
      <c r="AL50" s="22"/>
      <c r="AM50" s="22"/>
    </row>
    <row r="51" ht="19.5" customHeight="1">
      <c r="A51" s="15">
        <v>44593.0</v>
      </c>
      <c r="B51" s="18">
        <f t="shared" si="1"/>
        <v>2022</v>
      </c>
      <c r="C51" s="19">
        <f>'Revenue &amp; Demand'!C215</f>
        <v>0</v>
      </c>
      <c r="D51" s="19">
        <f>'Revenue &amp; Demand'!F215</f>
        <v>9</v>
      </c>
      <c r="E51" s="21">
        <f>'Revenue &amp; Demand'!E215</f>
        <v>0</v>
      </c>
      <c r="F51" s="21">
        <f>'Revenue &amp; Demand'!H215</f>
        <v>430581</v>
      </c>
      <c r="G51" s="21">
        <f>'Revenue &amp; Demand'!J215</f>
        <v>29412</v>
      </c>
      <c r="H51" s="21">
        <f>'Manufacturing &amp; Production'!F255</f>
        <v>0</v>
      </c>
      <c r="I51" s="21">
        <f>'Manufacturing &amp; Production'!G255</f>
        <v>0</v>
      </c>
      <c r="J51" s="21">
        <f>'Workforce &amp; Expenses'!M307</f>
        <v>189456</v>
      </c>
      <c r="K51" s="21">
        <f>'Manufacturing &amp; Production'!K255</f>
        <v>2941</v>
      </c>
      <c r="L51" s="21">
        <f>'Clinical Trials &amp; R&amp;D'!F255</f>
        <v>1097982</v>
      </c>
      <c r="M51" s="21">
        <f>'Clinical Trials &amp; R&amp;D'!I255</f>
        <v>193762</v>
      </c>
      <c r="N51" s="21">
        <f>'Workforce &amp; Expenses'!P307</f>
        <v>97706</v>
      </c>
      <c r="O51" s="21">
        <f>'Workforce &amp; Expenses'!S307</f>
        <v>417918</v>
      </c>
      <c r="P51" s="21">
        <f>'Funding &amp; Cap'!F110</f>
        <v>57522</v>
      </c>
      <c r="Q51" s="21">
        <f>'Working Capital &amp; Assets'!B54</f>
        <v>91667</v>
      </c>
      <c r="R51" s="21">
        <f>'Funding &amp; Cap'!H110</f>
        <v>472</v>
      </c>
      <c r="S51" s="21">
        <f>'Working Capital &amp; Assets'!C54</f>
        <v>0</v>
      </c>
      <c r="T51" s="21">
        <f>'Working Capital &amp; Assets'!D54</f>
        <v>192488</v>
      </c>
      <c r="U51" s="21">
        <f>'Funding &amp; Cap'!B110</f>
        <v>0</v>
      </c>
      <c r="V51" s="21">
        <f>'Funding &amp; Cap'!C110</f>
        <v>0</v>
      </c>
      <c r="W51" s="21">
        <f>'Funding &amp; Cap'!D110</f>
        <v>0</v>
      </c>
      <c r="X51" s="21">
        <f>'Working Capital &amp; Assets'!E54</f>
        <v>422490</v>
      </c>
      <c r="Y51" s="21">
        <f>'Working Capital &amp; Assets'!F54</f>
        <v>0</v>
      </c>
      <c r="Z51" s="21">
        <f>'Working Capital &amp; Assets'!G54</f>
        <v>190612</v>
      </c>
      <c r="AA51" s="21">
        <f>'Working Capital &amp; Assets'!H54</f>
        <v>311102</v>
      </c>
      <c r="AB51" s="21">
        <f>'Working Capital &amp; Assets'!I54</f>
        <v>847628</v>
      </c>
      <c r="AC51" s="21">
        <f>'Working Capital &amp; Assets'!J54</f>
        <v>640577</v>
      </c>
      <c r="AD51" s="21">
        <f>MIN(AE51,SUMIFS($W$2:$W$181,$A$2:$A$181,"&gt;"&amp;A51,$A$2:$A$181,"&lt;="&amp;EDATE(A51,12))+IF(AND(DATE(2033,12,1)&gt;A51,DATE(2033,12,1)&lt;=EDATE(A51,12)),'Funding &amp; Cap'!$B$200,0))</f>
        <v>0</v>
      </c>
      <c r="AE51" s="22">
        <f>'Funding &amp; Cap'!Q110</f>
        <v>0</v>
      </c>
      <c r="AF51" s="22">
        <f t="shared" si="2"/>
        <v>10038207</v>
      </c>
      <c r="AG51" s="22">
        <f t="shared" si="3"/>
        <v>-1508940</v>
      </c>
      <c r="AH51" s="23">
        <f>'Revenue &amp; Demand'!P215</f>
        <v>0</v>
      </c>
      <c r="AI51" s="24">
        <f>'Revenue &amp; Demand'!Q215</f>
        <v>0</v>
      </c>
      <c r="AJ51" s="24">
        <f>'Manufacturing &amp; Production'!J255</f>
        <v>0</v>
      </c>
      <c r="AK51" s="22"/>
      <c r="AL51" s="22"/>
      <c r="AM51" s="22"/>
    </row>
    <row r="52" ht="19.5" customHeight="1">
      <c r="A52" s="15">
        <v>44621.0</v>
      </c>
      <c r="B52" s="18">
        <f t="shared" si="1"/>
        <v>2022</v>
      </c>
      <c r="C52" s="19">
        <f>'Revenue &amp; Demand'!C216</f>
        <v>0</v>
      </c>
      <c r="D52" s="19">
        <f>'Revenue &amp; Demand'!F216</f>
        <v>10</v>
      </c>
      <c r="E52" s="21">
        <f>'Revenue &amp; Demand'!E216</f>
        <v>0</v>
      </c>
      <c r="F52" s="21">
        <f>'Revenue &amp; Demand'!H216</f>
        <v>430558</v>
      </c>
      <c r="G52" s="21">
        <f>'Revenue &amp; Demand'!J216</f>
        <v>183824</v>
      </c>
      <c r="H52" s="21">
        <f>'Manufacturing &amp; Production'!F256</f>
        <v>0</v>
      </c>
      <c r="I52" s="21">
        <f>'Manufacturing &amp; Production'!G256</f>
        <v>0</v>
      </c>
      <c r="J52" s="21">
        <f>'Workforce &amp; Expenses'!M308</f>
        <v>189446</v>
      </c>
      <c r="K52" s="21">
        <f>'Manufacturing &amp; Production'!K256</f>
        <v>18382</v>
      </c>
      <c r="L52" s="21">
        <f>'Clinical Trials &amp; R&amp;D'!F256</f>
        <v>1097923</v>
      </c>
      <c r="M52" s="21">
        <f>'Clinical Trials &amp; R&amp;D'!I256</f>
        <v>193751</v>
      </c>
      <c r="N52" s="21">
        <f>'Workforce &amp; Expenses'!P308</f>
        <v>113149</v>
      </c>
      <c r="O52" s="21">
        <f>'Workforce &amp; Expenses'!S308</f>
        <v>422844</v>
      </c>
      <c r="P52" s="21">
        <f>'Funding &amp; Cap'!F111</f>
        <v>58628</v>
      </c>
      <c r="Q52" s="21">
        <f>'Working Capital &amp; Assets'!B55</f>
        <v>91667</v>
      </c>
      <c r="R52" s="21">
        <f>'Funding &amp; Cap'!H111</f>
        <v>472</v>
      </c>
      <c r="S52" s="21">
        <f>'Working Capital &amp; Assets'!C55</f>
        <v>0</v>
      </c>
      <c r="T52" s="21">
        <f>'Working Capital &amp; Assets'!D55</f>
        <v>476526</v>
      </c>
      <c r="U52" s="21">
        <f>'Funding &amp; Cap'!B111</f>
        <v>0</v>
      </c>
      <c r="V52" s="21">
        <f>'Funding &amp; Cap'!C111</f>
        <v>0</v>
      </c>
      <c r="W52" s="21">
        <f>'Funding &amp; Cap'!D111</f>
        <v>0</v>
      </c>
      <c r="X52" s="21">
        <f>'Working Capital &amp; Assets'!E55</f>
        <v>457151</v>
      </c>
      <c r="Y52" s="21">
        <f>'Working Capital &amp; Assets'!F55</f>
        <v>0</v>
      </c>
      <c r="Z52" s="21">
        <f>'Working Capital &amp; Assets'!G55</f>
        <v>208980</v>
      </c>
      <c r="AA52" s="21">
        <f>'Working Capital &amp; Assets'!H55</f>
        <v>357542</v>
      </c>
      <c r="AB52" s="21">
        <f>'Working Capital &amp; Assets'!I55</f>
        <v>991600</v>
      </c>
      <c r="AC52" s="21">
        <f>'Working Capital &amp; Assets'!J55</f>
        <v>713760</v>
      </c>
      <c r="AD52" s="21">
        <f>MIN(AE52,SUMIFS($W$2:$W$181,$A$2:$A$181,"&gt;"&amp;A52,$A$2:$A$181,"&lt;="&amp;EDATE(A52,12))+IF(AND(DATE(2033,12,1)&gt;A52,DATE(2033,12,1)&lt;=EDATE(A52,12)),'Funding &amp; Cap'!$B$200,0))</f>
        <v>0</v>
      </c>
      <c r="AE52" s="22">
        <f>'Funding &amp; Cap'!Q111</f>
        <v>0</v>
      </c>
      <c r="AF52" s="22">
        <f t="shared" si="2"/>
        <v>8350662</v>
      </c>
      <c r="AG52" s="22">
        <f t="shared" si="3"/>
        <v>-1687545</v>
      </c>
      <c r="AH52" s="23">
        <f>'Revenue &amp; Demand'!P216</f>
        <v>0</v>
      </c>
      <c r="AI52" s="24">
        <f>'Revenue &amp; Demand'!Q216</f>
        <v>0</v>
      </c>
      <c r="AJ52" s="24">
        <f>'Manufacturing &amp; Production'!J256</f>
        <v>0</v>
      </c>
      <c r="AK52" s="22"/>
      <c r="AL52" s="22"/>
      <c r="AM52" s="22"/>
    </row>
    <row r="53" ht="19.5" customHeight="1">
      <c r="A53" s="15">
        <v>44652.0</v>
      </c>
      <c r="B53" s="18">
        <f t="shared" si="1"/>
        <v>2022</v>
      </c>
      <c r="C53" s="19">
        <f>'Revenue &amp; Demand'!C217</f>
        <v>0</v>
      </c>
      <c r="D53" s="19">
        <f>'Revenue &amp; Demand'!F217</f>
        <v>10</v>
      </c>
      <c r="E53" s="21">
        <f>'Revenue &amp; Demand'!E217</f>
        <v>0</v>
      </c>
      <c r="F53" s="21">
        <f>'Revenue &amp; Demand'!H217</f>
        <v>422464</v>
      </c>
      <c r="G53" s="21">
        <f>'Revenue &amp; Demand'!J217</f>
        <v>29412</v>
      </c>
      <c r="H53" s="21">
        <f>'Manufacturing &amp; Production'!F257</f>
        <v>0</v>
      </c>
      <c r="I53" s="21">
        <f>'Manufacturing &amp; Production'!G257</f>
        <v>0</v>
      </c>
      <c r="J53" s="21">
        <f>'Workforce &amp; Expenses'!M309</f>
        <v>185884</v>
      </c>
      <c r="K53" s="21">
        <f>'Manufacturing &amp; Production'!K257</f>
        <v>2941</v>
      </c>
      <c r="L53" s="21">
        <f>'Clinical Trials &amp; R&amp;D'!F257</f>
        <v>1077284</v>
      </c>
      <c r="M53" s="21">
        <f>'Clinical Trials &amp; R&amp;D'!I257</f>
        <v>190109</v>
      </c>
      <c r="N53" s="21">
        <f>'Workforce &amp; Expenses'!P309</f>
        <v>128280</v>
      </c>
      <c r="O53" s="21">
        <f>'Workforce &amp; Expenses'!S309</f>
        <v>423498</v>
      </c>
      <c r="P53" s="21">
        <f>'Funding &amp; Cap'!F112</f>
        <v>59735</v>
      </c>
      <c r="Q53" s="21">
        <f>'Working Capital &amp; Assets'!B56</f>
        <v>91667</v>
      </c>
      <c r="R53" s="21">
        <f>'Funding &amp; Cap'!H112</f>
        <v>103732</v>
      </c>
      <c r="S53" s="21">
        <f>'Working Capital &amp; Assets'!C56</f>
        <v>0</v>
      </c>
      <c r="T53" s="21">
        <f>'Working Capital &amp; Assets'!D56</f>
        <v>197183</v>
      </c>
      <c r="U53" s="21">
        <f>'Funding &amp; Cap'!B112</f>
        <v>0</v>
      </c>
      <c r="V53" s="21">
        <f>'Funding &amp; Cap'!C112</f>
        <v>22000000</v>
      </c>
      <c r="W53" s="21">
        <f>'Funding &amp; Cap'!D112</f>
        <v>0</v>
      </c>
      <c r="X53" s="21">
        <f>'Working Capital &amp; Assets'!E56</f>
        <v>488244</v>
      </c>
      <c r="Y53" s="21">
        <f>'Working Capital &amp; Assets'!F56</f>
        <v>0</v>
      </c>
      <c r="Z53" s="21">
        <f>'Working Capital &amp; Assets'!G56</f>
        <v>225612</v>
      </c>
      <c r="AA53" s="21">
        <f>'Working Capital &amp; Assets'!H56</f>
        <v>400385</v>
      </c>
      <c r="AB53" s="21">
        <f>'Working Capital &amp; Assets'!I56</f>
        <v>1124961</v>
      </c>
      <c r="AC53" s="21">
        <f>'Working Capital &amp; Assets'!J56</f>
        <v>780577</v>
      </c>
      <c r="AD53" s="21">
        <f>MIN(AE53,SUMIFS($W$2:$W$181,$A$2:$A$181,"&gt;"&amp;A53,$A$2:$A$181,"&lt;="&amp;EDATE(A53,12))+IF(AND(DATE(2033,12,1)&gt;A53,DATE(2033,12,1)&lt;=EDATE(A53,12)),'Funding &amp; Cap'!$B$200,0))</f>
        <v>0</v>
      </c>
      <c r="AE53" s="22">
        <f>'Funding &amp; Cap'!Q112</f>
        <v>22000000</v>
      </c>
      <c r="AF53" s="22">
        <f t="shared" si="2"/>
        <v>28688923</v>
      </c>
      <c r="AG53" s="22">
        <f t="shared" si="3"/>
        <v>20338261</v>
      </c>
      <c r="AH53" s="23">
        <f>'Revenue &amp; Demand'!P217</f>
        <v>0</v>
      </c>
      <c r="AI53" s="24">
        <f>'Revenue &amp; Demand'!Q217</f>
        <v>0</v>
      </c>
      <c r="AJ53" s="24">
        <f>'Manufacturing &amp; Production'!J257</f>
        <v>0</v>
      </c>
      <c r="AK53" s="22"/>
      <c r="AL53" s="22"/>
      <c r="AM53" s="22"/>
    </row>
    <row r="54" ht="19.5" customHeight="1">
      <c r="A54" s="15">
        <v>44682.0</v>
      </c>
      <c r="B54" s="18">
        <f t="shared" si="1"/>
        <v>2022</v>
      </c>
      <c r="C54" s="19">
        <f>'Revenue &amp; Demand'!C218</f>
        <v>0</v>
      </c>
      <c r="D54" s="19">
        <f>'Revenue &amp; Demand'!F218</f>
        <v>11</v>
      </c>
      <c r="E54" s="21">
        <f>'Revenue &amp; Demand'!E218</f>
        <v>0</v>
      </c>
      <c r="F54" s="21">
        <f>'Revenue &amp; Demand'!H218</f>
        <v>409709</v>
      </c>
      <c r="G54" s="21">
        <f>'Revenue &amp; Demand'!J218</f>
        <v>29412</v>
      </c>
      <c r="H54" s="21">
        <f>'Manufacturing &amp; Production'!F258</f>
        <v>0</v>
      </c>
      <c r="I54" s="21">
        <f>'Manufacturing &amp; Production'!G258</f>
        <v>0</v>
      </c>
      <c r="J54" s="21">
        <f>'Workforce &amp; Expenses'!M310</f>
        <v>180272</v>
      </c>
      <c r="K54" s="21">
        <f>'Manufacturing &amp; Production'!K258</f>
        <v>2941</v>
      </c>
      <c r="L54" s="21">
        <f>'Clinical Trials &amp; R&amp;D'!F258</f>
        <v>1044759</v>
      </c>
      <c r="M54" s="21">
        <f>'Clinical Trials &amp; R&amp;D'!I258</f>
        <v>184369</v>
      </c>
      <c r="N54" s="21">
        <f>'Workforce &amp; Expenses'!P310</f>
        <v>143232</v>
      </c>
      <c r="O54" s="21">
        <f>'Workforce &amp; Expenses'!S310</f>
        <v>420453</v>
      </c>
      <c r="P54" s="21">
        <f>'Funding &amp; Cap'!F113</f>
        <v>60841</v>
      </c>
      <c r="Q54" s="21">
        <f>'Working Capital &amp; Assets'!B57</f>
        <v>91667</v>
      </c>
      <c r="R54" s="21">
        <f>'Funding &amp; Cap'!H113</f>
        <v>103732</v>
      </c>
      <c r="S54" s="21">
        <f>'Working Capital &amp; Assets'!C57</f>
        <v>0</v>
      </c>
      <c r="T54" s="21">
        <f>'Working Capital &amp; Assets'!D57</f>
        <v>199531</v>
      </c>
      <c r="U54" s="21">
        <f>'Funding &amp; Cap'!B113</f>
        <v>0</v>
      </c>
      <c r="V54" s="21">
        <f>'Funding &amp; Cap'!C113</f>
        <v>0</v>
      </c>
      <c r="W54" s="21">
        <f>'Funding &amp; Cap'!D113</f>
        <v>0</v>
      </c>
      <c r="X54" s="21">
        <f>'Working Capital &amp; Assets'!E57</f>
        <v>516247</v>
      </c>
      <c r="Y54" s="21">
        <f>'Working Capital &amp; Assets'!F57</f>
        <v>0</v>
      </c>
      <c r="Z54" s="21">
        <f>'Working Capital &amp; Assets'!G57</f>
        <v>240740</v>
      </c>
      <c r="AA54" s="21">
        <f>'Working Capital &amp; Assets'!H57</f>
        <v>440113</v>
      </c>
      <c r="AB54" s="21">
        <f>'Working Capital &amp; Assets'!I57</f>
        <v>1249133</v>
      </c>
      <c r="AC54" s="21">
        <f>'Working Capital &amp; Assets'!J57</f>
        <v>841880</v>
      </c>
      <c r="AD54" s="21">
        <f>MIN(AE54,SUMIFS($W$2:$W$181,$A$2:$A$181,"&gt;"&amp;A54,$A$2:$A$181,"&lt;="&amp;EDATE(A54,12))+IF(AND(DATE(2033,12,1)&gt;A54,DATE(2033,12,1)&lt;=EDATE(A54,12)),'Funding &amp; Cap'!$B$200,0))</f>
        <v>0</v>
      </c>
      <c r="AE54" s="22">
        <f>'Funding &amp; Cap'!Q113</f>
        <v>22000000</v>
      </c>
      <c r="AF54" s="22">
        <f t="shared" si="2"/>
        <v>27030827</v>
      </c>
      <c r="AG54" s="22">
        <f t="shared" si="3"/>
        <v>-1658096</v>
      </c>
      <c r="AH54" s="23">
        <f>'Revenue &amp; Demand'!P218</f>
        <v>0</v>
      </c>
      <c r="AI54" s="24">
        <f>'Revenue &amp; Demand'!Q218</f>
        <v>0</v>
      </c>
      <c r="AJ54" s="24">
        <f>'Manufacturing &amp; Production'!J258</f>
        <v>0</v>
      </c>
      <c r="AK54" s="22"/>
      <c r="AL54" s="22"/>
      <c r="AM54" s="22"/>
    </row>
    <row r="55" ht="19.5" customHeight="1">
      <c r="A55" s="15">
        <v>44713.0</v>
      </c>
      <c r="B55" s="18">
        <f t="shared" si="1"/>
        <v>2022</v>
      </c>
      <c r="C55" s="19">
        <f>'Revenue &amp; Demand'!C219</f>
        <v>0</v>
      </c>
      <c r="D55" s="19">
        <f>'Revenue &amp; Demand'!F219</f>
        <v>12</v>
      </c>
      <c r="E55" s="21">
        <f>'Revenue &amp; Demand'!E219</f>
        <v>0</v>
      </c>
      <c r="F55" s="21">
        <f>'Revenue &amp; Demand'!H219</f>
        <v>396954</v>
      </c>
      <c r="G55" s="21">
        <f>'Revenue &amp; Demand'!J219</f>
        <v>183824</v>
      </c>
      <c r="H55" s="21">
        <f>'Manufacturing &amp; Production'!F259</f>
        <v>0</v>
      </c>
      <c r="I55" s="21">
        <f>'Manufacturing &amp; Production'!G259</f>
        <v>0</v>
      </c>
      <c r="J55" s="21">
        <f>'Workforce &amp; Expenses'!M311</f>
        <v>174660</v>
      </c>
      <c r="K55" s="21">
        <f>'Manufacturing &amp; Production'!K259</f>
        <v>18382</v>
      </c>
      <c r="L55" s="21">
        <f>'Clinical Trials &amp; R&amp;D'!F259</f>
        <v>1012234</v>
      </c>
      <c r="M55" s="21">
        <f>'Clinical Trials &amp; R&amp;D'!I259</f>
        <v>178629</v>
      </c>
      <c r="N55" s="21">
        <f>'Workforce &amp; Expenses'!P311</f>
        <v>158184</v>
      </c>
      <c r="O55" s="21">
        <f>'Workforce &amp; Expenses'!S311</f>
        <v>415272</v>
      </c>
      <c r="P55" s="21">
        <f>'Funding &amp; Cap'!F114</f>
        <v>61947</v>
      </c>
      <c r="Q55" s="21">
        <f>'Working Capital &amp; Assets'!B58</f>
        <v>91667</v>
      </c>
      <c r="R55" s="21">
        <f>'Funding &amp; Cap'!H114</f>
        <v>103732</v>
      </c>
      <c r="S55" s="21">
        <f>'Working Capital &amp; Assets'!C58</f>
        <v>0</v>
      </c>
      <c r="T55" s="21">
        <f>'Working Capital &amp; Assets'!D58</f>
        <v>201878</v>
      </c>
      <c r="U55" s="21">
        <f>'Funding &amp; Cap'!B114</f>
        <v>0</v>
      </c>
      <c r="V55" s="21">
        <f>'Funding &amp; Cap'!C114</f>
        <v>0</v>
      </c>
      <c r="W55" s="21">
        <f>'Funding &amp; Cap'!D114</f>
        <v>0</v>
      </c>
      <c r="X55" s="21">
        <f>'Working Capital &amp; Assets'!E58</f>
        <v>542466</v>
      </c>
      <c r="Y55" s="21">
        <f>'Working Capital &amp; Assets'!F58</f>
        <v>0</v>
      </c>
      <c r="Z55" s="21">
        <f>'Working Capital &amp; Assets'!G58</f>
        <v>255000</v>
      </c>
      <c r="AA55" s="21">
        <f>'Working Capital &amp; Assets'!H58</f>
        <v>478041</v>
      </c>
      <c r="AB55" s="21">
        <f>'Working Capital &amp; Assets'!I58</f>
        <v>1368000</v>
      </c>
      <c r="AC55" s="21">
        <f>'Working Capital &amp; Assets'!J58</f>
        <v>900000</v>
      </c>
      <c r="AD55" s="21">
        <f>MIN(AE55,SUMIFS($W$2:$W$181,$A$2:$A$181,"&gt;"&amp;A55,$A$2:$A$181,"&lt;="&amp;EDATE(A55,12))+IF(AND(DATE(2033,12,1)&gt;A55,DATE(2033,12,1)&lt;=EDATE(A55,12)),'Funding &amp; Cap'!$B$200,0))</f>
        <v>0</v>
      </c>
      <c r="AE55" s="22">
        <f>'Funding &amp; Cap'!Q114</f>
        <v>22000000</v>
      </c>
      <c r="AF55" s="22">
        <f t="shared" si="2"/>
        <v>25523070</v>
      </c>
      <c r="AG55" s="22">
        <f t="shared" si="3"/>
        <v>-1507757</v>
      </c>
      <c r="AH55" s="23">
        <f>'Revenue &amp; Demand'!P219</f>
        <v>0</v>
      </c>
      <c r="AI55" s="24">
        <f>'Revenue &amp; Demand'!Q219</f>
        <v>0</v>
      </c>
      <c r="AJ55" s="24">
        <f>'Manufacturing &amp; Production'!J259</f>
        <v>0</v>
      </c>
      <c r="AK55" s="22"/>
      <c r="AL55" s="22"/>
      <c r="AM55" s="22"/>
    </row>
    <row r="56" ht="19.5" customHeight="1">
      <c r="A56" s="15">
        <v>44743.0</v>
      </c>
      <c r="B56" s="18">
        <f t="shared" si="1"/>
        <v>2022</v>
      </c>
      <c r="C56" s="19">
        <f>'Revenue &amp; Demand'!C220</f>
        <v>0</v>
      </c>
      <c r="D56" s="19">
        <f>'Revenue &amp; Demand'!F220</f>
        <v>12</v>
      </c>
      <c r="E56" s="21">
        <f>'Revenue &amp; Demand'!E220</f>
        <v>0</v>
      </c>
      <c r="F56" s="21">
        <f>'Revenue &amp; Demand'!H220</f>
        <v>388861</v>
      </c>
      <c r="G56" s="21">
        <f>'Revenue &amp; Demand'!J220</f>
        <v>29412</v>
      </c>
      <c r="H56" s="21">
        <f>'Manufacturing &amp; Production'!F260</f>
        <v>0</v>
      </c>
      <c r="I56" s="21">
        <f>'Manufacturing &amp; Production'!G260</f>
        <v>0</v>
      </c>
      <c r="J56" s="21">
        <f>'Workforce &amp; Expenses'!M312</f>
        <v>171099</v>
      </c>
      <c r="K56" s="21">
        <f>'Manufacturing &amp; Production'!K260</f>
        <v>2941</v>
      </c>
      <c r="L56" s="21">
        <f>'Clinical Trials &amp; R&amp;D'!F260</f>
        <v>991595</v>
      </c>
      <c r="M56" s="21">
        <f>'Clinical Trials &amp; R&amp;D'!I260</f>
        <v>174987</v>
      </c>
      <c r="N56" s="21">
        <f>'Workforce &amp; Expenses'!P312</f>
        <v>173315</v>
      </c>
      <c r="O56" s="21">
        <f>'Workforce &amp; Expenses'!S312</f>
        <v>410091</v>
      </c>
      <c r="P56" s="21">
        <f>'Funding &amp; Cap'!F115</f>
        <v>63053</v>
      </c>
      <c r="Q56" s="21">
        <f>'Working Capital &amp; Assets'!B59</f>
        <v>91667</v>
      </c>
      <c r="R56" s="21">
        <f>'Funding &amp; Cap'!H115</f>
        <v>103732</v>
      </c>
      <c r="S56" s="21">
        <f>'Working Capital &amp; Assets'!C59</f>
        <v>0</v>
      </c>
      <c r="T56" s="21">
        <f>'Working Capital &amp; Assets'!D59</f>
        <v>204225</v>
      </c>
      <c r="U56" s="21">
        <f>'Funding &amp; Cap'!B115</f>
        <v>60000000</v>
      </c>
      <c r="V56" s="21">
        <f>'Funding &amp; Cap'!C115</f>
        <v>0</v>
      </c>
      <c r="W56" s="21">
        <f>'Funding &amp; Cap'!D115</f>
        <v>0</v>
      </c>
      <c r="X56" s="21">
        <f>'Working Capital &amp; Assets'!E59</f>
        <v>568685</v>
      </c>
      <c r="Y56" s="21">
        <f>'Working Capital &amp; Assets'!F59</f>
        <v>0</v>
      </c>
      <c r="Z56" s="21">
        <f>'Working Capital &amp; Assets'!G59</f>
        <v>269260</v>
      </c>
      <c r="AA56" s="21">
        <f>'Working Capital &amp; Assets'!H59</f>
        <v>515970</v>
      </c>
      <c r="AB56" s="21">
        <f>'Working Capital &amp; Assets'!I59</f>
        <v>1486867</v>
      </c>
      <c r="AC56" s="21">
        <f>'Working Capital &amp; Assets'!J59</f>
        <v>958120</v>
      </c>
      <c r="AD56" s="21">
        <f>MIN(AE56,SUMIFS($W$2:$W$181,$A$2:$A$181,"&gt;"&amp;A56,$A$2:$A$181,"&lt;="&amp;EDATE(A56,12))+IF(AND(DATE(2033,12,1)&gt;A56,DATE(2033,12,1)&lt;=EDATE(A56,12)),'Funding &amp; Cap'!$B$200,0))</f>
        <v>0</v>
      </c>
      <c r="AE56" s="22">
        <f>'Funding &amp; Cap'!Q115</f>
        <v>22000000</v>
      </c>
      <c r="AF56" s="22">
        <f t="shared" si="2"/>
        <v>83883795</v>
      </c>
      <c r="AG56" s="22">
        <f t="shared" si="3"/>
        <v>-1639275</v>
      </c>
      <c r="AH56" s="23">
        <f>'Revenue &amp; Demand'!P220</f>
        <v>0</v>
      </c>
      <c r="AI56" s="24">
        <f>'Revenue &amp; Demand'!Q220</f>
        <v>0</v>
      </c>
      <c r="AJ56" s="24">
        <f>'Manufacturing &amp; Production'!J260</f>
        <v>0</v>
      </c>
      <c r="AK56" s="22"/>
      <c r="AL56" s="22"/>
      <c r="AM56" s="22"/>
    </row>
    <row r="57" ht="19.5" customHeight="1">
      <c r="A57" s="15">
        <v>44774.0</v>
      </c>
      <c r="B57" s="18">
        <f t="shared" si="1"/>
        <v>2022</v>
      </c>
      <c r="C57" s="19">
        <f>'Revenue &amp; Demand'!C221</f>
        <v>0</v>
      </c>
      <c r="D57" s="19">
        <f>'Revenue &amp; Demand'!F221</f>
        <v>13</v>
      </c>
      <c r="E57" s="21">
        <f>'Revenue &amp; Demand'!E221</f>
        <v>0</v>
      </c>
      <c r="F57" s="21">
        <f>'Revenue &amp; Demand'!H221</f>
        <v>388837</v>
      </c>
      <c r="G57" s="21">
        <f>'Revenue &amp; Demand'!J221</f>
        <v>29412</v>
      </c>
      <c r="H57" s="21">
        <f>'Manufacturing &amp; Production'!F261</f>
        <v>0</v>
      </c>
      <c r="I57" s="21">
        <f>'Manufacturing &amp; Production'!G261</f>
        <v>0</v>
      </c>
      <c r="J57" s="21">
        <f>'Workforce &amp; Expenses'!M313</f>
        <v>171088</v>
      </c>
      <c r="K57" s="21">
        <f>'Manufacturing &amp; Production'!K261</f>
        <v>2941</v>
      </c>
      <c r="L57" s="21">
        <f>'Clinical Trials &amp; R&amp;D'!F261</f>
        <v>991535</v>
      </c>
      <c r="M57" s="21">
        <f>'Clinical Trials &amp; R&amp;D'!I261</f>
        <v>174977</v>
      </c>
      <c r="N57" s="21">
        <f>'Workforce &amp; Expenses'!P313</f>
        <v>188758</v>
      </c>
      <c r="O57" s="21">
        <f>'Workforce &amp; Expenses'!S313</f>
        <v>407046</v>
      </c>
      <c r="P57" s="21">
        <f>'Funding &amp; Cap'!F116</f>
        <v>64159</v>
      </c>
      <c r="Q57" s="21">
        <f>'Working Capital &amp; Assets'!B60</f>
        <v>91667</v>
      </c>
      <c r="R57" s="21">
        <f>'Funding &amp; Cap'!H116</f>
        <v>103732</v>
      </c>
      <c r="S57" s="21">
        <f>'Working Capital &amp; Assets'!C60</f>
        <v>0</v>
      </c>
      <c r="T57" s="21">
        <f>'Working Capital &amp; Assets'!D60</f>
        <v>206573</v>
      </c>
      <c r="U57" s="21">
        <f>'Funding &amp; Cap'!B116</f>
        <v>0</v>
      </c>
      <c r="V57" s="21">
        <f>'Funding &amp; Cap'!C116</f>
        <v>0</v>
      </c>
      <c r="W57" s="21">
        <f>'Funding &amp; Cap'!D116</f>
        <v>0</v>
      </c>
      <c r="X57" s="21">
        <f>'Working Capital &amp; Assets'!E60</f>
        <v>596688</v>
      </c>
      <c r="Y57" s="21">
        <f>'Working Capital &amp; Assets'!F60</f>
        <v>0</v>
      </c>
      <c r="Z57" s="21">
        <f>'Working Capital &amp; Assets'!G60</f>
        <v>284388</v>
      </c>
      <c r="AA57" s="21">
        <f>'Working Capital &amp; Assets'!H60</f>
        <v>555697</v>
      </c>
      <c r="AB57" s="21">
        <f>'Working Capital &amp; Assets'!I60</f>
        <v>1611039</v>
      </c>
      <c r="AC57" s="21">
        <f>'Working Capital &amp; Assets'!J60</f>
        <v>1019423</v>
      </c>
      <c r="AD57" s="21">
        <f>MIN(AE57,SUMIFS($W$2:$W$181,$A$2:$A$181,"&gt;"&amp;A57,$A$2:$A$181,"&lt;="&amp;EDATE(A57,12))+IF(AND(DATE(2033,12,1)&gt;A57,DATE(2033,12,1)&lt;=EDATE(A57,12)),'Funding &amp; Cap'!$B$200,0))</f>
        <v>0</v>
      </c>
      <c r="AE57" s="22">
        <f>'Funding &amp; Cap'!Q116</f>
        <v>22000000</v>
      </c>
      <c r="AF57" s="22">
        <f t="shared" si="2"/>
        <v>82237465</v>
      </c>
      <c r="AG57" s="22">
        <f t="shared" si="3"/>
        <v>-1646330</v>
      </c>
      <c r="AH57" s="23">
        <f>'Revenue &amp; Demand'!P221</f>
        <v>0</v>
      </c>
      <c r="AI57" s="24">
        <f>'Revenue &amp; Demand'!Q221</f>
        <v>0</v>
      </c>
      <c r="AJ57" s="24">
        <f>'Manufacturing &amp; Production'!J261</f>
        <v>0</v>
      </c>
      <c r="AK57" s="22"/>
      <c r="AL57" s="22"/>
      <c r="AM57" s="22"/>
    </row>
    <row r="58" ht="19.5" customHeight="1">
      <c r="A58" s="15">
        <v>44805.0</v>
      </c>
      <c r="B58" s="18">
        <f t="shared" si="1"/>
        <v>2022</v>
      </c>
      <c r="C58" s="19">
        <f>'Revenue &amp; Demand'!C222</f>
        <v>0</v>
      </c>
      <c r="D58" s="19">
        <f>'Revenue &amp; Demand'!F222</f>
        <v>13</v>
      </c>
      <c r="E58" s="21">
        <f>'Revenue &amp; Demand'!E222</f>
        <v>0</v>
      </c>
      <c r="F58" s="21">
        <f>'Revenue &amp; Demand'!H222</f>
        <v>398137</v>
      </c>
      <c r="G58" s="21">
        <f>'Revenue &amp; Demand'!J222</f>
        <v>183824</v>
      </c>
      <c r="H58" s="21">
        <f>'Manufacturing &amp; Production'!F262</f>
        <v>0</v>
      </c>
      <c r="I58" s="21">
        <f>'Manufacturing &amp; Production'!G262</f>
        <v>0</v>
      </c>
      <c r="J58" s="21">
        <f>'Workforce &amp; Expenses'!M314</f>
        <v>175180</v>
      </c>
      <c r="K58" s="21">
        <f>'Manufacturing &amp; Production'!K262</f>
        <v>18382</v>
      </c>
      <c r="L58" s="21">
        <f>'Clinical Trials &amp; R&amp;D'!F262</f>
        <v>1015249</v>
      </c>
      <c r="M58" s="21">
        <f>'Clinical Trials &amp; R&amp;D'!I262</f>
        <v>179162</v>
      </c>
      <c r="N58" s="21">
        <f>'Workforce &amp; Expenses'!P314</f>
        <v>204561</v>
      </c>
      <c r="O58" s="21">
        <f>'Workforce &amp; Expenses'!S314</f>
        <v>407700</v>
      </c>
      <c r="P58" s="21">
        <f>'Funding &amp; Cap'!F117</f>
        <v>65265</v>
      </c>
      <c r="Q58" s="21">
        <f>'Working Capital &amp; Assets'!B61</f>
        <v>91667</v>
      </c>
      <c r="R58" s="21">
        <f>'Funding &amp; Cap'!H117</f>
        <v>103732</v>
      </c>
      <c r="S58" s="21">
        <f>'Working Capital &amp; Assets'!C61</f>
        <v>0</v>
      </c>
      <c r="T58" s="21">
        <f>'Working Capital &amp; Assets'!D61</f>
        <v>490610</v>
      </c>
      <c r="U58" s="21">
        <f>'Funding &amp; Cap'!B117</f>
        <v>0</v>
      </c>
      <c r="V58" s="21">
        <f>'Funding &amp; Cap'!C117</f>
        <v>0</v>
      </c>
      <c r="W58" s="21">
        <f>'Funding &amp; Cap'!D117</f>
        <v>0</v>
      </c>
      <c r="X58" s="21">
        <f>'Working Capital &amp; Assets'!E61</f>
        <v>627781</v>
      </c>
      <c r="Y58" s="21">
        <f>'Working Capital &amp; Assets'!F61</f>
        <v>0</v>
      </c>
      <c r="Z58" s="21">
        <f>'Working Capital &amp; Assets'!G61</f>
        <v>301020</v>
      </c>
      <c r="AA58" s="21">
        <f>'Working Capital &amp; Assets'!H61</f>
        <v>598540</v>
      </c>
      <c r="AB58" s="21">
        <f>'Working Capital &amp; Assets'!I61</f>
        <v>1744400</v>
      </c>
      <c r="AC58" s="21">
        <f>'Working Capital &amp; Assets'!J61</f>
        <v>1086240</v>
      </c>
      <c r="AD58" s="21">
        <f>MIN(AE58,SUMIFS($W$2:$W$181,$A$2:$A$181,"&gt;"&amp;A58,$A$2:$A$181,"&lt;="&amp;EDATE(A58,12))+IF(AND(DATE(2033,12,1)&gt;A58,DATE(2033,12,1)&lt;=EDATE(A58,12)),'Funding &amp; Cap'!$B$200,0))</f>
        <v>0</v>
      </c>
      <c r="AE58" s="22">
        <f>'Funding &amp; Cap'!Q117</f>
        <v>22000000</v>
      </c>
      <c r="AF58" s="22">
        <f t="shared" si="2"/>
        <v>80420146</v>
      </c>
      <c r="AG58" s="22">
        <f t="shared" si="3"/>
        <v>-1817319</v>
      </c>
      <c r="AH58" s="23">
        <f>'Revenue &amp; Demand'!P222</f>
        <v>0</v>
      </c>
      <c r="AI58" s="24">
        <f>'Revenue &amp; Demand'!Q222</f>
        <v>0</v>
      </c>
      <c r="AJ58" s="24">
        <f>'Manufacturing &amp; Production'!J262</f>
        <v>0</v>
      </c>
      <c r="AK58" s="22"/>
      <c r="AL58" s="22"/>
      <c r="AM58" s="22"/>
    </row>
    <row r="59" ht="19.5" customHeight="1">
      <c r="A59" s="15">
        <v>44835.0</v>
      </c>
      <c r="B59" s="18">
        <f t="shared" si="1"/>
        <v>2022</v>
      </c>
      <c r="C59" s="19">
        <f>'Revenue &amp; Demand'!C223</f>
        <v>0</v>
      </c>
      <c r="D59" s="19">
        <f>'Revenue &amp; Demand'!F223</f>
        <v>14</v>
      </c>
      <c r="E59" s="21">
        <f>'Revenue &amp; Demand'!E223</f>
        <v>0</v>
      </c>
      <c r="F59" s="21">
        <f>'Revenue &amp; Demand'!H223</f>
        <v>415507</v>
      </c>
      <c r="G59" s="21">
        <f>'Revenue &amp; Demand'!J223</f>
        <v>29412</v>
      </c>
      <c r="H59" s="21">
        <f>'Manufacturing &amp; Production'!F263</f>
        <v>0</v>
      </c>
      <c r="I59" s="21">
        <f>'Manufacturing &amp; Production'!G263</f>
        <v>0</v>
      </c>
      <c r="J59" s="21">
        <f>'Workforce &amp; Expenses'!M315</f>
        <v>182823</v>
      </c>
      <c r="K59" s="21">
        <f>'Manufacturing &amp; Production'!K263</f>
        <v>2941</v>
      </c>
      <c r="L59" s="21">
        <f>'Clinical Trials &amp; R&amp;D'!F263</f>
        <v>1059543</v>
      </c>
      <c r="M59" s="21">
        <f>'Clinical Trials &amp; R&amp;D'!I263</f>
        <v>186978</v>
      </c>
      <c r="N59" s="21">
        <f>'Workforce &amp; Expenses'!P315</f>
        <v>220676</v>
      </c>
      <c r="O59" s="21">
        <f>'Workforce &amp; Expenses'!S315</f>
        <v>412625</v>
      </c>
      <c r="P59" s="21">
        <f>'Funding &amp; Cap'!F118</f>
        <v>66372</v>
      </c>
      <c r="Q59" s="21">
        <f>'Working Capital &amp; Assets'!B62</f>
        <v>91667</v>
      </c>
      <c r="R59" s="21">
        <f>'Funding &amp; Cap'!H118</f>
        <v>103732</v>
      </c>
      <c r="S59" s="21">
        <f>'Working Capital &amp; Assets'!C62</f>
        <v>0</v>
      </c>
      <c r="T59" s="21">
        <f>'Working Capital &amp; Assets'!D62</f>
        <v>211268</v>
      </c>
      <c r="U59" s="21">
        <f>'Funding &amp; Cap'!B118</f>
        <v>0</v>
      </c>
      <c r="V59" s="21">
        <f>'Funding &amp; Cap'!C118</f>
        <v>0</v>
      </c>
      <c r="W59" s="21">
        <f>'Funding &amp; Cap'!D118</f>
        <v>0</v>
      </c>
      <c r="X59" s="21">
        <f>'Working Capital &amp; Assets'!E62</f>
        <v>662441</v>
      </c>
      <c r="Y59" s="21">
        <f>'Working Capital &amp; Assets'!F62</f>
        <v>0</v>
      </c>
      <c r="Z59" s="21">
        <f>'Working Capital &amp; Assets'!G62</f>
        <v>319388</v>
      </c>
      <c r="AA59" s="21">
        <f>'Working Capital &amp; Assets'!H62</f>
        <v>644980</v>
      </c>
      <c r="AB59" s="21">
        <f>'Working Capital &amp; Assets'!I62</f>
        <v>1888372</v>
      </c>
      <c r="AC59" s="21">
        <f>'Working Capital &amp; Assets'!J62</f>
        <v>1159423</v>
      </c>
      <c r="AD59" s="21">
        <f>MIN(AE59,SUMIFS($W$2:$W$181,$A$2:$A$181,"&gt;"&amp;A59,$A$2:$A$181,"&lt;="&amp;EDATE(A59,12))+IF(AND(DATE(2033,12,1)&gt;A59,DATE(2033,12,1)&lt;=EDATE(A59,12)),'Funding &amp; Cap'!$B$200,0))</f>
        <v>0</v>
      </c>
      <c r="AE59" s="22">
        <f>'Funding &amp; Cap'!Q118</f>
        <v>22000000</v>
      </c>
      <c r="AF59" s="22">
        <f t="shared" si="2"/>
        <v>78695046</v>
      </c>
      <c r="AG59" s="22">
        <f t="shared" si="3"/>
        <v>-1725100</v>
      </c>
      <c r="AH59" s="23">
        <f>'Revenue &amp; Demand'!P223</f>
        <v>0</v>
      </c>
      <c r="AI59" s="24">
        <f>'Revenue &amp; Demand'!Q223</f>
        <v>0</v>
      </c>
      <c r="AJ59" s="24">
        <f>'Manufacturing &amp; Production'!J263</f>
        <v>0</v>
      </c>
      <c r="AK59" s="22"/>
      <c r="AL59" s="22"/>
      <c r="AM59" s="22"/>
    </row>
    <row r="60" ht="19.5" customHeight="1">
      <c r="A60" s="15">
        <v>44866.0</v>
      </c>
      <c r="B60" s="18">
        <f t="shared" si="1"/>
        <v>2022</v>
      </c>
      <c r="C60" s="19">
        <f>'Revenue &amp; Demand'!C224</f>
        <v>0</v>
      </c>
      <c r="D60" s="19">
        <f>'Revenue &amp; Demand'!F224</f>
        <v>14</v>
      </c>
      <c r="E60" s="21">
        <f>'Revenue &amp; Demand'!E224</f>
        <v>0</v>
      </c>
      <c r="F60" s="21">
        <f>'Revenue &amp; Demand'!H224</f>
        <v>437539</v>
      </c>
      <c r="G60" s="21">
        <f>'Revenue &amp; Demand'!J224</f>
        <v>29412</v>
      </c>
      <c r="H60" s="21">
        <f>'Manufacturing &amp; Production'!F264</f>
        <v>0</v>
      </c>
      <c r="I60" s="21">
        <f>'Manufacturing &amp; Production'!G264</f>
        <v>0</v>
      </c>
      <c r="J60" s="21">
        <f>'Workforce &amp; Expenses'!M316</f>
        <v>192517</v>
      </c>
      <c r="K60" s="21">
        <f>'Manufacturing &amp; Production'!K264</f>
        <v>2941</v>
      </c>
      <c r="L60" s="21">
        <f>'Clinical Trials &amp; R&amp;D'!F264</f>
        <v>1115724</v>
      </c>
      <c r="M60" s="21">
        <f>'Clinical Trials &amp; R&amp;D'!I264</f>
        <v>196892</v>
      </c>
      <c r="N60" s="21">
        <f>'Workforce &amp; Expenses'!P316</f>
        <v>236971</v>
      </c>
      <c r="O60" s="21">
        <f>'Workforce &amp; Expenses'!S316</f>
        <v>421250</v>
      </c>
      <c r="P60" s="21">
        <f>'Funding &amp; Cap'!F119</f>
        <v>67478</v>
      </c>
      <c r="Q60" s="21">
        <f>'Working Capital &amp; Assets'!B63</f>
        <v>91667</v>
      </c>
      <c r="R60" s="21">
        <f>'Funding &amp; Cap'!H119</f>
        <v>103732</v>
      </c>
      <c r="S60" s="21">
        <f>'Working Capital &amp; Assets'!C63</f>
        <v>0</v>
      </c>
      <c r="T60" s="21">
        <f>'Working Capital &amp; Assets'!D63</f>
        <v>213615</v>
      </c>
      <c r="U60" s="21">
        <f>'Funding &amp; Cap'!B119</f>
        <v>0</v>
      </c>
      <c r="V60" s="21">
        <f>'Funding &amp; Cap'!C119</f>
        <v>0</v>
      </c>
      <c r="W60" s="21">
        <f>'Funding &amp; Cap'!D119</f>
        <v>0</v>
      </c>
      <c r="X60" s="21">
        <f>'Working Capital &amp; Assets'!E63</f>
        <v>700192</v>
      </c>
      <c r="Y60" s="21">
        <f>'Working Capital &amp; Assets'!F63</f>
        <v>0</v>
      </c>
      <c r="Z60" s="21">
        <f>'Working Capital &amp; Assets'!G63</f>
        <v>339260</v>
      </c>
      <c r="AA60" s="21">
        <f>'Working Capital &amp; Assets'!H63</f>
        <v>694536</v>
      </c>
      <c r="AB60" s="21">
        <f>'Working Capital &amp; Assets'!I63</f>
        <v>2041533</v>
      </c>
      <c r="AC60" s="21">
        <f>'Working Capital &amp; Assets'!J63</f>
        <v>1238120</v>
      </c>
      <c r="AD60" s="21">
        <f>MIN(AE60,SUMIFS($W$2:$W$181,$A$2:$A$181,"&gt;"&amp;A60,$A$2:$A$181,"&lt;="&amp;EDATE(A60,12))+IF(AND(DATE(2033,12,1)&gt;A60,DATE(2033,12,1)&lt;=EDATE(A60,12)),'Funding &amp; Cap'!$B$200,0))</f>
        <v>0</v>
      </c>
      <c r="AE60" s="22">
        <f>'Funding &amp; Cap'!Q119</f>
        <v>22000000</v>
      </c>
      <c r="AF60" s="22">
        <f t="shared" si="2"/>
        <v>76902146</v>
      </c>
      <c r="AG60" s="22">
        <f t="shared" si="3"/>
        <v>-1792900</v>
      </c>
      <c r="AH60" s="23">
        <f>'Revenue &amp; Demand'!P224</f>
        <v>0</v>
      </c>
      <c r="AI60" s="24">
        <f>'Revenue &amp; Demand'!Q224</f>
        <v>0</v>
      </c>
      <c r="AJ60" s="24">
        <f>'Manufacturing &amp; Production'!J264</f>
        <v>0</v>
      </c>
      <c r="AK60" s="22"/>
      <c r="AL60" s="22"/>
      <c r="AM60" s="22"/>
    </row>
    <row r="61" ht="19.5" customHeight="1">
      <c r="A61" s="15">
        <v>44896.0</v>
      </c>
      <c r="B61" s="18">
        <f t="shared" si="1"/>
        <v>2022</v>
      </c>
      <c r="C61" s="19">
        <f>'Revenue &amp; Demand'!C225</f>
        <v>0</v>
      </c>
      <c r="D61" s="19">
        <f>'Revenue &amp; Demand'!F225</f>
        <v>15</v>
      </c>
      <c r="E61" s="21">
        <f>'Revenue &amp; Demand'!E225</f>
        <v>0</v>
      </c>
      <c r="F61" s="21">
        <f>'Revenue &amp; Demand'!H225</f>
        <v>459571</v>
      </c>
      <c r="G61" s="21">
        <f>'Revenue &amp; Demand'!J225</f>
        <v>213232</v>
      </c>
      <c r="H61" s="21">
        <f>'Manufacturing &amp; Production'!F265</f>
        <v>0</v>
      </c>
      <c r="I61" s="21">
        <f>'Manufacturing &amp; Production'!G265</f>
        <v>0</v>
      </c>
      <c r="J61" s="21">
        <f>'Workforce &amp; Expenses'!M317</f>
        <v>202211</v>
      </c>
      <c r="K61" s="21">
        <f>'Manufacturing &amp; Production'!K265</f>
        <v>21326</v>
      </c>
      <c r="L61" s="21">
        <f>'Clinical Trials &amp; R&amp;D'!F265</f>
        <v>1171904</v>
      </c>
      <c r="M61" s="21">
        <f>'Clinical Trials &amp; R&amp;D'!I265</f>
        <v>206807</v>
      </c>
      <c r="N61" s="21">
        <f>'Workforce &amp; Expenses'!P317</f>
        <v>253265</v>
      </c>
      <c r="O61" s="21">
        <f>'Workforce &amp; Expenses'!S317</f>
        <v>432009</v>
      </c>
      <c r="P61" s="21">
        <f>'Funding &amp; Cap'!F120</f>
        <v>68584</v>
      </c>
      <c r="Q61" s="21">
        <f>'Working Capital &amp; Assets'!B64</f>
        <v>91663</v>
      </c>
      <c r="R61" s="21">
        <f>'Funding &amp; Cap'!H120</f>
        <v>103728</v>
      </c>
      <c r="S61" s="21">
        <f>'Working Capital &amp; Assets'!C64</f>
        <v>0</v>
      </c>
      <c r="T61" s="21">
        <f>'Working Capital &amp; Assets'!D64</f>
        <v>215962</v>
      </c>
      <c r="U61" s="21">
        <f>'Funding &amp; Cap'!B120</f>
        <v>0</v>
      </c>
      <c r="V61" s="21">
        <f>'Funding &amp; Cap'!C120</f>
        <v>0</v>
      </c>
      <c r="W61" s="21">
        <f>'Funding &amp; Cap'!D120</f>
        <v>0</v>
      </c>
      <c r="X61" s="21">
        <f>'Working Capital &amp; Assets'!E64</f>
        <v>739726</v>
      </c>
      <c r="Y61" s="21">
        <f>'Working Capital &amp; Assets'!F64</f>
        <v>0</v>
      </c>
      <c r="Z61" s="21">
        <f>'Working Capital &amp; Assets'!G64</f>
        <v>360000</v>
      </c>
      <c r="AA61" s="21">
        <f>'Working Capital &amp; Assets'!H64</f>
        <v>745890</v>
      </c>
      <c r="AB61" s="21">
        <f>'Working Capital &amp; Assets'!I64</f>
        <v>2200000</v>
      </c>
      <c r="AC61" s="21">
        <f>'Working Capital &amp; Assets'!J64</f>
        <v>1320000</v>
      </c>
      <c r="AD61" s="21">
        <f>MIN(AE61,SUMIFS($W$2:$W$181,$A$2:$A$181,"&gt;"&amp;A61,$A$2:$A$181,"&lt;="&amp;EDATE(A61,12))+IF(AND(DATE(2033,12,1)&gt;A61,DATE(2033,12,1)&lt;=EDATE(A61,12)),'Funding &amp; Cap'!$B$200,0))</f>
        <v>0</v>
      </c>
      <c r="AE61" s="22">
        <f>'Funding &amp; Cap'!Q120</f>
        <v>22000000</v>
      </c>
      <c r="AF61" s="22">
        <f t="shared" si="2"/>
        <v>75199164</v>
      </c>
      <c r="AG61" s="22">
        <f t="shared" si="3"/>
        <v>-1702982</v>
      </c>
      <c r="AH61" s="23">
        <f>'Revenue &amp; Demand'!P225</f>
        <v>0</v>
      </c>
      <c r="AI61" s="24">
        <f>'Revenue &amp; Demand'!Q225</f>
        <v>0</v>
      </c>
      <c r="AJ61" s="24">
        <f>'Manufacturing &amp; Production'!J265</f>
        <v>0</v>
      </c>
      <c r="AK61" s="22"/>
      <c r="AL61" s="22"/>
      <c r="AM61" s="22"/>
    </row>
    <row r="62" ht="19.5" customHeight="1">
      <c r="A62" s="15">
        <v>44927.0</v>
      </c>
      <c r="B62" s="18">
        <f t="shared" si="1"/>
        <v>2023</v>
      </c>
      <c r="C62" s="19">
        <f>'Revenue &amp; Demand'!C226</f>
        <v>0</v>
      </c>
      <c r="D62" s="19">
        <f>'Revenue &amp; Demand'!F226</f>
        <v>16</v>
      </c>
      <c r="E62" s="21">
        <f>'Revenue &amp; Demand'!E226</f>
        <v>0</v>
      </c>
      <c r="F62" s="21">
        <f>'Revenue &amp; Demand'!H226</f>
        <v>926820</v>
      </c>
      <c r="G62" s="21">
        <f>'Revenue &amp; Demand'!J226</f>
        <v>176471</v>
      </c>
      <c r="H62" s="21">
        <f>'Manufacturing &amp; Production'!F266</f>
        <v>0</v>
      </c>
      <c r="I62" s="21">
        <f>'Manufacturing &amp; Production'!G266</f>
        <v>0</v>
      </c>
      <c r="J62" s="21">
        <f>'Workforce &amp; Expenses'!M318</f>
        <v>417069</v>
      </c>
      <c r="K62" s="21">
        <f>'Manufacturing &amp; Production'!K266</f>
        <v>14118</v>
      </c>
      <c r="L62" s="21">
        <f>'Clinical Trials &amp; R&amp;D'!F266</f>
        <v>1390229</v>
      </c>
      <c r="M62" s="21">
        <f>'Clinical Trials &amp; R&amp;D'!I266</f>
        <v>463410</v>
      </c>
      <c r="N62" s="21">
        <f>'Workforce &amp; Expenses'!P318</f>
        <v>409020</v>
      </c>
      <c r="O62" s="21">
        <f>'Workforce &amp; Expenses'!S318</f>
        <v>982305</v>
      </c>
      <c r="P62" s="21">
        <f>'Funding &amp; Cap'!F121</f>
        <v>150442</v>
      </c>
      <c r="Q62" s="21">
        <f>'Working Capital &amp; Assets'!B65</f>
        <v>250000</v>
      </c>
      <c r="R62" s="21">
        <f>'Funding &amp; Cap'!H121</f>
        <v>125865</v>
      </c>
      <c r="S62" s="21">
        <f>'Working Capital &amp; Assets'!C65</f>
        <v>0</v>
      </c>
      <c r="T62" s="21">
        <f>'Working Capital &amp; Assets'!D65</f>
        <v>380282</v>
      </c>
      <c r="U62" s="21">
        <f>'Funding &amp; Cap'!B121</f>
        <v>0</v>
      </c>
      <c r="V62" s="21">
        <f>'Funding &amp; Cap'!C121</f>
        <v>0</v>
      </c>
      <c r="W62" s="21">
        <f>'Funding &amp; Cap'!D121</f>
        <v>0</v>
      </c>
      <c r="X62" s="21">
        <f>'Working Capital &amp; Assets'!E65</f>
        <v>884504</v>
      </c>
      <c r="Y62" s="21">
        <f>'Working Capital &amp; Assets'!F65</f>
        <v>0</v>
      </c>
      <c r="Z62" s="21">
        <f>'Working Capital &amp; Assets'!G65</f>
        <v>424180</v>
      </c>
      <c r="AA62" s="21">
        <f>'Working Capital &amp; Assets'!H65</f>
        <v>808155</v>
      </c>
      <c r="AB62" s="21">
        <f>'Working Capital &amp; Assets'!I65</f>
        <v>2413700</v>
      </c>
      <c r="AC62" s="21">
        <f>'Working Capital &amp; Assets'!J65</f>
        <v>1555327</v>
      </c>
      <c r="AD62" s="21">
        <f>MIN(AE62,SUMIFS($W$2:$W$181,$A$2:$A$181,"&gt;"&amp;A62,$A$2:$A$181,"&lt;="&amp;EDATE(A62,12))+IF(AND(DATE(2033,12,1)&gt;A62,DATE(2033,12,1)&lt;=EDATE(A62,12)),'Funding &amp; Cap'!$B$200,0))</f>
        <v>0</v>
      </c>
      <c r="AE62" s="22">
        <f>'Funding &amp; Cap'!Q121</f>
        <v>22000000</v>
      </c>
      <c r="AF62" s="22">
        <f t="shared" si="2"/>
        <v>72422491</v>
      </c>
      <c r="AG62" s="22">
        <f t="shared" si="3"/>
        <v>-2776673</v>
      </c>
      <c r="AH62" s="23">
        <f>'Revenue &amp; Demand'!P226</f>
        <v>0</v>
      </c>
      <c r="AI62" s="24">
        <f>'Revenue &amp; Demand'!Q226</f>
        <v>0</v>
      </c>
      <c r="AJ62" s="24">
        <f>'Manufacturing &amp; Production'!J266</f>
        <v>0</v>
      </c>
      <c r="AK62" s="22"/>
      <c r="AL62" s="22"/>
      <c r="AM62" s="22"/>
    </row>
    <row r="63" ht="19.5" customHeight="1">
      <c r="A63" s="15">
        <v>44958.0</v>
      </c>
      <c r="B63" s="18">
        <f t="shared" si="1"/>
        <v>2023</v>
      </c>
      <c r="C63" s="19">
        <f>'Revenue &amp; Demand'!C227</f>
        <v>0</v>
      </c>
      <c r="D63" s="19">
        <f>'Revenue &amp; Demand'!F227</f>
        <v>17</v>
      </c>
      <c r="E63" s="21">
        <f>'Revenue &amp; Demand'!E227</f>
        <v>0</v>
      </c>
      <c r="F63" s="21">
        <f>'Revenue &amp; Demand'!H227</f>
        <v>947279</v>
      </c>
      <c r="G63" s="21">
        <f>'Revenue &amp; Demand'!J227</f>
        <v>176471</v>
      </c>
      <c r="H63" s="21">
        <f>'Manufacturing &amp; Production'!F267</f>
        <v>0</v>
      </c>
      <c r="I63" s="21">
        <f>'Manufacturing &amp; Production'!G267</f>
        <v>0</v>
      </c>
      <c r="J63" s="21">
        <f>'Workforce &amp; Expenses'!M319</f>
        <v>426276</v>
      </c>
      <c r="K63" s="21">
        <f>'Manufacturing &amp; Production'!K267</f>
        <v>14118</v>
      </c>
      <c r="L63" s="21">
        <f>'Clinical Trials &amp; R&amp;D'!F267</f>
        <v>1420919</v>
      </c>
      <c r="M63" s="21">
        <f>'Clinical Trials &amp; R&amp;D'!I267</f>
        <v>473639</v>
      </c>
      <c r="N63" s="21">
        <f>'Workforce &amp; Expenses'!P319</f>
        <v>474490</v>
      </c>
      <c r="O63" s="21">
        <f>'Workforce &amp; Expenses'!S319</f>
        <v>1003004</v>
      </c>
      <c r="P63" s="21">
        <f>'Funding &amp; Cap'!F122</f>
        <v>153392</v>
      </c>
      <c r="Q63" s="21">
        <f>'Working Capital &amp; Assets'!B66</f>
        <v>250000</v>
      </c>
      <c r="R63" s="21">
        <f>'Funding &amp; Cap'!H122</f>
        <v>125865</v>
      </c>
      <c r="S63" s="21">
        <f>'Working Capital &amp; Assets'!C66</f>
        <v>0</v>
      </c>
      <c r="T63" s="21">
        <f>'Working Capital &amp; Assets'!D66</f>
        <v>384977</v>
      </c>
      <c r="U63" s="21">
        <f>'Funding &amp; Cap'!B122</f>
        <v>0</v>
      </c>
      <c r="V63" s="21">
        <f>'Funding &amp; Cap'!C122</f>
        <v>0</v>
      </c>
      <c r="W63" s="21">
        <f>'Funding &amp; Cap'!D122</f>
        <v>0</v>
      </c>
      <c r="X63" s="21">
        <f>'Working Capital &amp; Assets'!E66</f>
        <v>1023891</v>
      </c>
      <c r="Y63" s="21">
        <f>'Working Capital &amp; Assets'!F66</f>
        <v>0</v>
      </c>
      <c r="Z63" s="21">
        <f>'Working Capital &amp; Assets'!G66</f>
        <v>485900</v>
      </c>
      <c r="AA63" s="21">
        <f>'Working Capital &amp; Assets'!H66</f>
        <v>867170</v>
      </c>
      <c r="AB63" s="21">
        <f>'Working Capital &amp; Assets'!I66</f>
        <v>2617030</v>
      </c>
      <c r="AC63" s="21">
        <f>'Working Capital &amp; Assets'!J66</f>
        <v>1781634</v>
      </c>
      <c r="AD63" s="21">
        <f>MIN(AE63,SUMIFS($W$2:$W$181,$A$2:$A$181,"&gt;"&amp;A63,$A$2:$A$181,"&lt;="&amp;EDATE(A63,12))+IF(AND(DATE(2033,12,1)&gt;A63,DATE(2033,12,1)&lt;=EDATE(A63,12)),'Funding &amp; Cap'!$B$200,0))</f>
        <v>0</v>
      </c>
      <c r="AE63" s="22">
        <f>'Funding &amp; Cap'!Q122</f>
        <v>22000000</v>
      </c>
      <c r="AF63" s="22">
        <f t="shared" si="2"/>
        <v>69510498</v>
      </c>
      <c r="AG63" s="22">
        <f t="shared" si="3"/>
        <v>-2911993</v>
      </c>
      <c r="AH63" s="23">
        <f>'Revenue &amp; Demand'!P227</f>
        <v>0</v>
      </c>
      <c r="AI63" s="24">
        <f>'Revenue &amp; Demand'!Q227</f>
        <v>0</v>
      </c>
      <c r="AJ63" s="24">
        <f>'Manufacturing &amp; Production'!J267</f>
        <v>0</v>
      </c>
      <c r="AK63" s="22"/>
      <c r="AL63" s="22"/>
      <c r="AM63" s="22"/>
    </row>
    <row r="64" ht="19.5" customHeight="1">
      <c r="A64" s="15">
        <v>44986.0</v>
      </c>
      <c r="B64" s="18">
        <f t="shared" si="1"/>
        <v>2023</v>
      </c>
      <c r="C64" s="19">
        <f>'Revenue &amp; Demand'!C228</f>
        <v>0</v>
      </c>
      <c r="D64" s="19">
        <f>'Revenue &amp; Demand'!F228</f>
        <v>17</v>
      </c>
      <c r="E64" s="21">
        <f>'Revenue &amp; Demand'!E228</f>
        <v>0</v>
      </c>
      <c r="F64" s="21">
        <f>'Revenue &amp; Demand'!H228</f>
        <v>947228</v>
      </c>
      <c r="G64" s="21">
        <f>'Revenue &amp; Demand'!J228</f>
        <v>1102941</v>
      </c>
      <c r="H64" s="21">
        <f>'Manufacturing &amp; Production'!F268</f>
        <v>0</v>
      </c>
      <c r="I64" s="21">
        <f>'Manufacturing &amp; Production'!G268</f>
        <v>0</v>
      </c>
      <c r="J64" s="21">
        <f>'Workforce &amp; Expenses'!M320</f>
        <v>426253</v>
      </c>
      <c r="K64" s="21">
        <f>'Manufacturing &amp; Production'!K268</f>
        <v>88235</v>
      </c>
      <c r="L64" s="21">
        <f>'Clinical Trials &amp; R&amp;D'!F268</f>
        <v>1420842</v>
      </c>
      <c r="M64" s="21">
        <f>'Clinical Trials &amp; R&amp;D'!I268</f>
        <v>473614</v>
      </c>
      <c r="N64" s="21">
        <f>'Workforce &amp; Expenses'!P320</f>
        <v>536766</v>
      </c>
      <c r="O64" s="21">
        <f>'Workforce &amp; Expenses'!S320</f>
        <v>1014825</v>
      </c>
      <c r="P64" s="21">
        <f>'Funding &amp; Cap'!F123</f>
        <v>156342</v>
      </c>
      <c r="Q64" s="21">
        <f>'Working Capital &amp; Assets'!B67</f>
        <v>250000</v>
      </c>
      <c r="R64" s="21">
        <f>'Funding &amp; Cap'!H123</f>
        <v>125865</v>
      </c>
      <c r="S64" s="21">
        <f>'Working Capital &amp; Assets'!C67</f>
        <v>0</v>
      </c>
      <c r="T64" s="21">
        <f>'Working Capital &amp; Assets'!D67</f>
        <v>953052</v>
      </c>
      <c r="U64" s="21">
        <f>'Funding &amp; Cap'!B123</f>
        <v>0</v>
      </c>
      <c r="V64" s="21">
        <f>'Funding &amp; Cap'!C123</f>
        <v>0</v>
      </c>
      <c r="W64" s="21">
        <f>'Funding &amp; Cap'!D123</f>
        <v>0</v>
      </c>
      <c r="X64" s="21">
        <f>'Working Capital &amp; Assets'!E67</f>
        <v>1153940</v>
      </c>
      <c r="Y64" s="21">
        <f>'Working Capital &amp; Assets'!F67</f>
        <v>0</v>
      </c>
      <c r="Z64" s="21">
        <f>'Working Capital &amp; Assets'!G67</f>
        <v>543360</v>
      </c>
      <c r="AA64" s="21">
        <f>'Working Capital &amp; Assets'!H67</f>
        <v>920557</v>
      </c>
      <c r="AB64" s="21">
        <f>'Working Capital &amp; Assets'!I67</f>
        <v>2802400</v>
      </c>
      <c r="AC64" s="21">
        <f>'Working Capital &amp; Assets'!J67</f>
        <v>1992320</v>
      </c>
      <c r="AD64" s="21">
        <f>MIN(AE64,SUMIFS($W$2:$W$181,$A$2:$A$181,"&gt;"&amp;A64,$A$2:$A$181,"&lt;="&amp;EDATE(A64,12))+IF(AND(DATE(2033,12,1)&gt;A64,DATE(2033,12,1)&lt;=EDATE(A64,12)),'Funding &amp; Cap'!$B$200,0))</f>
        <v>0</v>
      </c>
      <c r="AE64" s="22">
        <f>'Funding &amp; Cap'!Q123</f>
        <v>22000000</v>
      </c>
      <c r="AF64" s="22">
        <f t="shared" si="2"/>
        <v>66783149</v>
      </c>
      <c r="AG64" s="22">
        <f t="shared" si="3"/>
        <v>-2727349</v>
      </c>
      <c r="AH64" s="23">
        <f>'Revenue &amp; Demand'!P228</f>
        <v>0</v>
      </c>
      <c r="AI64" s="24">
        <f>'Revenue &amp; Demand'!Q228</f>
        <v>0</v>
      </c>
      <c r="AJ64" s="24">
        <f>'Manufacturing &amp; Production'!J268</f>
        <v>0</v>
      </c>
      <c r="AK64" s="22"/>
      <c r="AL64" s="22"/>
      <c r="AM64" s="22"/>
    </row>
    <row r="65" ht="19.5" customHeight="1">
      <c r="A65" s="15">
        <v>45017.0</v>
      </c>
      <c r="B65" s="18">
        <f t="shared" si="1"/>
        <v>2023</v>
      </c>
      <c r="C65" s="19">
        <f>'Revenue &amp; Demand'!C229</f>
        <v>0</v>
      </c>
      <c r="D65" s="19">
        <f>'Revenue &amp; Demand'!F229</f>
        <v>18</v>
      </c>
      <c r="E65" s="21">
        <f>'Revenue &amp; Demand'!E229</f>
        <v>0</v>
      </c>
      <c r="F65" s="21">
        <f>'Revenue &amp; Demand'!H229</f>
        <v>929422</v>
      </c>
      <c r="G65" s="21">
        <f>'Revenue &amp; Demand'!J229</f>
        <v>176471</v>
      </c>
      <c r="H65" s="21">
        <f>'Manufacturing &amp; Production'!F269</f>
        <v>0</v>
      </c>
      <c r="I65" s="21">
        <f>'Manufacturing &amp; Production'!G269</f>
        <v>0</v>
      </c>
      <c r="J65" s="21">
        <f>'Workforce &amp; Expenses'!M321</f>
        <v>418240</v>
      </c>
      <c r="K65" s="21">
        <f>'Manufacturing &amp; Production'!K269</f>
        <v>14118</v>
      </c>
      <c r="L65" s="21">
        <f>'Clinical Trials &amp; R&amp;D'!F269</f>
        <v>1394133</v>
      </c>
      <c r="M65" s="21">
        <f>'Clinical Trials &amp; R&amp;D'!I269</f>
        <v>464711</v>
      </c>
      <c r="N65" s="21">
        <f>'Workforce &amp; Expenses'!P321</f>
        <v>596277</v>
      </c>
      <c r="O65" s="21">
        <f>'Workforce &amp; Expenses'!S321</f>
        <v>1016395</v>
      </c>
      <c r="P65" s="21">
        <f>'Funding &amp; Cap'!F124</f>
        <v>159292</v>
      </c>
      <c r="Q65" s="21">
        <f>'Working Capital &amp; Assets'!B68</f>
        <v>250000</v>
      </c>
      <c r="R65" s="21">
        <f>'Funding &amp; Cap'!H124</f>
        <v>354712</v>
      </c>
      <c r="S65" s="21">
        <f>'Working Capital &amp; Assets'!C68</f>
        <v>0</v>
      </c>
      <c r="T65" s="21">
        <f>'Working Capital &amp; Assets'!D68</f>
        <v>394366</v>
      </c>
      <c r="U65" s="21">
        <f>'Funding &amp; Cap'!B124</f>
        <v>0</v>
      </c>
      <c r="V65" s="21">
        <f>'Funding &amp; Cap'!C124</f>
        <v>40000000</v>
      </c>
      <c r="W65" s="21">
        <f>'Funding &amp; Cap'!D124</f>
        <v>0</v>
      </c>
      <c r="X65" s="21">
        <f>'Working Capital &amp; Assets'!E68</f>
        <v>1273206</v>
      </c>
      <c r="Y65" s="21">
        <f>'Working Capital &amp; Assets'!F68</f>
        <v>0</v>
      </c>
      <c r="Z65" s="21">
        <f>'Working Capital &amp; Assets'!G68</f>
        <v>595900</v>
      </c>
      <c r="AA65" s="21">
        <f>'Working Capital &amp; Assets'!H68</f>
        <v>967444</v>
      </c>
      <c r="AB65" s="21">
        <f>'Working Capital &amp; Assets'!I68</f>
        <v>2967030</v>
      </c>
      <c r="AC65" s="21">
        <f>'Working Capital &amp; Assets'!J68</f>
        <v>2184967</v>
      </c>
      <c r="AD65" s="21">
        <f>MIN(AE65,SUMIFS($W$2:$W$181,$A$2:$A$181,"&gt;"&amp;A65,$A$2:$A$181,"&lt;="&amp;EDATE(A65,12))+IF(AND(DATE(2033,12,1)&gt;A65,DATE(2033,12,1)&lt;=EDATE(A65,12)),'Funding &amp; Cap'!$B$200,0))</f>
        <v>0</v>
      </c>
      <c r="AE65" s="22">
        <f>'Funding &amp; Cap'!Q124</f>
        <v>62000000</v>
      </c>
      <c r="AF65" s="22">
        <f t="shared" si="2"/>
        <v>103468448</v>
      </c>
      <c r="AG65" s="22">
        <f t="shared" si="3"/>
        <v>36685299</v>
      </c>
      <c r="AH65" s="23">
        <f>'Revenue &amp; Demand'!P229</f>
        <v>0</v>
      </c>
      <c r="AI65" s="24">
        <f>'Revenue &amp; Demand'!Q229</f>
        <v>0</v>
      </c>
      <c r="AJ65" s="24">
        <f>'Manufacturing &amp; Production'!J269</f>
        <v>0</v>
      </c>
      <c r="AK65" s="22"/>
      <c r="AL65" s="22"/>
      <c r="AM65" s="22"/>
    </row>
    <row r="66" ht="19.5" customHeight="1">
      <c r="A66" s="15">
        <v>45047.0</v>
      </c>
      <c r="B66" s="18">
        <f t="shared" si="1"/>
        <v>2023</v>
      </c>
      <c r="C66" s="19">
        <f>'Revenue &amp; Demand'!C230</f>
        <v>0</v>
      </c>
      <c r="D66" s="19">
        <f>'Revenue &amp; Demand'!F230</f>
        <v>19</v>
      </c>
      <c r="E66" s="21">
        <f>'Revenue &amp; Demand'!E230</f>
        <v>0</v>
      </c>
      <c r="F66" s="21">
        <f>'Revenue &amp; Demand'!H230</f>
        <v>901361</v>
      </c>
      <c r="G66" s="21">
        <f>'Revenue &amp; Demand'!J230</f>
        <v>176471</v>
      </c>
      <c r="H66" s="21">
        <f>'Manufacturing &amp; Production'!F270</f>
        <v>0</v>
      </c>
      <c r="I66" s="21">
        <f>'Manufacturing &amp; Production'!G270</f>
        <v>0</v>
      </c>
      <c r="J66" s="21">
        <f>'Workforce &amp; Expenses'!M322</f>
        <v>405612</v>
      </c>
      <c r="K66" s="21">
        <f>'Manufacturing &amp; Production'!K270</f>
        <v>14118</v>
      </c>
      <c r="L66" s="21">
        <f>'Clinical Trials &amp; R&amp;D'!F270</f>
        <v>1352041</v>
      </c>
      <c r="M66" s="21">
        <f>'Clinical Trials &amp; R&amp;D'!I270</f>
        <v>450680</v>
      </c>
      <c r="N66" s="21">
        <f>'Workforce &amp; Expenses'!P322</f>
        <v>654191</v>
      </c>
      <c r="O66" s="21">
        <f>'Workforce &amp; Expenses'!S322</f>
        <v>1009087</v>
      </c>
      <c r="P66" s="21">
        <f>'Funding &amp; Cap'!F125</f>
        <v>162242</v>
      </c>
      <c r="Q66" s="21">
        <f>'Working Capital &amp; Assets'!B69</f>
        <v>250000</v>
      </c>
      <c r="R66" s="21">
        <f>'Funding &amp; Cap'!H125</f>
        <v>354712</v>
      </c>
      <c r="S66" s="21">
        <f>'Working Capital &amp; Assets'!C69</f>
        <v>0</v>
      </c>
      <c r="T66" s="21">
        <f>'Working Capital &amp; Assets'!D69</f>
        <v>399061</v>
      </c>
      <c r="U66" s="21">
        <f>'Funding &amp; Cap'!B125</f>
        <v>0</v>
      </c>
      <c r="V66" s="21">
        <f>'Funding &amp; Cap'!C125</f>
        <v>0</v>
      </c>
      <c r="W66" s="21">
        <f>'Funding &amp; Cap'!D125</f>
        <v>0</v>
      </c>
      <c r="X66" s="21">
        <f>'Working Capital &amp; Assets'!E69</f>
        <v>1383134</v>
      </c>
      <c r="Y66" s="21">
        <f>'Working Capital &amp; Assets'!F69</f>
        <v>0</v>
      </c>
      <c r="Z66" s="21">
        <f>'Working Capital &amp; Assets'!G69</f>
        <v>644180</v>
      </c>
      <c r="AA66" s="21">
        <f>'Working Capital &amp; Assets'!H69</f>
        <v>1008703</v>
      </c>
      <c r="AB66" s="21">
        <f>'Working Capital &amp; Assets'!I69</f>
        <v>3113700</v>
      </c>
      <c r="AC66" s="21">
        <f>'Working Capital &amp; Assets'!J69</f>
        <v>2361993</v>
      </c>
      <c r="AD66" s="21">
        <f>MIN(AE66,SUMIFS($W$2:$W$181,$A$2:$A$181,"&gt;"&amp;A66,$A$2:$A$181,"&lt;="&amp;EDATE(A66,12))+IF(AND(DATE(2033,12,1)&gt;A66,DATE(2033,12,1)&lt;=EDATE(A66,12)),'Funding &amp; Cap'!$B$200,0))</f>
        <v>0</v>
      </c>
      <c r="AE66" s="22">
        <f>'Funding &amp; Cap'!Q125</f>
        <v>62000000</v>
      </c>
      <c r="AF66" s="22">
        <f t="shared" si="2"/>
        <v>100113525</v>
      </c>
      <c r="AG66" s="22">
        <f t="shared" si="3"/>
        <v>-3354923</v>
      </c>
      <c r="AH66" s="23">
        <f>'Revenue &amp; Demand'!P230</f>
        <v>0</v>
      </c>
      <c r="AI66" s="24">
        <f>'Revenue &amp; Demand'!Q230</f>
        <v>0</v>
      </c>
      <c r="AJ66" s="24">
        <f>'Manufacturing &amp; Production'!J270</f>
        <v>0</v>
      </c>
      <c r="AK66" s="22"/>
      <c r="AL66" s="22"/>
      <c r="AM66" s="22"/>
    </row>
    <row r="67" ht="19.5" customHeight="1">
      <c r="A67" s="15">
        <v>45078.0</v>
      </c>
      <c r="B67" s="18">
        <f t="shared" si="1"/>
        <v>2023</v>
      </c>
      <c r="C67" s="19">
        <f>'Revenue &amp; Demand'!C231</f>
        <v>0</v>
      </c>
      <c r="D67" s="19">
        <f>'Revenue &amp; Demand'!F231</f>
        <v>20</v>
      </c>
      <c r="E67" s="21">
        <f>'Revenue &amp; Demand'!E231</f>
        <v>0</v>
      </c>
      <c r="F67" s="21">
        <f>'Revenue &amp; Demand'!H231</f>
        <v>873299</v>
      </c>
      <c r="G67" s="21">
        <f>'Revenue &amp; Demand'!J231</f>
        <v>1102941</v>
      </c>
      <c r="H67" s="21">
        <f>'Manufacturing &amp; Production'!F271</f>
        <v>0</v>
      </c>
      <c r="I67" s="21">
        <f>'Manufacturing &amp; Production'!G271</f>
        <v>0</v>
      </c>
      <c r="J67" s="21">
        <f>'Workforce &amp; Expenses'!M323</f>
        <v>392985</v>
      </c>
      <c r="K67" s="21">
        <f>'Manufacturing &amp; Production'!K271</f>
        <v>88235</v>
      </c>
      <c r="L67" s="21">
        <f>'Clinical Trials &amp; R&amp;D'!F271</f>
        <v>1309949</v>
      </c>
      <c r="M67" s="21">
        <f>'Clinical Trials &amp; R&amp;D'!I271</f>
        <v>436650</v>
      </c>
      <c r="N67" s="21">
        <f>'Workforce &amp; Expenses'!P323</f>
        <v>712105</v>
      </c>
      <c r="O67" s="21">
        <f>'Workforce &amp; Expenses'!S323</f>
        <v>996652</v>
      </c>
      <c r="P67" s="21">
        <f>'Funding &amp; Cap'!F126</f>
        <v>165192</v>
      </c>
      <c r="Q67" s="21">
        <f>'Working Capital &amp; Assets'!B70</f>
        <v>250000</v>
      </c>
      <c r="R67" s="21">
        <f>'Funding &amp; Cap'!H126</f>
        <v>354712</v>
      </c>
      <c r="S67" s="21">
        <f>'Working Capital &amp; Assets'!C70</f>
        <v>0</v>
      </c>
      <c r="T67" s="21">
        <f>'Working Capital &amp; Assets'!D70</f>
        <v>403756</v>
      </c>
      <c r="U67" s="21">
        <f>'Funding &amp; Cap'!B126</f>
        <v>0</v>
      </c>
      <c r="V67" s="21">
        <f>'Funding &amp; Cap'!C126</f>
        <v>0</v>
      </c>
      <c r="W67" s="21">
        <f>'Funding &amp; Cap'!D126</f>
        <v>0</v>
      </c>
      <c r="X67" s="21">
        <f>'Working Capital &amp; Assets'!E70</f>
        <v>1487671</v>
      </c>
      <c r="Y67" s="21">
        <f>'Working Capital &amp; Assets'!F70</f>
        <v>0</v>
      </c>
      <c r="Z67" s="21">
        <f>'Working Capital &amp; Assets'!G70</f>
        <v>690000</v>
      </c>
      <c r="AA67" s="21">
        <f>'Working Capital &amp; Assets'!H70</f>
        <v>1046712</v>
      </c>
      <c r="AB67" s="21">
        <f>'Working Capital &amp; Assets'!I70</f>
        <v>3250000</v>
      </c>
      <c r="AC67" s="21">
        <f>'Working Capital &amp; Assets'!J70</f>
        <v>2530000</v>
      </c>
      <c r="AD67" s="21">
        <f>MIN(AE67,SUMIFS($W$2:$W$181,$A$2:$A$181,"&gt;"&amp;A67,$A$2:$A$181,"&lt;="&amp;EDATE(A67,12))+IF(AND(DATE(2033,12,1)&gt;A67,DATE(2033,12,1)&lt;=EDATE(A67,12)),'Funding &amp; Cap'!$B$200,0))</f>
        <v>0</v>
      </c>
      <c r="AE67" s="22">
        <f>'Funding &amp; Cap'!Q126</f>
        <v>62000000</v>
      </c>
      <c r="AF67" s="22">
        <f t="shared" si="2"/>
        <v>97586680</v>
      </c>
      <c r="AG67" s="22">
        <f t="shared" si="3"/>
        <v>-2526845</v>
      </c>
      <c r="AH67" s="23">
        <f>'Revenue &amp; Demand'!P231</f>
        <v>0</v>
      </c>
      <c r="AI67" s="24">
        <f>'Revenue &amp; Demand'!Q231</f>
        <v>0</v>
      </c>
      <c r="AJ67" s="24">
        <f>'Manufacturing &amp; Production'!J271</f>
        <v>0</v>
      </c>
      <c r="AK67" s="22"/>
      <c r="AL67" s="22"/>
      <c r="AM67" s="22"/>
    </row>
    <row r="68" ht="19.5" customHeight="1">
      <c r="A68" s="15">
        <v>45108.0</v>
      </c>
      <c r="B68" s="18">
        <f t="shared" si="1"/>
        <v>2023</v>
      </c>
      <c r="C68" s="19">
        <f>'Revenue &amp; Demand'!C232</f>
        <v>0</v>
      </c>
      <c r="D68" s="19">
        <f>'Revenue &amp; Demand'!F232</f>
        <v>20</v>
      </c>
      <c r="E68" s="21">
        <f>'Revenue &amp; Demand'!E232</f>
        <v>0</v>
      </c>
      <c r="F68" s="21">
        <f>'Revenue &amp; Demand'!H232</f>
        <v>855493</v>
      </c>
      <c r="G68" s="21">
        <f>'Revenue &amp; Demand'!J232</f>
        <v>176471</v>
      </c>
      <c r="H68" s="21">
        <f>'Manufacturing &amp; Production'!F272</f>
        <v>0</v>
      </c>
      <c r="I68" s="21">
        <f>'Manufacturing &amp; Production'!G272</f>
        <v>0</v>
      </c>
      <c r="J68" s="21">
        <f>'Workforce &amp; Expenses'!M324</f>
        <v>384972</v>
      </c>
      <c r="K68" s="21">
        <f>'Manufacturing &amp; Production'!K272</f>
        <v>14118</v>
      </c>
      <c r="L68" s="21">
        <f>'Clinical Trials &amp; R&amp;D'!F272</f>
        <v>1283240</v>
      </c>
      <c r="M68" s="21">
        <f>'Clinical Trials &amp; R&amp;D'!I272</f>
        <v>427746</v>
      </c>
      <c r="N68" s="21">
        <f>'Workforce &amp; Expenses'!P324</f>
        <v>771617</v>
      </c>
      <c r="O68" s="21">
        <f>'Workforce &amp; Expenses'!S324</f>
        <v>984218</v>
      </c>
      <c r="P68" s="21">
        <f>'Funding &amp; Cap'!F127</f>
        <v>168142</v>
      </c>
      <c r="Q68" s="21">
        <f>'Working Capital &amp; Assets'!B71</f>
        <v>250000</v>
      </c>
      <c r="R68" s="21">
        <f>'Funding &amp; Cap'!H127</f>
        <v>354712</v>
      </c>
      <c r="S68" s="21">
        <f>'Working Capital &amp; Assets'!C71</f>
        <v>0</v>
      </c>
      <c r="T68" s="21">
        <f>'Working Capital &amp; Assets'!D71</f>
        <v>408451</v>
      </c>
      <c r="U68" s="21">
        <f>'Funding &amp; Cap'!B127</f>
        <v>0</v>
      </c>
      <c r="V68" s="21">
        <f>'Funding &amp; Cap'!C127</f>
        <v>0</v>
      </c>
      <c r="W68" s="21">
        <f>'Funding &amp; Cap'!D127</f>
        <v>0</v>
      </c>
      <c r="X68" s="21">
        <f>'Working Capital &amp; Assets'!E71</f>
        <v>1592208</v>
      </c>
      <c r="Y68" s="21">
        <f>'Working Capital &amp; Assets'!F71</f>
        <v>0</v>
      </c>
      <c r="Z68" s="21">
        <f>'Working Capital &amp; Assets'!G71</f>
        <v>735820</v>
      </c>
      <c r="AA68" s="21">
        <f>'Working Capital &amp; Assets'!H71</f>
        <v>1084722</v>
      </c>
      <c r="AB68" s="21">
        <f>'Working Capital &amp; Assets'!I71</f>
        <v>3386300</v>
      </c>
      <c r="AC68" s="21">
        <f>'Working Capital &amp; Assets'!J71</f>
        <v>2698007</v>
      </c>
      <c r="AD68" s="21">
        <f>MIN(AE68,SUMIFS($W$2:$W$181,$A$2:$A$181,"&gt;"&amp;A68,$A$2:$A$181,"&lt;="&amp;EDATE(A68,12))+IF(AND(DATE(2033,12,1)&gt;A68,DATE(2033,12,1)&lt;=EDATE(A68,12)),'Funding &amp; Cap'!$B$200,0))</f>
        <v>0</v>
      </c>
      <c r="AE68" s="22">
        <f>'Funding &amp; Cap'!Q127</f>
        <v>62000000</v>
      </c>
      <c r="AF68" s="22">
        <f t="shared" si="2"/>
        <v>94181530</v>
      </c>
      <c r="AG68" s="22">
        <f t="shared" si="3"/>
        <v>-3405150</v>
      </c>
      <c r="AH68" s="23">
        <f>'Revenue &amp; Demand'!P232</f>
        <v>0</v>
      </c>
      <c r="AI68" s="24">
        <f>'Revenue &amp; Demand'!Q232</f>
        <v>0</v>
      </c>
      <c r="AJ68" s="24">
        <f>'Manufacturing &amp; Production'!J272</f>
        <v>0</v>
      </c>
      <c r="AK68" s="22"/>
      <c r="AL68" s="22"/>
      <c r="AM68" s="22"/>
    </row>
    <row r="69" ht="19.5" customHeight="1">
      <c r="A69" s="15">
        <v>45139.0</v>
      </c>
      <c r="B69" s="18">
        <f t="shared" si="1"/>
        <v>2023</v>
      </c>
      <c r="C69" s="19">
        <f>'Revenue &amp; Demand'!C233</f>
        <v>0</v>
      </c>
      <c r="D69" s="19">
        <f>'Revenue &amp; Demand'!F233</f>
        <v>21</v>
      </c>
      <c r="E69" s="21">
        <f>'Revenue &amp; Demand'!E233</f>
        <v>0</v>
      </c>
      <c r="F69" s="21">
        <f>'Revenue &amp; Demand'!H233</f>
        <v>855442</v>
      </c>
      <c r="G69" s="21">
        <f>'Revenue &amp; Demand'!J233</f>
        <v>176471</v>
      </c>
      <c r="H69" s="21">
        <f>'Manufacturing &amp; Production'!F273</f>
        <v>0</v>
      </c>
      <c r="I69" s="21">
        <f>'Manufacturing &amp; Production'!G273</f>
        <v>0</v>
      </c>
      <c r="J69" s="21">
        <f>'Workforce &amp; Expenses'!M325</f>
        <v>384949</v>
      </c>
      <c r="K69" s="21">
        <f>'Manufacturing &amp; Production'!K273</f>
        <v>14118</v>
      </c>
      <c r="L69" s="21">
        <f>'Clinical Trials &amp; R&amp;D'!F273</f>
        <v>1283163</v>
      </c>
      <c r="M69" s="21">
        <f>'Clinical Trials &amp; R&amp;D'!I273</f>
        <v>427721</v>
      </c>
      <c r="N69" s="21">
        <f>'Workforce &amp; Expenses'!P325</f>
        <v>833892</v>
      </c>
      <c r="O69" s="21">
        <f>'Workforce &amp; Expenses'!S325</f>
        <v>976910</v>
      </c>
      <c r="P69" s="21">
        <f>'Funding &amp; Cap'!F128</f>
        <v>171091</v>
      </c>
      <c r="Q69" s="21">
        <f>'Working Capital &amp; Assets'!B72</f>
        <v>250000</v>
      </c>
      <c r="R69" s="21">
        <f>'Funding &amp; Cap'!H128</f>
        <v>354712</v>
      </c>
      <c r="S69" s="21">
        <f>'Working Capital &amp; Assets'!C72</f>
        <v>0</v>
      </c>
      <c r="T69" s="21">
        <f>'Working Capital &amp; Assets'!D72</f>
        <v>413146</v>
      </c>
      <c r="U69" s="21">
        <f>'Funding &amp; Cap'!B128</f>
        <v>0</v>
      </c>
      <c r="V69" s="21">
        <f>'Funding &amp; Cap'!C128</f>
        <v>0</v>
      </c>
      <c r="W69" s="21">
        <f>'Funding &amp; Cap'!D128</f>
        <v>0</v>
      </c>
      <c r="X69" s="21">
        <f>'Working Capital &amp; Assets'!E72</f>
        <v>1702136</v>
      </c>
      <c r="Y69" s="21">
        <f>'Working Capital &amp; Assets'!F72</f>
        <v>0</v>
      </c>
      <c r="Z69" s="21">
        <f>'Working Capital &amp; Assets'!G72</f>
        <v>784100</v>
      </c>
      <c r="AA69" s="21">
        <f>'Working Capital &amp; Assets'!H72</f>
        <v>1125980</v>
      </c>
      <c r="AB69" s="21">
        <f>'Working Capital &amp; Assets'!I72</f>
        <v>3532970</v>
      </c>
      <c r="AC69" s="21">
        <f>'Working Capital &amp; Assets'!J72</f>
        <v>2875033</v>
      </c>
      <c r="AD69" s="21">
        <f>MIN(AE69,SUMIFS($W$2:$W$181,$A$2:$A$181,"&gt;"&amp;A69,$A$2:$A$181,"&lt;="&amp;EDATE(A69,12))+IF(AND(DATE(2033,12,1)&gt;A69,DATE(2033,12,1)&lt;=EDATE(A69,12)),'Funding &amp; Cap'!$B$200,0))</f>
        <v>0</v>
      </c>
      <c r="AE69" s="22">
        <f>'Funding &amp; Cap'!Q128</f>
        <v>62000000</v>
      </c>
      <c r="AF69" s="22">
        <f t="shared" si="2"/>
        <v>90731578</v>
      </c>
      <c r="AG69" s="22">
        <f t="shared" si="3"/>
        <v>-3449952</v>
      </c>
      <c r="AH69" s="23">
        <f>'Revenue &amp; Demand'!P233</f>
        <v>0</v>
      </c>
      <c r="AI69" s="24">
        <f>'Revenue &amp; Demand'!Q233</f>
        <v>0</v>
      </c>
      <c r="AJ69" s="24">
        <f>'Manufacturing &amp; Production'!J273</f>
        <v>0</v>
      </c>
      <c r="AK69" s="22"/>
      <c r="AL69" s="22"/>
      <c r="AM69" s="22"/>
    </row>
    <row r="70" ht="19.5" customHeight="1">
      <c r="A70" s="15">
        <v>45170.0</v>
      </c>
      <c r="B70" s="18">
        <f t="shared" si="1"/>
        <v>2023</v>
      </c>
      <c r="C70" s="19">
        <f>'Revenue &amp; Demand'!C234</f>
        <v>0</v>
      </c>
      <c r="D70" s="19">
        <f>'Revenue &amp; Demand'!F234</f>
        <v>22</v>
      </c>
      <c r="E70" s="21">
        <f>'Revenue &amp; Demand'!E234</f>
        <v>0</v>
      </c>
      <c r="F70" s="21">
        <f>'Revenue &amp; Demand'!H234</f>
        <v>875901</v>
      </c>
      <c r="G70" s="21">
        <f>'Revenue &amp; Demand'!J234</f>
        <v>1102941</v>
      </c>
      <c r="H70" s="21">
        <f>'Manufacturing &amp; Production'!F274</f>
        <v>0</v>
      </c>
      <c r="I70" s="21">
        <f>'Manufacturing &amp; Production'!G274</f>
        <v>0</v>
      </c>
      <c r="J70" s="21">
        <f>'Workforce &amp; Expenses'!M326</f>
        <v>394156</v>
      </c>
      <c r="K70" s="21">
        <f>'Manufacturing &amp; Production'!K274</f>
        <v>88235</v>
      </c>
      <c r="L70" s="21">
        <f>'Clinical Trials &amp; R&amp;D'!F274</f>
        <v>1313852</v>
      </c>
      <c r="M70" s="21">
        <f>'Clinical Trials &amp; R&amp;D'!I274</f>
        <v>437951</v>
      </c>
      <c r="N70" s="21">
        <f>'Workforce &amp; Expenses'!P326</f>
        <v>899362</v>
      </c>
      <c r="O70" s="21">
        <f>'Workforce &amp; Expenses'!S326</f>
        <v>978479</v>
      </c>
      <c r="P70" s="21">
        <f>'Funding &amp; Cap'!F129</f>
        <v>174041</v>
      </c>
      <c r="Q70" s="21">
        <f>'Working Capital &amp; Assets'!B73</f>
        <v>250000</v>
      </c>
      <c r="R70" s="21">
        <f>'Funding &amp; Cap'!H129</f>
        <v>354712</v>
      </c>
      <c r="S70" s="21">
        <f>'Working Capital &amp; Assets'!C73</f>
        <v>0</v>
      </c>
      <c r="T70" s="21">
        <f>'Working Capital &amp; Assets'!D73</f>
        <v>981221</v>
      </c>
      <c r="U70" s="21">
        <f>'Funding &amp; Cap'!B129</f>
        <v>0</v>
      </c>
      <c r="V70" s="21">
        <f>'Funding &amp; Cap'!C129</f>
        <v>0</v>
      </c>
      <c r="W70" s="21">
        <f>'Funding &amp; Cap'!D129</f>
        <v>0</v>
      </c>
      <c r="X70" s="21">
        <f>'Working Capital &amp; Assets'!E73</f>
        <v>1821403</v>
      </c>
      <c r="Y70" s="21">
        <f>'Working Capital &amp; Assets'!F73</f>
        <v>0</v>
      </c>
      <c r="Z70" s="21">
        <f>'Working Capital &amp; Assets'!G73</f>
        <v>836640</v>
      </c>
      <c r="AA70" s="21">
        <f>'Working Capital &amp; Assets'!H73</f>
        <v>1172868</v>
      </c>
      <c r="AB70" s="21">
        <f>'Working Capital &amp; Assets'!I73</f>
        <v>3697600</v>
      </c>
      <c r="AC70" s="21">
        <f>'Working Capital &amp; Assets'!J73</f>
        <v>3067680</v>
      </c>
      <c r="AD70" s="21">
        <f>MIN(AE70,SUMIFS($W$2:$W$181,$A$2:$A$181,"&gt;"&amp;A70,$A$2:$A$181,"&lt;="&amp;EDATE(A70,12))+IF(AND(DATE(2033,12,1)&gt;A70,DATE(2033,12,1)&lt;=EDATE(A70,12)),'Funding &amp; Cap'!$B$200,0))</f>
        <v>5000000</v>
      </c>
      <c r="AE70" s="22">
        <f>'Funding &amp; Cap'!Q129</f>
        <v>62000000</v>
      </c>
      <c r="AF70" s="22">
        <f t="shared" si="2"/>
        <v>87494810</v>
      </c>
      <c r="AG70" s="22">
        <f t="shared" si="3"/>
        <v>-3236768</v>
      </c>
      <c r="AH70" s="23">
        <f>'Revenue &amp; Demand'!P234</f>
        <v>0</v>
      </c>
      <c r="AI70" s="24">
        <f>'Revenue &amp; Demand'!Q234</f>
        <v>0</v>
      </c>
      <c r="AJ70" s="24">
        <f>'Manufacturing &amp; Production'!J274</f>
        <v>0</v>
      </c>
      <c r="AK70" s="22"/>
      <c r="AL70" s="22"/>
      <c r="AM70" s="22"/>
    </row>
    <row r="71" ht="19.5" customHeight="1">
      <c r="A71" s="15">
        <v>45200.0</v>
      </c>
      <c r="B71" s="18">
        <f t="shared" si="1"/>
        <v>2023</v>
      </c>
      <c r="C71" s="19">
        <f>'Revenue &amp; Demand'!C235</f>
        <v>0</v>
      </c>
      <c r="D71" s="19">
        <f>'Revenue &amp; Demand'!F235</f>
        <v>23</v>
      </c>
      <c r="E71" s="21">
        <f>'Revenue &amp; Demand'!E235</f>
        <v>0</v>
      </c>
      <c r="F71" s="21">
        <f>'Revenue &amp; Demand'!H235</f>
        <v>914116</v>
      </c>
      <c r="G71" s="21">
        <f>'Revenue &amp; Demand'!J235</f>
        <v>176471</v>
      </c>
      <c r="H71" s="21">
        <f>'Manufacturing &amp; Production'!F275</f>
        <v>0</v>
      </c>
      <c r="I71" s="21">
        <f>'Manufacturing &amp; Production'!G275</f>
        <v>0</v>
      </c>
      <c r="J71" s="21">
        <f>'Workforce &amp; Expenses'!M327</f>
        <v>411352</v>
      </c>
      <c r="K71" s="21">
        <f>'Manufacturing &amp; Production'!K275</f>
        <v>14118</v>
      </c>
      <c r="L71" s="21">
        <f>'Clinical Trials &amp; R&amp;D'!F275</f>
        <v>1371173</v>
      </c>
      <c r="M71" s="21">
        <f>'Clinical Trials &amp; R&amp;D'!I275</f>
        <v>457058</v>
      </c>
      <c r="N71" s="21">
        <f>'Workforce &amp; Expenses'!P327</f>
        <v>967596</v>
      </c>
      <c r="O71" s="21">
        <f>'Workforce &amp; Expenses'!S327</f>
        <v>990300</v>
      </c>
      <c r="P71" s="21">
        <f>'Funding &amp; Cap'!F130</f>
        <v>176991</v>
      </c>
      <c r="Q71" s="21">
        <f>'Working Capital &amp; Assets'!B74</f>
        <v>250000</v>
      </c>
      <c r="R71" s="21">
        <f>'Funding &amp; Cap'!H130</f>
        <v>354712</v>
      </c>
      <c r="S71" s="21">
        <f>'Working Capital &amp; Assets'!C74</f>
        <v>0</v>
      </c>
      <c r="T71" s="21">
        <f>'Working Capital &amp; Assets'!D74</f>
        <v>422535</v>
      </c>
      <c r="U71" s="21">
        <f>'Funding &amp; Cap'!B130</f>
        <v>0</v>
      </c>
      <c r="V71" s="21">
        <f>'Funding &amp; Cap'!C130</f>
        <v>0</v>
      </c>
      <c r="W71" s="21">
        <f>'Funding &amp; Cap'!D130</f>
        <v>0</v>
      </c>
      <c r="X71" s="21">
        <f>'Working Capital &amp; Assets'!E74</f>
        <v>1951452</v>
      </c>
      <c r="Y71" s="21">
        <f>'Working Capital &amp; Assets'!F74</f>
        <v>0</v>
      </c>
      <c r="Z71" s="21">
        <f>'Working Capital &amp; Assets'!G74</f>
        <v>894100</v>
      </c>
      <c r="AA71" s="21">
        <f>'Working Capital &amp; Assets'!H74</f>
        <v>1226254</v>
      </c>
      <c r="AB71" s="21">
        <f>'Working Capital &amp; Assets'!I74</f>
        <v>3882970</v>
      </c>
      <c r="AC71" s="21">
        <f>'Working Capital &amp; Assets'!J74</f>
        <v>3278366</v>
      </c>
      <c r="AD71" s="21">
        <f>MIN(AE71,SUMIFS($W$2:$W$181,$A$2:$A$181,"&gt;"&amp;A71,$A$2:$A$181,"&lt;="&amp;EDATE(A71,12))+IF(AND(DATE(2033,12,1)&gt;A71,DATE(2033,12,1)&lt;=EDATE(A71,12)),'Funding &amp; Cap'!$B$200,0))</f>
        <v>5000000</v>
      </c>
      <c r="AE71" s="22">
        <f>'Funding &amp; Cap'!Q130</f>
        <v>62000000</v>
      </c>
      <c r="AF71" s="22">
        <f t="shared" si="2"/>
        <v>83858486</v>
      </c>
      <c r="AG71" s="22">
        <f t="shared" si="3"/>
        <v>-3636324</v>
      </c>
      <c r="AH71" s="23">
        <f>'Revenue &amp; Demand'!P235</f>
        <v>0</v>
      </c>
      <c r="AI71" s="24">
        <f>'Revenue &amp; Demand'!Q235</f>
        <v>0</v>
      </c>
      <c r="AJ71" s="24">
        <f>'Manufacturing &amp; Production'!J275</f>
        <v>0</v>
      </c>
      <c r="AK71" s="22"/>
      <c r="AL71" s="22"/>
      <c r="AM71" s="22"/>
    </row>
    <row r="72" ht="19.5" customHeight="1">
      <c r="A72" s="15">
        <v>45231.0</v>
      </c>
      <c r="B72" s="18">
        <f t="shared" si="1"/>
        <v>2023</v>
      </c>
      <c r="C72" s="19">
        <f>'Revenue &amp; Demand'!C236</f>
        <v>0</v>
      </c>
      <c r="D72" s="19">
        <f>'Revenue &amp; Demand'!F236</f>
        <v>23</v>
      </c>
      <c r="E72" s="21">
        <f>'Revenue &amp; Demand'!E236</f>
        <v>0</v>
      </c>
      <c r="F72" s="21">
        <f>'Revenue &amp; Demand'!H236</f>
        <v>962585</v>
      </c>
      <c r="G72" s="21">
        <f>'Revenue &amp; Demand'!J236</f>
        <v>176471</v>
      </c>
      <c r="H72" s="21">
        <f>'Manufacturing &amp; Production'!F276</f>
        <v>0</v>
      </c>
      <c r="I72" s="21">
        <f>'Manufacturing &amp; Production'!G276</f>
        <v>0</v>
      </c>
      <c r="J72" s="21">
        <f>'Workforce &amp; Expenses'!M328</f>
        <v>433163</v>
      </c>
      <c r="K72" s="21">
        <f>'Manufacturing &amp; Production'!K276</f>
        <v>14118</v>
      </c>
      <c r="L72" s="21">
        <f>'Clinical Trials &amp; R&amp;D'!F276</f>
        <v>1443878</v>
      </c>
      <c r="M72" s="21">
        <f>'Clinical Trials &amp; R&amp;D'!I276</f>
        <v>481292</v>
      </c>
      <c r="N72" s="21">
        <f>'Workforce &amp; Expenses'!P328</f>
        <v>1037427</v>
      </c>
      <c r="O72" s="21">
        <f>'Workforce &amp; Expenses'!S328</f>
        <v>1011000</v>
      </c>
      <c r="P72" s="21">
        <f>'Funding &amp; Cap'!F131</f>
        <v>179941</v>
      </c>
      <c r="Q72" s="21">
        <f>'Working Capital &amp; Assets'!B75</f>
        <v>250000</v>
      </c>
      <c r="R72" s="21">
        <f>'Funding &amp; Cap'!H131</f>
        <v>354712</v>
      </c>
      <c r="S72" s="21">
        <f>'Working Capital &amp; Assets'!C75</f>
        <v>0</v>
      </c>
      <c r="T72" s="21">
        <f>'Working Capital &amp; Assets'!D75</f>
        <v>427230</v>
      </c>
      <c r="U72" s="21">
        <f>'Funding &amp; Cap'!B131</f>
        <v>0</v>
      </c>
      <c r="V72" s="21">
        <f>'Funding &amp; Cap'!C131</f>
        <v>0</v>
      </c>
      <c r="W72" s="21">
        <f>'Funding &amp; Cap'!D131</f>
        <v>0</v>
      </c>
      <c r="X72" s="21">
        <f>'Working Capital &amp; Assets'!E75</f>
        <v>2090838</v>
      </c>
      <c r="Y72" s="21">
        <f>'Working Capital &amp; Assets'!F75</f>
        <v>0</v>
      </c>
      <c r="Z72" s="21">
        <f>'Working Capital &amp; Assets'!G75</f>
        <v>955820</v>
      </c>
      <c r="AA72" s="21">
        <f>'Working Capital &amp; Assets'!H75</f>
        <v>1285269</v>
      </c>
      <c r="AB72" s="21">
        <f>'Working Capital &amp; Assets'!I75</f>
        <v>4086300</v>
      </c>
      <c r="AC72" s="21">
        <f>'Working Capital &amp; Assets'!J75</f>
        <v>3504673</v>
      </c>
      <c r="AD72" s="21">
        <f>MIN(AE72,SUMIFS($W$2:$W$181,$A$2:$A$181,"&gt;"&amp;A72,$A$2:$A$181,"&lt;="&amp;EDATE(A72,12))+IF(AND(DATE(2033,12,1)&gt;A72,DATE(2033,12,1)&lt;=EDATE(A72,12)),'Funding &amp; Cap'!$B$200,0))</f>
        <v>5000000</v>
      </c>
      <c r="AE72" s="22">
        <f>'Funding &amp; Cap'!Q131</f>
        <v>62000000</v>
      </c>
      <c r="AF72" s="22">
        <f t="shared" si="2"/>
        <v>80082268</v>
      </c>
      <c r="AG72" s="22">
        <f t="shared" si="3"/>
        <v>-3776218</v>
      </c>
      <c r="AH72" s="23">
        <f>'Revenue &amp; Demand'!P236</f>
        <v>0</v>
      </c>
      <c r="AI72" s="24">
        <f>'Revenue &amp; Demand'!Q236</f>
        <v>0</v>
      </c>
      <c r="AJ72" s="24">
        <f>'Manufacturing &amp; Production'!J276</f>
        <v>0</v>
      </c>
      <c r="AK72" s="22"/>
      <c r="AL72" s="22"/>
      <c r="AM72" s="22"/>
    </row>
    <row r="73" ht="19.5" customHeight="1">
      <c r="A73" s="15">
        <v>45261.0</v>
      </c>
      <c r="B73" s="18">
        <f t="shared" si="1"/>
        <v>2023</v>
      </c>
      <c r="C73" s="19">
        <f>'Revenue &amp; Demand'!C237</f>
        <v>0</v>
      </c>
      <c r="D73" s="19">
        <f>'Revenue &amp; Demand'!F237</f>
        <v>24</v>
      </c>
      <c r="E73" s="21">
        <f>'Revenue &amp; Demand'!E237</f>
        <v>0</v>
      </c>
      <c r="F73" s="21">
        <f>'Revenue &amp; Demand'!H237</f>
        <v>1011054</v>
      </c>
      <c r="G73" s="21">
        <f>'Revenue &amp; Demand'!J237</f>
        <v>1279409</v>
      </c>
      <c r="H73" s="21">
        <f>'Manufacturing &amp; Production'!F277</f>
        <v>0</v>
      </c>
      <c r="I73" s="21">
        <f>'Manufacturing &amp; Production'!G277</f>
        <v>0</v>
      </c>
      <c r="J73" s="21">
        <f>'Workforce &amp; Expenses'!M329</f>
        <v>454973</v>
      </c>
      <c r="K73" s="21">
        <f>'Manufacturing &amp; Production'!K277</f>
        <v>102351</v>
      </c>
      <c r="L73" s="21">
        <f>'Clinical Trials &amp; R&amp;D'!F277</f>
        <v>1516582</v>
      </c>
      <c r="M73" s="21">
        <f>'Clinical Trials &amp; R&amp;D'!I277</f>
        <v>505527</v>
      </c>
      <c r="N73" s="21">
        <f>'Workforce &amp; Expenses'!P329</f>
        <v>1107257</v>
      </c>
      <c r="O73" s="21">
        <f>'Workforce &amp; Expenses'!S329</f>
        <v>1036825</v>
      </c>
      <c r="P73" s="21">
        <f>'Funding &amp; Cap'!F132</f>
        <v>182892</v>
      </c>
      <c r="Q73" s="21">
        <f>'Working Capital &amp; Assets'!B76</f>
        <v>250000</v>
      </c>
      <c r="R73" s="21">
        <f>'Funding &amp; Cap'!H132</f>
        <v>354709</v>
      </c>
      <c r="S73" s="21">
        <f>'Working Capital &amp; Assets'!C76</f>
        <v>0</v>
      </c>
      <c r="T73" s="21">
        <f>'Working Capital &amp; Assets'!D76</f>
        <v>431923</v>
      </c>
      <c r="U73" s="21">
        <f>'Funding &amp; Cap'!B132</f>
        <v>0</v>
      </c>
      <c r="V73" s="21">
        <f>'Funding &amp; Cap'!C132</f>
        <v>0</v>
      </c>
      <c r="W73" s="21">
        <f>'Funding &amp; Cap'!D132</f>
        <v>0</v>
      </c>
      <c r="X73" s="21">
        <f>'Working Capital &amp; Assets'!E76</f>
        <v>2235616</v>
      </c>
      <c r="Y73" s="21">
        <f>'Working Capital &amp; Assets'!F76</f>
        <v>0</v>
      </c>
      <c r="Z73" s="21">
        <f>'Working Capital &amp; Assets'!G76</f>
        <v>1020000</v>
      </c>
      <c r="AA73" s="21">
        <f>'Working Capital &amp; Assets'!H76</f>
        <v>1347534</v>
      </c>
      <c r="AB73" s="21">
        <f>'Working Capital &amp; Assets'!I76</f>
        <v>4300000</v>
      </c>
      <c r="AC73" s="21">
        <f>'Working Capital &amp; Assets'!J76</f>
        <v>3740000</v>
      </c>
      <c r="AD73" s="21">
        <f>MIN(AE73,SUMIFS($W$2:$W$181,$A$2:$A$181,"&gt;"&amp;A73,$A$2:$A$181,"&lt;="&amp;EDATE(A73,12))+IF(AND(DATE(2033,12,1)&gt;A73,DATE(2033,12,1)&lt;=EDATE(A73,12)),'Funding &amp; Cap'!$B$200,0))</f>
        <v>5000000</v>
      </c>
      <c r="AE73" s="22">
        <f>'Funding &amp; Cap'!Q132</f>
        <v>62000000</v>
      </c>
      <c r="AF73" s="22">
        <f t="shared" si="2"/>
        <v>77164918</v>
      </c>
      <c r="AG73" s="22">
        <f t="shared" si="3"/>
        <v>-2917350</v>
      </c>
      <c r="AH73" s="23">
        <f>'Revenue &amp; Demand'!P237</f>
        <v>0</v>
      </c>
      <c r="AI73" s="24">
        <f>'Revenue &amp; Demand'!Q237</f>
        <v>0</v>
      </c>
      <c r="AJ73" s="24">
        <f>'Manufacturing &amp; Production'!J277</f>
        <v>0</v>
      </c>
      <c r="AK73" s="24" t="s">
        <v>2</v>
      </c>
      <c r="AL73" s="24" t="s">
        <v>391</v>
      </c>
      <c r="AM73" s="24" t="s">
        <v>392</v>
      </c>
    </row>
    <row r="74" ht="19.5" customHeight="1">
      <c r="A74" s="15">
        <v>45292.0</v>
      </c>
      <c r="B74" s="18">
        <f t="shared" si="1"/>
        <v>2024</v>
      </c>
      <c r="C74" s="19">
        <f>'Revenue &amp; Demand'!C238</f>
        <v>510</v>
      </c>
      <c r="D74" s="19">
        <f>'Revenue &amp; Demand'!F238</f>
        <v>25</v>
      </c>
      <c r="E74" s="21">
        <f>'Revenue &amp; Demand'!E238</f>
        <v>815476</v>
      </c>
      <c r="F74" s="21">
        <f>'Revenue &amp; Demand'!H238</f>
        <v>1685127</v>
      </c>
      <c r="G74" s="21">
        <f>'Revenue &amp; Demand'!J238</f>
        <v>205882</v>
      </c>
      <c r="H74" s="21">
        <f>'Manufacturing &amp; Production'!F278</f>
        <v>187560</v>
      </c>
      <c r="I74" s="21">
        <f>'Manufacturing &amp; Production'!G278</f>
        <v>65238</v>
      </c>
      <c r="J74" s="21">
        <f>'Workforce &amp; Expenses'!M330</f>
        <v>758307</v>
      </c>
      <c r="K74" s="21">
        <f>'Manufacturing &amp; Production'!K278</f>
        <v>16471</v>
      </c>
      <c r="L74" s="21">
        <f>'Clinical Trials &amp; R&amp;D'!F278</f>
        <v>2595095</v>
      </c>
      <c r="M74" s="21">
        <f>'Clinical Trials &amp; R&amp;D'!I278</f>
        <v>1112184</v>
      </c>
      <c r="N74" s="21">
        <f>'Workforce &amp; Expenses'!P330</f>
        <v>842774</v>
      </c>
      <c r="O74" s="21">
        <f>'Workforce &amp; Expenses'!S330</f>
        <v>1555316</v>
      </c>
      <c r="P74" s="21">
        <f>'Funding &amp; Cap'!F133</f>
        <v>300885</v>
      </c>
      <c r="Q74" s="21">
        <f>'Working Capital &amp; Assets'!B77</f>
        <v>416667</v>
      </c>
      <c r="R74" s="21">
        <f>'Funding &amp; Cap'!H133</f>
        <v>433101</v>
      </c>
      <c r="S74" s="21">
        <f>'Working Capital &amp; Assets'!C77</f>
        <v>0</v>
      </c>
      <c r="T74" s="21">
        <f>'Working Capital &amp; Assets'!D77</f>
        <v>760563</v>
      </c>
      <c r="U74" s="21">
        <f>'Funding &amp; Cap'!B133</f>
        <v>0</v>
      </c>
      <c r="V74" s="21">
        <f>'Funding &amp; Cap'!C133</f>
        <v>0</v>
      </c>
      <c r="W74" s="21">
        <f>'Funding &amp; Cap'!D133</f>
        <v>0</v>
      </c>
      <c r="X74" s="21">
        <f>'Working Capital &amp; Assets'!E77</f>
        <v>2693878</v>
      </c>
      <c r="Y74" s="21">
        <f>'Working Capital &amp; Assets'!F77</f>
        <v>239291</v>
      </c>
      <c r="Z74" s="21">
        <f>'Working Capital &amp; Assets'!G77</f>
        <v>1206460</v>
      </c>
      <c r="AA74" s="21">
        <f>'Working Capital &amp; Assets'!H77</f>
        <v>1560774</v>
      </c>
      <c r="AB74" s="21">
        <f>'Working Capital &amp; Assets'!I77</f>
        <v>4726962</v>
      </c>
      <c r="AC74" s="21">
        <f>'Working Capital &amp; Assets'!J77</f>
        <v>3976793</v>
      </c>
      <c r="AD74" s="21">
        <f>MIN(AE74,SUMIFS($W$2:$W$181,$A$2:$A$181,"&gt;"&amp;A74,$A$2:$A$181,"&lt;="&amp;EDATE(A74,12))+IF(AND(DATE(2033,12,1)&gt;A74,DATE(2033,12,1)&lt;=EDATE(A74,12)),'Funding &amp; Cap'!$B$200,0))</f>
        <v>5000000</v>
      </c>
      <c r="AE74" s="22">
        <f>'Funding &amp; Cap'!Q133</f>
        <v>62000000</v>
      </c>
      <c r="AF74" s="22">
        <f t="shared" si="2"/>
        <v>71537776</v>
      </c>
      <c r="AG74" s="22">
        <f t="shared" si="3"/>
        <v>-5627142</v>
      </c>
      <c r="AH74" s="23">
        <f>'Revenue &amp; Demand'!P238</f>
        <v>0</v>
      </c>
      <c r="AI74" s="24">
        <f>'Revenue &amp; Demand'!Q238</f>
        <v>0</v>
      </c>
      <c r="AJ74" s="24">
        <f>'Manufacturing &amp; Production'!J278</f>
        <v>0</v>
      </c>
      <c r="AK74" s="105">
        <f t="shared" ref="AK74:AK145" si="4">A74</f>
        <v>45292</v>
      </c>
      <c r="AL74" s="107">
        <f t="shared" ref="AL74:AL145" si="5">IF(B74&lt;=2025,C74,"")</f>
        <v>510</v>
      </c>
      <c r="AM74" s="107" t="str">
        <f t="shared" ref="AM74:AM145" si="6">IF(OR(B74&gt;=2026,AND(B74=2025,MONTH(A74)=12)),C74,"")</f>
        <v/>
      </c>
    </row>
    <row r="75" ht="19.5" customHeight="1">
      <c r="A75" s="15">
        <v>45323.0</v>
      </c>
      <c r="B75" s="18">
        <f t="shared" si="1"/>
        <v>2024</v>
      </c>
      <c r="C75" s="19">
        <f>'Revenue &amp; Demand'!C239</f>
        <v>597</v>
      </c>
      <c r="D75" s="19">
        <f>'Revenue &amp; Demand'!F239</f>
        <v>26</v>
      </c>
      <c r="E75" s="21">
        <f>'Revenue &amp; Demand'!E239</f>
        <v>955660</v>
      </c>
      <c r="F75" s="21">
        <f>'Revenue &amp; Demand'!H239</f>
        <v>1722325</v>
      </c>
      <c r="G75" s="21">
        <f>'Revenue &amp; Demand'!J239</f>
        <v>205882</v>
      </c>
      <c r="H75" s="21">
        <f>'Manufacturing &amp; Production'!F279</f>
        <v>219802</v>
      </c>
      <c r="I75" s="21">
        <f>'Manufacturing &amp; Production'!G279</f>
        <v>76453</v>
      </c>
      <c r="J75" s="21">
        <f>'Workforce &amp; Expenses'!M331</f>
        <v>775046</v>
      </c>
      <c r="K75" s="21">
        <f>'Manufacturing &amp; Production'!K279</f>
        <v>16471</v>
      </c>
      <c r="L75" s="21">
        <f>'Clinical Trials &amp; R&amp;D'!F279</f>
        <v>2652381</v>
      </c>
      <c r="M75" s="21">
        <f>'Clinical Trials &amp; R&amp;D'!I279</f>
        <v>1136735</v>
      </c>
      <c r="N75" s="21">
        <f>'Workforce &amp; Expenses'!P331</f>
        <v>959701</v>
      </c>
      <c r="O75" s="21">
        <f>'Workforce &amp; Expenses'!S331</f>
        <v>1588090</v>
      </c>
      <c r="P75" s="21">
        <f>'Funding &amp; Cap'!F134</f>
        <v>306785</v>
      </c>
      <c r="Q75" s="21">
        <f>'Working Capital &amp; Assets'!B78</f>
        <v>416667</v>
      </c>
      <c r="R75" s="21">
        <f>'Funding &amp; Cap'!H134</f>
        <v>433101</v>
      </c>
      <c r="S75" s="21">
        <f>'Working Capital &amp; Assets'!C78</f>
        <v>0</v>
      </c>
      <c r="T75" s="21">
        <f>'Working Capital &amp; Assets'!D78</f>
        <v>769953</v>
      </c>
      <c r="U75" s="21">
        <f>'Funding &amp; Cap'!B134</f>
        <v>0</v>
      </c>
      <c r="V75" s="21">
        <f>'Funding &amp; Cap'!C134</f>
        <v>0</v>
      </c>
      <c r="W75" s="21">
        <f>'Funding &amp; Cap'!D134</f>
        <v>0</v>
      </c>
      <c r="X75" s="21">
        <f>'Working Capital &amp; Assets'!E78</f>
        <v>3135304</v>
      </c>
      <c r="Y75" s="21">
        <f>'Working Capital &amp; Assets'!F78</f>
        <v>472332</v>
      </c>
      <c r="Z75" s="21">
        <f>'Working Capital &amp; Assets'!G78</f>
        <v>1385830</v>
      </c>
      <c r="AA75" s="21">
        <f>'Working Capital &amp; Assets'!H78</f>
        <v>1765512</v>
      </c>
      <c r="AB75" s="21">
        <f>'Working Capital &amp; Assets'!I78</f>
        <v>5133413</v>
      </c>
      <c r="AC75" s="21">
        <f>'Working Capital &amp; Assets'!J78</f>
        <v>4199262</v>
      </c>
      <c r="AD75" s="21">
        <f>MIN(AE75,SUMIFS($W$2:$W$181,$A$2:$A$181,"&gt;"&amp;A75,$A$2:$A$181,"&lt;="&amp;EDATE(A75,12))+IF(AND(DATE(2033,12,1)&gt;A75,DATE(2033,12,1)&lt;=EDATE(A75,12)),'Funding &amp; Cap'!$B$200,0))</f>
        <v>5000000</v>
      </c>
      <c r="AE75" s="22">
        <f>'Funding &amp; Cap'!Q134</f>
        <v>62000000</v>
      </c>
      <c r="AF75" s="22">
        <f t="shared" si="2"/>
        <v>65773731</v>
      </c>
      <c r="AG75" s="22">
        <f t="shared" si="3"/>
        <v>-5764045</v>
      </c>
      <c r="AH75" s="23">
        <f>'Revenue &amp; Demand'!P239</f>
        <v>0</v>
      </c>
      <c r="AI75" s="24">
        <f>'Revenue &amp; Demand'!Q239</f>
        <v>0</v>
      </c>
      <c r="AJ75" s="24">
        <f>'Manufacturing &amp; Production'!J279</f>
        <v>0</v>
      </c>
      <c r="AK75" s="105">
        <f t="shared" si="4"/>
        <v>45323</v>
      </c>
      <c r="AL75" s="107">
        <f t="shared" si="5"/>
        <v>597</v>
      </c>
      <c r="AM75" s="107" t="str">
        <f t="shared" si="6"/>
        <v/>
      </c>
    </row>
    <row r="76" ht="19.5" customHeight="1">
      <c r="A76" s="15">
        <v>45352.0</v>
      </c>
      <c r="B76" s="18">
        <f t="shared" si="1"/>
        <v>2024</v>
      </c>
      <c r="C76" s="19">
        <f>'Revenue &amp; Demand'!C240</f>
        <v>691</v>
      </c>
      <c r="D76" s="19">
        <f>'Revenue &amp; Demand'!F240</f>
        <v>27</v>
      </c>
      <c r="E76" s="21">
        <f>'Revenue &amp; Demand'!E240</f>
        <v>1105320</v>
      </c>
      <c r="F76" s="21">
        <f>'Revenue &amp; Demand'!H240</f>
        <v>1722233</v>
      </c>
      <c r="G76" s="21">
        <f>'Revenue &amp; Demand'!J240</f>
        <v>1286765</v>
      </c>
      <c r="H76" s="21">
        <f>'Manufacturing &amp; Production'!F280</f>
        <v>254223</v>
      </c>
      <c r="I76" s="21">
        <f>'Manufacturing &amp; Production'!G280</f>
        <v>88426</v>
      </c>
      <c r="J76" s="21">
        <f>'Workforce &amp; Expenses'!M332</f>
        <v>775005</v>
      </c>
      <c r="K76" s="21">
        <f>'Manufacturing &amp; Production'!K280</f>
        <v>102941</v>
      </c>
      <c r="L76" s="21">
        <f>'Clinical Trials &amp; R&amp;D'!F280</f>
        <v>2652238</v>
      </c>
      <c r="M76" s="21">
        <f>'Clinical Trials &amp; R&amp;D'!I280</f>
        <v>1136674</v>
      </c>
      <c r="N76" s="21">
        <f>'Workforce &amp; Expenses'!P332</f>
        <v>1071621</v>
      </c>
      <c r="O76" s="21">
        <f>'Workforce &amp; Expenses'!S332</f>
        <v>1606807</v>
      </c>
      <c r="P76" s="21">
        <f>'Funding &amp; Cap'!F135</f>
        <v>312684</v>
      </c>
      <c r="Q76" s="21">
        <f>'Working Capital &amp; Assets'!B79</f>
        <v>416667</v>
      </c>
      <c r="R76" s="21">
        <f>'Funding &amp; Cap'!H135</f>
        <v>433101</v>
      </c>
      <c r="S76" s="21">
        <f>'Working Capital &amp; Assets'!C79</f>
        <v>0</v>
      </c>
      <c r="T76" s="21">
        <f>'Working Capital &amp; Assets'!D79</f>
        <v>1906103</v>
      </c>
      <c r="U76" s="21">
        <f>'Funding &amp; Cap'!B135</f>
        <v>110000000</v>
      </c>
      <c r="V76" s="21">
        <f>'Funding &amp; Cap'!C135</f>
        <v>0</v>
      </c>
      <c r="W76" s="21">
        <f>'Funding &amp; Cap'!D135</f>
        <v>0</v>
      </c>
      <c r="X76" s="21">
        <f>'Working Capital &amp; Assets'!E79</f>
        <v>3547573</v>
      </c>
      <c r="Y76" s="21">
        <f>'Working Capital &amp; Assets'!F79</f>
        <v>694549</v>
      </c>
      <c r="Z76" s="21">
        <f>'Working Capital &amp; Assets'!G79</f>
        <v>1552920</v>
      </c>
      <c r="AA76" s="21">
        <f>'Working Capital &amp; Assets'!H79</f>
        <v>1955523</v>
      </c>
      <c r="AB76" s="21">
        <f>'Working Capital &amp; Assets'!I79</f>
        <v>5504340</v>
      </c>
      <c r="AC76" s="21">
        <f>'Working Capital &amp; Assets'!J79</f>
        <v>4396920</v>
      </c>
      <c r="AD76" s="21">
        <f>MIN(AE76,SUMIFS($W$2:$W$181,$A$2:$A$181,"&gt;"&amp;A76,$A$2:$A$181,"&lt;="&amp;EDATE(A76,12))+IF(AND(DATE(2033,12,1)&gt;A76,DATE(2033,12,1)&lt;=EDATE(A76,12)),'Funding &amp; Cap'!$B$200,0))</f>
        <v>5000000</v>
      </c>
      <c r="AE76" s="22">
        <f>'Funding &amp; Cap'!Q135</f>
        <v>62000000</v>
      </c>
      <c r="AF76" s="22">
        <f t="shared" si="2"/>
        <v>169817930</v>
      </c>
      <c r="AG76" s="22">
        <f t="shared" si="3"/>
        <v>-5955801</v>
      </c>
      <c r="AH76" s="23">
        <f>'Revenue &amp; Demand'!P240</f>
        <v>0</v>
      </c>
      <c r="AI76" s="24">
        <f>'Revenue &amp; Demand'!Q240</f>
        <v>0</v>
      </c>
      <c r="AJ76" s="24">
        <f>'Manufacturing &amp; Production'!J280</f>
        <v>0</v>
      </c>
      <c r="AK76" s="105">
        <f t="shared" si="4"/>
        <v>45352</v>
      </c>
      <c r="AL76" s="107">
        <f t="shared" si="5"/>
        <v>691</v>
      </c>
      <c r="AM76" s="107" t="str">
        <f t="shared" si="6"/>
        <v/>
      </c>
    </row>
    <row r="77" ht="19.5" customHeight="1">
      <c r="A77" s="15">
        <v>45383.0</v>
      </c>
      <c r="B77" s="18">
        <f t="shared" si="1"/>
        <v>2024</v>
      </c>
      <c r="C77" s="19">
        <f>'Revenue &amp; Demand'!C241</f>
        <v>790</v>
      </c>
      <c r="D77" s="19">
        <f>'Revenue &amp; Demand'!F241</f>
        <v>28</v>
      </c>
      <c r="E77" s="21">
        <f>'Revenue &amp; Demand'!E241</f>
        <v>1264495</v>
      </c>
      <c r="F77" s="21">
        <f>'Revenue &amp; Demand'!H241</f>
        <v>1689858</v>
      </c>
      <c r="G77" s="21">
        <f>'Revenue &amp; Demand'!J241</f>
        <v>205882</v>
      </c>
      <c r="H77" s="21">
        <f>'Manufacturing &amp; Production'!F281</f>
        <v>290833</v>
      </c>
      <c r="I77" s="21">
        <f>'Manufacturing &amp; Production'!G281</f>
        <v>101160</v>
      </c>
      <c r="J77" s="21">
        <f>'Workforce &amp; Expenses'!M333</f>
        <v>760436</v>
      </c>
      <c r="K77" s="21">
        <f>'Manufacturing &amp; Production'!K281</f>
        <v>16471</v>
      </c>
      <c r="L77" s="21">
        <f>'Clinical Trials &amp; R&amp;D'!F281</f>
        <v>2602381</v>
      </c>
      <c r="M77" s="21">
        <f>'Clinical Trials &amp; R&amp;D'!I281</f>
        <v>1115306</v>
      </c>
      <c r="N77" s="21">
        <f>'Workforce &amp; Expenses'!P333</f>
        <v>1179512</v>
      </c>
      <c r="O77" s="21">
        <f>'Workforce &amp; Expenses'!S333</f>
        <v>1609292</v>
      </c>
      <c r="P77" s="21">
        <f>'Funding &amp; Cap'!F136</f>
        <v>318584</v>
      </c>
      <c r="Q77" s="21">
        <f>'Working Capital &amp; Assets'!B80</f>
        <v>416667</v>
      </c>
      <c r="R77" s="21">
        <f>'Funding &amp; Cap'!H136</f>
        <v>433101</v>
      </c>
      <c r="S77" s="21">
        <f>'Working Capital &amp; Assets'!C80</f>
        <v>0</v>
      </c>
      <c r="T77" s="21">
        <f>'Working Capital &amp; Assets'!D80</f>
        <v>788732</v>
      </c>
      <c r="U77" s="21">
        <f>'Funding &amp; Cap'!B136</f>
        <v>0</v>
      </c>
      <c r="V77" s="21">
        <f>'Funding &amp; Cap'!C136</f>
        <v>0</v>
      </c>
      <c r="W77" s="21">
        <f>'Funding &amp; Cap'!D136</f>
        <v>0</v>
      </c>
      <c r="X77" s="21">
        <f>'Working Capital &amp; Assets'!E80</f>
        <v>3926172</v>
      </c>
      <c r="Y77" s="21">
        <f>'Working Capital &amp; Assets'!F80</f>
        <v>904266</v>
      </c>
      <c r="Z77" s="21">
        <f>'Working Capital &amp; Assets'!G80</f>
        <v>1705830</v>
      </c>
      <c r="AA77" s="21">
        <f>'Working Capital &amp; Assets'!H80</f>
        <v>2128530</v>
      </c>
      <c r="AB77" s="21">
        <f>'Working Capital &amp; Assets'!I80</f>
        <v>5834246</v>
      </c>
      <c r="AC77" s="21">
        <f>'Working Capital &amp; Assets'!J80</f>
        <v>4565929</v>
      </c>
      <c r="AD77" s="21">
        <f>MIN(AE77,SUMIFS($W$2:$W$181,$A$2:$A$181,"&gt;"&amp;A77,$A$2:$A$181,"&lt;="&amp;EDATE(A77,12))+IF(AND(DATE(2033,12,1)&gt;A77,DATE(2033,12,1)&lt;=EDATE(A77,12)),'Funding &amp; Cap'!$B$200,0))</f>
        <v>5000000</v>
      </c>
      <c r="AE77" s="22">
        <f>'Funding &amp; Cap'!Q136</f>
        <v>62000000</v>
      </c>
      <c r="AF77" s="22">
        <f t="shared" si="2"/>
        <v>164011637</v>
      </c>
      <c r="AG77" s="22">
        <f t="shared" si="3"/>
        <v>-5806293</v>
      </c>
      <c r="AH77" s="23">
        <f>'Revenue &amp; Demand'!P241</f>
        <v>0</v>
      </c>
      <c r="AI77" s="24">
        <f>'Revenue &amp; Demand'!Q241</f>
        <v>0</v>
      </c>
      <c r="AJ77" s="24">
        <f>'Manufacturing &amp; Production'!J281</f>
        <v>0</v>
      </c>
      <c r="AK77" s="105">
        <f t="shared" si="4"/>
        <v>45383</v>
      </c>
      <c r="AL77" s="107">
        <f t="shared" si="5"/>
        <v>790</v>
      </c>
      <c r="AM77" s="107" t="str">
        <f t="shared" si="6"/>
        <v/>
      </c>
    </row>
    <row r="78" ht="19.5" customHeight="1">
      <c r="A78" s="15">
        <v>45413.0</v>
      </c>
      <c r="B78" s="18">
        <f t="shared" si="1"/>
        <v>2024</v>
      </c>
      <c r="C78" s="19">
        <f>'Revenue &amp; Demand'!C242</f>
        <v>896</v>
      </c>
      <c r="D78" s="19">
        <f>'Revenue &amp; Demand'!F242</f>
        <v>29</v>
      </c>
      <c r="E78" s="21">
        <f>'Revenue &amp; Demand'!E242</f>
        <v>1433164</v>
      </c>
      <c r="F78" s="21">
        <f>'Revenue &amp; Demand'!H242</f>
        <v>1638837</v>
      </c>
      <c r="G78" s="21">
        <f>'Revenue &amp; Demand'!J242</f>
        <v>205882</v>
      </c>
      <c r="H78" s="21">
        <f>'Manufacturing &amp; Production'!F282</f>
        <v>329628</v>
      </c>
      <c r="I78" s="21">
        <f>'Manufacturing &amp; Production'!G282</f>
        <v>114653</v>
      </c>
      <c r="J78" s="21">
        <f>'Workforce &amp; Expenses'!M334</f>
        <v>737477</v>
      </c>
      <c r="K78" s="21">
        <f>'Manufacturing &amp; Production'!K282</f>
        <v>16471</v>
      </c>
      <c r="L78" s="21">
        <f>'Clinical Trials &amp; R&amp;D'!F282</f>
        <v>2523809</v>
      </c>
      <c r="M78" s="21">
        <f>'Clinical Trials &amp; R&amp;D'!I282</f>
        <v>1081633</v>
      </c>
      <c r="N78" s="21">
        <f>'Workforce &amp; Expenses'!P334</f>
        <v>1286002</v>
      </c>
      <c r="O78" s="21">
        <f>'Workforce &amp; Expenses'!S334</f>
        <v>1597720</v>
      </c>
      <c r="P78" s="21">
        <f>'Funding &amp; Cap'!F137</f>
        <v>324484</v>
      </c>
      <c r="Q78" s="21">
        <f>'Working Capital &amp; Assets'!B81</f>
        <v>416667</v>
      </c>
      <c r="R78" s="21">
        <f>'Funding &amp; Cap'!H137</f>
        <v>433101</v>
      </c>
      <c r="S78" s="21">
        <f>'Working Capital &amp; Assets'!C81</f>
        <v>0</v>
      </c>
      <c r="T78" s="21">
        <f>'Working Capital &amp; Assets'!D81</f>
        <v>798122</v>
      </c>
      <c r="U78" s="21">
        <f>'Funding &amp; Cap'!B137</f>
        <v>0</v>
      </c>
      <c r="V78" s="21">
        <f>'Funding &amp; Cap'!C137</f>
        <v>0</v>
      </c>
      <c r="W78" s="21">
        <f>'Funding &amp; Cap'!D137</f>
        <v>0</v>
      </c>
      <c r="X78" s="21">
        <f>'Working Capital &amp; Assets'!E81</f>
        <v>4275613</v>
      </c>
      <c r="Y78" s="21">
        <f>'Working Capital &amp; Assets'!F81</f>
        <v>1103158</v>
      </c>
      <c r="Z78" s="21">
        <f>'Working Capital &amp; Assets'!G81</f>
        <v>1846460</v>
      </c>
      <c r="AA78" s="21">
        <f>'Working Capital &amp; Assets'!H81</f>
        <v>2286811</v>
      </c>
      <c r="AB78" s="21">
        <f>'Working Capital &amp; Assets'!I81</f>
        <v>6128628</v>
      </c>
      <c r="AC78" s="21">
        <f>'Working Capital &amp; Assets'!J81</f>
        <v>4710127</v>
      </c>
      <c r="AD78" s="21">
        <f>MIN(AE78,SUMIFS($W$2:$W$181,$A$2:$A$181,"&gt;"&amp;A78,$A$2:$A$181,"&lt;="&amp;EDATE(A78,12))+IF(AND(DATE(2033,12,1)&gt;A78,DATE(2033,12,1)&lt;=EDATE(A78,12)),'Funding &amp; Cap'!$B$200,0))</f>
        <v>5000000</v>
      </c>
      <c r="AE78" s="22">
        <f>'Funding &amp; Cap'!Q137</f>
        <v>62000000</v>
      </c>
      <c r="AF78" s="22">
        <f t="shared" si="2"/>
        <v>158278802</v>
      </c>
      <c r="AG78" s="22">
        <f t="shared" si="3"/>
        <v>-5732835</v>
      </c>
      <c r="AH78" s="23">
        <f>'Revenue &amp; Demand'!P242</f>
        <v>0</v>
      </c>
      <c r="AI78" s="24">
        <f>'Revenue &amp; Demand'!Q242</f>
        <v>0</v>
      </c>
      <c r="AJ78" s="24">
        <f>'Manufacturing &amp; Production'!J282</f>
        <v>0</v>
      </c>
      <c r="AK78" s="105">
        <f t="shared" si="4"/>
        <v>45413</v>
      </c>
      <c r="AL78" s="107">
        <f t="shared" si="5"/>
        <v>896</v>
      </c>
      <c r="AM78" s="107" t="str">
        <f t="shared" si="6"/>
        <v/>
      </c>
    </row>
    <row r="79" ht="19.5" customHeight="1">
      <c r="A79" s="15">
        <v>45444.0</v>
      </c>
      <c r="B79" s="18">
        <f t="shared" si="1"/>
        <v>2024</v>
      </c>
      <c r="C79" s="19">
        <f>'Revenue &amp; Demand'!C243</f>
        <v>1007</v>
      </c>
      <c r="D79" s="19">
        <f>'Revenue &amp; Demand'!F243</f>
        <v>30</v>
      </c>
      <c r="E79" s="21">
        <f>'Revenue &amp; Demand'!E243</f>
        <v>1611310</v>
      </c>
      <c r="F79" s="21">
        <f>'Revenue &amp; Demand'!H243</f>
        <v>1587817</v>
      </c>
      <c r="G79" s="21">
        <f>'Revenue &amp; Demand'!J243</f>
        <v>1286765</v>
      </c>
      <c r="H79" s="21">
        <f>'Manufacturing &amp; Production'!F283</f>
        <v>370601</v>
      </c>
      <c r="I79" s="21">
        <f>'Manufacturing &amp; Production'!G283</f>
        <v>128905</v>
      </c>
      <c r="J79" s="21">
        <f>'Workforce &amp; Expenses'!M335</f>
        <v>714518</v>
      </c>
      <c r="K79" s="21">
        <f>'Manufacturing &amp; Production'!K283</f>
        <v>102941</v>
      </c>
      <c r="L79" s="21">
        <f>'Clinical Trials &amp; R&amp;D'!F283</f>
        <v>2445238</v>
      </c>
      <c r="M79" s="21">
        <f>'Clinical Trials &amp; R&amp;D'!I283</f>
        <v>1047959</v>
      </c>
      <c r="N79" s="21">
        <f>'Workforce &amp; Expenses'!P335</f>
        <v>1394689</v>
      </c>
      <c r="O79" s="21">
        <f>'Workforce &amp; Expenses'!S335</f>
        <v>1578033</v>
      </c>
      <c r="P79" s="21">
        <f>'Funding &amp; Cap'!F138</f>
        <v>330383</v>
      </c>
      <c r="Q79" s="21">
        <f>'Working Capital &amp; Assets'!B82</f>
        <v>416667</v>
      </c>
      <c r="R79" s="21">
        <f>'Funding &amp; Cap'!H138</f>
        <v>433101</v>
      </c>
      <c r="S79" s="21">
        <f>'Working Capital &amp; Assets'!C82</f>
        <v>0</v>
      </c>
      <c r="T79" s="21">
        <f>'Working Capital &amp; Assets'!D82</f>
        <v>807512</v>
      </c>
      <c r="U79" s="21">
        <f>'Funding &amp; Cap'!B138</f>
        <v>0</v>
      </c>
      <c r="V79" s="21">
        <f>'Funding &amp; Cap'!C138</f>
        <v>0</v>
      </c>
      <c r="W79" s="21">
        <f>'Funding &amp; Cap'!D138</f>
        <v>0</v>
      </c>
      <c r="X79" s="21">
        <f>'Working Capital &amp; Assets'!E82</f>
        <v>4608219</v>
      </c>
      <c r="Y79" s="21">
        <f>'Working Capital &amp; Assets'!F82</f>
        <v>1295800</v>
      </c>
      <c r="Z79" s="21">
        <f>'Working Capital &amp; Assets'!G82</f>
        <v>1980000</v>
      </c>
      <c r="AA79" s="21">
        <f>'Working Capital &amp; Assets'!H82</f>
        <v>2436589</v>
      </c>
      <c r="AB79" s="21">
        <f>'Working Capital &amp; Assets'!I82</f>
        <v>6402500</v>
      </c>
      <c r="AC79" s="21">
        <f>'Working Capital &amp; Assets'!J82</f>
        <v>4840000</v>
      </c>
      <c r="AD79" s="21">
        <f>MIN(AE79,SUMIFS($W$2:$W$181,$A$2:$A$181,"&gt;"&amp;A79,$A$2:$A$181,"&lt;="&amp;EDATE(A79,12))+IF(AND(DATE(2033,12,1)&gt;A79,DATE(2033,12,1)&lt;=EDATE(A79,12)),'Funding &amp; Cap'!$B$200,0))</f>
        <v>5000000</v>
      </c>
      <c r="AE79" s="22">
        <f>'Funding &amp; Cap'!Q138</f>
        <v>62000000</v>
      </c>
      <c r="AF79" s="22">
        <f t="shared" si="2"/>
        <v>153635932</v>
      </c>
      <c r="AG79" s="22">
        <f t="shared" si="3"/>
        <v>-4642870</v>
      </c>
      <c r="AH79" s="23">
        <f>'Revenue &amp; Demand'!P243</f>
        <v>0</v>
      </c>
      <c r="AI79" s="24">
        <f>'Revenue &amp; Demand'!Q243</f>
        <v>0</v>
      </c>
      <c r="AJ79" s="24">
        <f>'Manufacturing &amp; Production'!J283</f>
        <v>0</v>
      </c>
      <c r="AK79" s="105">
        <f t="shared" si="4"/>
        <v>45444</v>
      </c>
      <c r="AL79" s="107">
        <f t="shared" si="5"/>
        <v>1007</v>
      </c>
      <c r="AM79" s="107" t="str">
        <f t="shared" si="6"/>
        <v/>
      </c>
    </row>
    <row r="80" ht="19.5" customHeight="1">
      <c r="A80" s="15">
        <v>45474.0</v>
      </c>
      <c r="B80" s="18">
        <f t="shared" si="1"/>
        <v>2024</v>
      </c>
      <c r="C80" s="19">
        <f>'Revenue &amp; Demand'!C244</f>
        <v>1124</v>
      </c>
      <c r="D80" s="19">
        <f>'Revenue &amp; Demand'!F244</f>
        <v>31</v>
      </c>
      <c r="E80" s="21">
        <f>'Revenue &amp; Demand'!E244</f>
        <v>1798951</v>
      </c>
      <c r="F80" s="21">
        <f>'Revenue &amp; Demand'!H244</f>
        <v>1555442</v>
      </c>
      <c r="G80" s="21">
        <f>'Revenue &amp; Demand'!J244</f>
        <v>205882</v>
      </c>
      <c r="H80" s="21">
        <f>'Manufacturing &amp; Production'!F284</f>
        <v>413759</v>
      </c>
      <c r="I80" s="21">
        <f>'Manufacturing &amp; Production'!G284</f>
        <v>143916</v>
      </c>
      <c r="J80" s="21">
        <f>'Workforce &amp; Expenses'!M336</f>
        <v>699949</v>
      </c>
      <c r="K80" s="21">
        <f>'Manufacturing &amp; Production'!K284</f>
        <v>16471</v>
      </c>
      <c r="L80" s="21">
        <f>'Clinical Trials &amp; R&amp;D'!F284</f>
        <v>2395381</v>
      </c>
      <c r="M80" s="21">
        <f>'Clinical Trials &amp; R&amp;D'!I284</f>
        <v>1026592</v>
      </c>
      <c r="N80" s="21">
        <f>'Workforce &amp; Expenses'!P336</f>
        <v>1509177</v>
      </c>
      <c r="O80" s="21">
        <f>'Workforce &amp; Expenses'!S336</f>
        <v>1558345</v>
      </c>
      <c r="P80" s="21">
        <f>'Funding &amp; Cap'!F139</f>
        <v>336283</v>
      </c>
      <c r="Q80" s="21">
        <f>'Working Capital &amp; Assets'!B83</f>
        <v>416667</v>
      </c>
      <c r="R80" s="21">
        <f>'Funding &amp; Cap'!H139</f>
        <v>433101</v>
      </c>
      <c r="S80" s="21">
        <f>'Working Capital &amp; Assets'!C83</f>
        <v>0</v>
      </c>
      <c r="T80" s="21">
        <f>'Working Capital &amp; Assets'!D83</f>
        <v>816901</v>
      </c>
      <c r="U80" s="21">
        <f>'Funding &amp; Cap'!B139</f>
        <v>0</v>
      </c>
      <c r="V80" s="21">
        <f>'Funding &amp; Cap'!C139</f>
        <v>0</v>
      </c>
      <c r="W80" s="21">
        <f>'Funding &amp; Cap'!D139</f>
        <v>0</v>
      </c>
      <c r="X80" s="21">
        <f>'Working Capital &amp; Assets'!E83</f>
        <v>4940826</v>
      </c>
      <c r="Y80" s="21">
        <f>'Working Capital &amp; Assets'!F83</f>
        <v>1488442</v>
      </c>
      <c r="Z80" s="21">
        <f>'Working Capital &amp; Assets'!G83</f>
        <v>2113540</v>
      </c>
      <c r="AA80" s="21">
        <f>'Working Capital &amp; Assets'!H83</f>
        <v>2586367</v>
      </c>
      <c r="AB80" s="21">
        <f>'Working Capital &amp; Assets'!I83</f>
        <v>6676372</v>
      </c>
      <c r="AC80" s="21">
        <f>'Working Capital &amp; Assets'!J83</f>
        <v>4969873</v>
      </c>
      <c r="AD80" s="21">
        <f>MIN(AE80,SUMIFS($W$2:$W$181,$A$2:$A$181,"&gt;"&amp;A80,$A$2:$A$181,"&lt;="&amp;EDATE(A80,12))+IF(AND(DATE(2033,12,1)&gt;A80,DATE(2033,12,1)&lt;=EDATE(A80,12)),'Funding &amp; Cap'!$B$200,0))</f>
        <v>5000000</v>
      </c>
      <c r="AE80" s="22">
        <f>'Funding &amp; Cap'!Q139</f>
        <v>62000000</v>
      </c>
      <c r="AF80" s="22">
        <f t="shared" si="2"/>
        <v>148077349</v>
      </c>
      <c r="AG80" s="22">
        <f t="shared" si="3"/>
        <v>-5558583</v>
      </c>
      <c r="AH80" s="23">
        <f>'Revenue &amp; Demand'!P244</f>
        <v>0</v>
      </c>
      <c r="AI80" s="24">
        <f>'Revenue &amp; Demand'!Q244</f>
        <v>0</v>
      </c>
      <c r="AJ80" s="24">
        <f>'Manufacturing &amp; Production'!J284</f>
        <v>0</v>
      </c>
      <c r="AK80" s="105">
        <f t="shared" si="4"/>
        <v>45474</v>
      </c>
      <c r="AL80" s="107">
        <f t="shared" si="5"/>
        <v>1124</v>
      </c>
      <c r="AM80" s="107" t="str">
        <f t="shared" si="6"/>
        <v/>
      </c>
    </row>
    <row r="81" ht="19.5" customHeight="1">
      <c r="A81" s="15">
        <v>45505.0</v>
      </c>
      <c r="B81" s="18">
        <f t="shared" si="1"/>
        <v>2024</v>
      </c>
      <c r="C81" s="19">
        <f>'Revenue &amp; Demand'!C245</f>
        <v>1248</v>
      </c>
      <c r="D81" s="19">
        <f>'Revenue &amp; Demand'!F245</f>
        <v>32</v>
      </c>
      <c r="E81" s="21">
        <f>'Revenue &amp; Demand'!E245</f>
        <v>1996106</v>
      </c>
      <c r="F81" s="21">
        <f>'Revenue &amp; Demand'!H245</f>
        <v>1555349</v>
      </c>
      <c r="G81" s="21">
        <f>'Revenue &amp; Demand'!J245</f>
        <v>205882</v>
      </c>
      <c r="H81" s="21">
        <f>'Manufacturing &amp; Production'!F285</f>
        <v>459105</v>
      </c>
      <c r="I81" s="21">
        <f>'Manufacturing &amp; Production'!G285</f>
        <v>159688</v>
      </c>
      <c r="J81" s="21">
        <f>'Workforce &amp; Expenses'!M337</f>
        <v>699907</v>
      </c>
      <c r="K81" s="21">
        <f>'Manufacturing &amp; Production'!K285</f>
        <v>16471</v>
      </c>
      <c r="L81" s="21">
        <f>'Clinical Trials &amp; R&amp;D'!F285</f>
        <v>2395238</v>
      </c>
      <c r="M81" s="21">
        <f>'Clinical Trials &amp; R&amp;D'!I285</f>
        <v>1026531</v>
      </c>
      <c r="N81" s="21">
        <f>'Workforce &amp; Expenses'!P337</f>
        <v>1632105</v>
      </c>
      <c r="O81" s="21">
        <f>'Workforce &amp; Expenses'!S337</f>
        <v>1546774</v>
      </c>
      <c r="P81" s="21">
        <f>'Funding &amp; Cap'!F140</f>
        <v>342183</v>
      </c>
      <c r="Q81" s="21">
        <f>'Working Capital &amp; Assets'!B84</f>
        <v>416667</v>
      </c>
      <c r="R81" s="21">
        <f>'Funding &amp; Cap'!H140</f>
        <v>433101</v>
      </c>
      <c r="S81" s="21">
        <f>'Working Capital &amp; Assets'!C84</f>
        <v>0</v>
      </c>
      <c r="T81" s="21">
        <f>'Working Capital &amp; Assets'!D84</f>
        <v>826291</v>
      </c>
      <c r="U81" s="21">
        <f>'Funding &amp; Cap'!B140</f>
        <v>0</v>
      </c>
      <c r="V81" s="21">
        <f>'Funding &amp; Cap'!C140</f>
        <v>0</v>
      </c>
      <c r="W81" s="21">
        <f>'Funding &amp; Cap'!D140</f>
        <v>0</v>
      </c>
      <c r="X81" s="21">
        <f>'Working Capital &amp; Assets'!E84</f>
        <v>5290267</v>
      </c>
      <c r="Y81" s="21">
        <f>'Working Capital &amp; Assets'!F84</f>
        <v>1687334</v>
      </c>
      <c r="Z81" s="21">
        <f>'Working Capital &amp; Assets'!G84</f>
        <v>2254170</v>
      </c>
      <c r="AA81" s="21">
        <f>'Working Capital &amp; Assets'!H84</f>
        <v>2744648</v>
      </c>
      <c r="AB81" s="21">
        <f>'Working Capital &amp; Assets'!I84</f>
        <v>6970754</v>
      </c>
      <c r="AC81" s="21">
        <f>'Working Capital &amp; Assets'!J84</f>
        <v>5114071</v>
      </c>
      <c r="AD81" s="21">
        <f>MIN(AE81,SUMIFS($W$2:$W$181,$A$2:$A$181,"&gt;"&amp;A81,$A$2:$A$181,"&lt;="&amp;EDATE(A81,12))+IF(AND(DATE(2033,12,1)&gt;A81,DATE(2033,12,1)&lt;=EDATE(A81,12)),'Funding &amp; Cap'!$B$200,0))</f>
        <v>5000000</v>
      </c>
      <c r="AE81" s="22">
        <f>'Funding &amp; Cap'!Q140</f>
        <v>62000000</v>
      </c>
      <c r="AF81" s="22">
        <f t="shared" si="2"/>
        <v>142547373</v>
      </c>
      <c r="AG81" s="22">
        <f t="shared" si="3"/>
        <v>-5529976</v>
      </c>
      <c r="AH81" s="23">
        <f>'Revenue &amp; Demand'!P245</f>
        <v>0</v>
      </c>
      <c r="AI81" s="24">
        <f>'Revenue &amp; Demand'!Q245</f>
        <v>0</v>
      </c>
      <c r="AJ81" s="24">
        <f>'Manufacturing &amp; Production'!J285</f>
        <v>0</v>
      </c>
      <c r="AK81" s="105">
        <f t="shared" si="4"/>
        <v>45505</v>
      </c>
      <c r="AL81" s="107">
        <f t="shared" si="5"/>
        <v>1248</v>
      </c>
      <c r="AM81" s="107" t="str">
        <f t="shared" si="6"/>
        <v/>
      </c>
    </row>
    <row r="82" ht="19.5" customHeight="1">
      <c r="A82" s="15">
        <v>45536.0</v>
      </c>
      <c r="B82" s="18">
        <f t="shared" si="1"/>
        <v>2024</v>
      </c>
      <c r="C82" s="19">
        <f>'Revenue &amp; Demand'!C246</f>
        <v>1377</v>
      </c>
      <c r="D82" s="19">
        <f>'Revenue &amp; Demand'!F246</f>
        <v>33</v>
      </c>
      <c r="E82" s="21">
        <f>'Revenue &amp; Demand'!E246</f>
        <v>2202756</v>
      </c>
      <c r="F82" s="21">
        <f>'Revenue &amp; Demand'!H246</f>
        <v>1592548</v>
      </c>
      <c r="G82" s="21">
        <f>'Revenue &amp; Demand'!J246</f>
        <v>1286765</v>
      </c>
      <c r="H82" s="21">
        <f>'Manufacturing &amp; Production'!F286</f>
        <v>506635</v>
      </c>
      <c r="I82" s="21">
        <f>'Manufacturing &amp; Production'!G286</f>
        <v>176220</v>
      </c>
      <c r="J82" s="21">
        <f>'Workforce &amp; Expenses'!M338</f>
        <v>716647</v>
      </c>
      <c r="K82" s="21">
        <f>'Manufacturing &amp; Production'!K286</f>
        <v>102941</v>
      </c>
      <c r="L82" s="21">
        <f>'Clinical Trials &amp; R&amp;D'!F286</f>
        <v>2452524</v>
      </c>
      <c r="M82" s="21">
        <f>'Clinical Trials &amp; R&amp;D'!I286</f>
        <v>1051081</v>
      </c>
      <c r="N82" s="21">
        <f>'Workforce &amp; Expenses'!P338</f>
        <v>1764436</v>
      </c>
      <c r="O82" s="21">
        <f>'Workforce &amp; Expenses'!S338</f>
        <v>1549259</v>
      </c>
      <c r="P82" s="21">
        <f>'Funding &amp; Cap'!F141</f>
        <v>348083</v>
      </c>
      <c r="Q82" s="21">
        <f>'Working Capital &amp; Assets'!B85</f>
        <v>416667</v>
      </c>
      <c r="R82" s="21">
        <f>'Funding &amp; Cap'!H141</f>
        <v>398173</v>
      </c>
      <c r="S82" s="21">
        <f>'Working Capital &amp; Assets'!C85</f>
        <v>0</v>
      </c>
      <c r="T82" s="21">
        <f>'Working Capital &amp; Assets'!D85</f>
        <v>1962441</v>
      </c>
      <c r="U82" s="21">
        <f>'Funding &amp; Cap'!B141</f>
        <v>0</v>
      </c>
      <c r="V82" s="21">
        <f>'Funding &amp; Cap'!C141</f>
        <v>0</v>
      </c>
      <c r="W82" s="21">
        <f>'Funding &amp; Cap'!D141</f>
        <v>5000000</v>
      </c>
      <c r="X82" s="21">
        <f>'Working Capital &amp; Assets'!E85</f>
        <v>5668866</v>
      </c>
      <c r="Y82" s="21">
        <f>'Working Capital &amp; Assets'!F85</f>
        <v>1897051</v>
      </c>
      <c r="Z82" s="21">
        <f>'Working Capital &amp; Assets'!G85</f>
        <v>2407080</v>
      </c>
      <c r="AA82" s="21">
        <f>'Working Capital &amp; Assets'!H85</f>
        <v>2917655</v>
      </c>
      <c r="AB82" s="21">
        <f>'Working Capital &amp; Assets'!I85</f>
        <v>7300660</v>
      </c>
      <c r="AC82" s="21">
        <f>'Working Capital &amp; Assets'!J85</f>
        <v>5283080</v>
      </c>
      <c r="AD82" s="21">
        <f>MIN(AE82,SUMIFS($W$2:$W$181,$A$2:$A$181,"&gt;"&amp;A82,$A$2:$A$181,"&lt;="&amp;EDATE(A82,12))+IF(AND(DATE(2033,12,1)&gt;A82,DATE(2033,12,1)&lt;=EDATE(A82,12)),'Funding &amp; Cap'!$B$200,0))</f>
        <v>0</v>
      </c>
      <c r="AE82" s="22">
        <f>'Funding &amp; Cap'!Q141</f>
        <v>57000000</v>
      </c>
      <c r="AF82" s="22">
        <f t="shared" si="2"/>
        <v>131879781</v>
      </c>
      <c r="AG82" s="22">
        <f t="shared" si="3"/>
        <v>-10667592</v>
      </c>
      <c r="AH82" s="23">
        <f>'Revenue &amp; Demand'!P246</f>
        <v>0</v>
      </c>
      <c r="AI82" s="24">
        <f>'Revenue &amp; Demand'!Q246</f>
        <v>0</v>
      </c>
      <c r="AJ82" s="24">
        <f>'Manufacturing &amp; Production'!J286</f>
        <v>0</v>
      </c>
      <c r="AK82" s="105">
        <f t="shared" si="4"/>
        <v>45536</v>
      </c>
      <c r="AL82" s="107">
        <f t="shared" si="5"/>
        <v>1377</v>
      </c>
      <c r="AM82" s="107" t="str">
        <f t="shared" si="6"/>
        <v/>
      </c>
    </row>
    <row r="83" ht="19.5" customHeight="1">
      <c r="A83" s="15">
        <v>45566.0</v>
      </c>
      <c r="B83" s="18">
        <f t="shared" si="1"/>
        <v>2024</v>
      </c>
      <c r="C83" s="19">
        <f>'Revenue &amp; Demand'!C247</f>
        <v>1678</v>
      </c>
      <c r="D83" s="19">
        <f>'Revenue &amp; Demand'!F247</f>
        <v>34</v>
      </c>
      <c r="E83" s="21">
        <f>'Revenue &amp; Demand'!E247</f>
        <v>2684960</v>
      </c>
      <c r="F83" s="21">
        <f>'Revenue &amp; Demand'!H247</f>
        <v>1662028</v>
      </c>
      <c r="G83" s="21">
        <f>'Revenue &amp; Demand'!J247</f>
        <v>205882</v>
      </c>
      <c r="H83" s="21">
        <f>'Manufacturing &amp; Production'!F287</f>
        <v>617541</v>
      </c>
      <c r="I83" s="21">
        <f>'Manufacturing &amp; Production'!G287</f>
        <v>214797</v>
      </c>
      <c r="J83" s="21">
        <f>'Workforce &amp; Expenses'!M339</f>
        <v>747913</v>
      </c>
      <c r="K83" s="21">
        <f>'Manufacturing &amp; Production'!K287</f>
        <v>16471</v>
      </c>
      <c r="L83" s="21">
        <f>'Clinical Trials &amp; R&amp;D'!F287</f>
        <v>2559524</v>
      </c>
      <c r="M83" s="21">
        <f>'Clinical Trials &amp; R&amp;D'!I287</f>
        <v>1096939</v>
      </c>
      <c r="N83" s="21">
        <f>'Workforce &amp; Expenses'!P339</f>
        <v>1966863</v>
      </c>
      <c r="O83" s="21">
        <f>'Workforce &amp; Expenses'!S339</f>
        <v>1567976</v>
      </c>
      <c r="P83" s="21">
        <f>'Funding &amp; Cap'!F142</f>
        <v>353982</v>
      </c>
      <c r="Q83" s="21">
        <f>'Working Capital &amp; Assets'!B86</f>
        <v>416667</v>
      </c>
      <c r="R83" s="21">
        <f>'Funding &amp; Cap'!H142</f>
        <v>398173</v>
      </c>
      <c r="S83" s="21">
        <f>'Working Capital &amp; Assets'!C86</f>
        <v>0</v>
      </c>
      <c r="T83" s="21">
        <f>'Working Capital &amp; Assets'!D86</f>
        <v>845070</v>
      </c>
      <c r="U83" s="21">
        <f>'Funding &amp; Cap'!B142</f>
        <v>0</v>
      </c>
      <c r="V83" s="21">
        <f>'Funding &amp; Cap'!C142</f>
        <v>0</v>
      </c>
      <c r="W83" s="21">
        <f>'Funding &amp; Cap'!D142</f>
        <v>0</v>
      </c>
      <c r="X83" s="21">
        <f>'Working Capital &amp; Assets'!E86</f>
        <v>6081134</v>
      </c>
      <c r="Y83" s="21">
        <f>'Working Capital &amp; Assets'!F86</f>
        <v>2119268</v>
      </c>
      <c r="Z83" s="21">
        <f>'Working Capital &amp; Assets'!G86</f>
        <v>2574170</v>
      </c>
      <c r="AA83" s="21">
        <f>'Working Capital &amp; Assets'!H86</f>
        <v>3107666</v>
      </c>
      <c r="AB83" s="21">
        <f>'Working Capital &amp; Assets'!I86</f>
        <v>7671587</v>
      </c>
      <c r="AC83" s="21">
        <f>'Working Capital &amp; Assets'!J86</f>
        <v>5480738</v>
      </c>
      <c r="AD83" s="21">
        <f>MIN(AE83,SUMIFS($W$2:$W$181,$A$2:$A$181,"&gt;"&amp;A83,$A$2:$A$181,"&lt;="&amp;EDATE(A83,12))+IF(AND(DATE(2033,12,1)&gt;A83,DATE(2033,12,1)&lt;=EDATE(A83,12)),'Funding &amp; Cap'!$B$200,0))</f>
        <v>0</v>
      </c>
      <c r="AE83" s="22">
        <f>'Funding &amp; Cap'!Q142</f>
        <v>57000000</v>
      </c>
      <c r="AF83" s="22">
        <f t="shared" si="2"/>
        <v>126358405</v>
      </c>
      <c r="AG83" s="22">
        <f t="shared" si="3"/>
        <v>-5521376</v>
      </c>
      <c r="AH83" s="23">
        <f>'Revenue &amp; Demand'!P247</f>
        <v>0</v>
      </c>
      <c r="AI83" s="24">
        <f>'Revenue &amp; Demand'!Q247</f>
        <v>0</v>
      </c>
      <c r="AJ83" s="24">
        <f>'Manufacturing &amp; Production'!J287</f>
        <v>0</v>
      </c>
      <c r="AK83" s="105">
        <f t="shared" si="4"/>
        <v>45566</v>
      </c>
      <c r="AL83" s="107">
        <f t="shared" si="5"/>
        <v>1678</v>
      </c>
      <c r="AM83" s="107" t="str">
        <f t="shared" si="6"/>
        <v/>
      </c>
    </row>
    <row r="84" ht="19.5" customHeight="1">
      <c r="A84" s="15">
        <v>45597.0</v>
      </c>
      <c r="B84" s="18">
        <f t="shared" si="1"/>
        <v>2024</v>
      </c>
      <c r="C84" s="19">
        <f>'Revenue &amp; Demand'!C248</f>
        <v>1835</v>
      </c>
      <c r="D84" s="19">
        <f>'Revenue &amp; Demand'!F248</f>
        <v>35</v>
      </c>
      <c r="E84" s="21">
        <f>'Revenue &amp; Demand'!E248</f>
        <v>2935404</v>
      </c>
      <c r="F84" s="21">
        <f>'Revenue &amp; Demand'!H248</f>
        <v>1750155</v>
      </c>
      <c r="G84" s="21">
        <f>'Revenue &amp; Demand'!J248</f>
        <v>205882</v>
      </c>
      <c r="H84" s="21">
        <f>'Manufacturing &amp; Production'!F288</f>
        <v>675143</v>
      </c>
      <c r="I84" s="21">
        <f>'Manufacturing &amp; Production'!G288</f>
        <v>234832</v>
      </c>
      <c r="J84" s="21">
        <f>'Workforce &amp; Expenses'!M340</f>
        <v>787570</v>
      </c>
      <c r="K84" s="21">
        <f>'Manufacturing &amp; Production'!K288</f>
        <v>16471</v>
      </c>
      <c r="L84" s="21">
        <f>'Clinical Trials &amp; R&amp;D'!F288</f>
        <v>2695238</v>
      </c>
      <c r="M84" s="21">
        <f>'Clinical Trials &amp; R&amp;D'!I288</f>
        <v>1155102</v>
      </c>
      <c r="N84" s="21">
        <f>'Workforce &amp; Expenses'!P340</f>
        <v>2119179</v>
      </c>
      <c r="O84" s="21">
        <f>'Workforce &amp; Expenses'!S340</f>
        <v>1600749</v>
      </c>
      <c r="P84" s="21">
        <f>'Funding &amp; Cap'!F143</f>
        <v>359882</v>
      </c>
      <c r="Q84" s="21">
        <f>'Working Capital &amp; Assets'!B87</f>
        <v>416667</v>
      </c>
      <c r="R84" s="21">
        <f>'Funding &amp; Cap'!H143</f>
        <v>398173</v>
      </c>
      <c r="S84" s="21">
        <f>'Working Capital &amp; Assets'!C87</f>
        <v>0</v>
      </c>
      <c r="T84" s="21">
        <f>'Working Capital &amp; Assets'!D87</f>
        <v>854460</v>
      </c>
      <c r="U84" s="21">
        <f>'Funding &amp; Cap'!B143</f>
        <v>0</v>
      </c>
      <c r="V84" s="21">
        <f>'Funding &amp; Cap'!C143</f>
        <v>0</v>
      </c>
      <c r="W84" s="21">
        <f>'Funding &amp; Cap'!D143</f>
        <v>0</v>
      </c>
      <c r="X84" s="21">
        <f>'Working Capital &amp; Assets'!E87</f>
        <v>6522561</v>
      </c>
      <c r="Y84" s="21">
        <f>'Working Capital &amp; Assets'!F87</f>
        <v>2352309</v>
      </c>
      <c r="Z84" s="21">
        <f>'Working Capital &amp; Assets'!G87</f>
        <v>2753540</v>
      </c>
      <c r="AA84" s="21">
        <f>'Working Capital &amp; Assets'!H87</f>
        <v>3312404</v>
      </c>
      <c r="AB84" s="21">
        <f>'Working Capital &amp; Assets'!I87</f>
        <v>8078038</v>
      </c>
      <c r="AC84" s="21">
        <f>'Working Capital &amp; Assets'!J87</f>
        <v>5703207</v>
      </c>
      <c r="AD84" s="21">
        <f>MIN(AE84,SUMIFS($W$2:$W$181,$A$2:$A$181,"&gt;"&amp;A84,$A$2:$A$181,"&lt;="&amp;EDATE(A84,12))+IF(AND(DATE(2033,12,1)&gt;A84,DATE(2033,12,1)&lt;=EDATE(A84,12)),'Funding &amp; Cap'!$B$200,0))</f>
        <v>0</v>
      </c>
      <c r="AE84" s="22">
        <f>'Funding &amp; Cap'!Q143</f>
        <v>57000000</v>
      </c>
      <c r="AF84" s="22">
        <f t="shared" si="2"/>
        <v>120692749</v>
      </c>
      <c r="AG84" s="22">
        <f t="shared" si="3"/>
        <v>-5665656</v>
      </c>
      <c r="AH84" s="23">
        <f>'Revenue &amp; Demand'!P248</f>
        <v>0</v>
      </c>
      <c r="AI84" s="24">
        <f>'Revenue &amp; Demand'!Q248</f>
        <v>0</v>
      </c>
      <c r="AJ84" s="24">
        <f>'Manufacturing &amp; Production'!J288</f>
        <v>0</v>
      </c>
      <c r="AK84" s="105">
        <f t="shared" si="4"/>
        <v>45597</v>
      </c>
      <c r="AL84" s="107">
        <f t="shared" si="5"/>
        <v>1835</v>
      </c>
      <c r="AM84" s="107" t="str">
        <f t="shared" si="6"/>
        <v/>
      </c>
    </row>
    <row r="85" ht="19.5" customHeight="1">
      <c r="A85" s="15">
        <v>45627.0</v>
      </c>
      <c r="B85" s="18">
        <f t="shared" si="1"/>
        <v>2024</v>
      </c>
      <c r="C85" s="19">
        <f>'Revenue &amp; Demand'!C249</f>
        <v>1998</v>
      </c>
      <c r="D85" s="19">
        <f>'Revenue &amp; Demand'!F249</f>
        <v>36</v>
      </c>
      <c r="E85" s="21">
        <f>'Revenue &amp; Demand'!E249</f>
        <v>3196398</v>
      </c>
      <c r="F85" s="21">
        <f>'Revenue &amp; Demand'!H249</f>
        <v>1838281</v>
      </c>
      <c r="G85" s="21">
        <f>'Revenue &amp; Demand'!J249</f>
        <v>1492649</v>
      </c>
      <c r="H85" s="21">
        <f>'Manufacturing &amp; Production'!F289</f>
        <v>735170</v>
      </c>
      <c r="I85" s="21">
        <f>'Manufacturing &amp; Production'!G289</f>
        <v>255712</v>
      </c>
      <c r="J85" s="21">
        <f>'Workforce &amp; Expenses'!M341</f>
        <v>827225</v>
      </c>
      <c r="K85" s="21">
        <f>'Manufacturing &amp; Production'!K289</f>
        <v>119409</v>
      </c>
      <c r="L85" s="21">
        <f>'Clinical Trials &amp; R&amp;D'!F289</f>
        <v>2830952</v>
      </c>
      <c r="M85" s="21">
        <f>'Clinical Trials &amp; R&amp;D'!I289</f>
        <v>1213265</v>
      </c>
      <c r="N85" s="21">
        <f>'Workforce &amp; Expenses'!P341</f>
        <v>2273941</v>
      </c>
      <c r="O85" s="21">
        <f>'Workforce &amp; Expenses'!S341</f>
        <v>1641639</v>
      </c>
      <c r="P85" s="21">
        <f>'Funding &amp; Cap'!F144</f>
        <v>365782</v>
      </c>
      <c r="Q85" s="21">
        <f>'Working Capital &amp; Assets'!B88</f>
        <v>416663</v>
      </c>
      <c r="R85" s="21">
        <f>'Funding &amp; Cap'!H144</f>
        <v>398173</v>
      </c>
      <c r="S85" s="21">
        <f>'Working Capital &amp; Assets'!C88</f>
        <v>0</v>
      </c>
      <c r="T85" s="21">
        <f>'Working Capital &amp; Assets'!D88</f>
        <v>863852</v>
      </c>
      <c r="U85" s="21">
        <f>'Funding &amp; Cap'!B144</f>
        <v>0</v>
      </c>
      <c r="V85" s="21">
        <f>'Funding &amp; Cap'!C144</f>
        <v>0</v>
      </c>
      <c r="W85" s="21">
        <f>'Funding &amp; Cap'!D144</f>
        <v>0</v>
      </c>
      <c r="X85" s="21">
        <f>'Working Capital &amp; Assets'!E88</f>
        <v>6980822</v>
      </c>
      <c r="Y85" s="21">
        <f>'Working Capital &amp; Assets'!F88</f>
        <v>2591600</v>
      </c>
      <c r="Z85" s="21">
        <f>'Working Capital &amp; Assets'!G88</f>
        <v>2940000</v>
      </c>
      <c r="AA85" s="21">
        <f>'Working Capital &amp; Assets'!H88</f>
        <v>3525644</v>
      </c>
      <c r="AB85" s="21">
        <f>'Working Capital &amp; Assets'!I88</f>
        <v>8505000</v>
      </c>
      <c r="AC85" s="21">
        <f>'Working Capital &amp; Assets'!J88</f>
        <v>5940000</v>
      </c>
      <c r="AD85" s="21">
        <f>MIN(AE85,SUMIFS($W$2:$W$181,$A$2:$A$181,"&gt;"&amp;A85,$A$2:$A$181,"&lt;="&amp;EDATE(A85,12))+IF(AND(DATE(2033,12,1)&gt;A85,DATE(2033,12,1)&lt;=EDATE(A85,12)),'Funding &amp; Cap'!$B$200,0))</f>
        <v>0</v>
      </c>
      <c r="AE85" s="22">
        <f>'Funding &amp; Cap'!Q144</f>
        <v>57000000</v>
      </c>
      <c r="AF85" s="22">
        <f t="shared" si="2"/>
        <v>116053722</v>
      </c>
      <c r="AG85" s="22">
        <f t="shared" si="3"/>
        <v>-4639027</v>
      </c>
      <c r="AH85" s="23">
        <f>'Revenue &amp; Demand'!P249</f>
        <v>0</v>
      </c>
      <c r="AI85" s="24">
        <f>'Revenue &amp; Demand'!Q249</f>
        <v>0</v>
      </c>
      <c r="AJ85" s="24">
        <f>'Manufacturing &amp; Production'!J289</f>
        <v>0</v>
      </c>
      <c r="AK85" s="105">
        <f t="shared" si="4"/>
        <v>45627</v>
      </c>
      <c r="AL85" s="107">
        <f t="shared" si="5"/>
        <v>1998</v>
      </c>
      <c r="AM85" s="107" t="str">
        <f t="shared" si="6"/>
        <v/>
      </c>
    </row>
    <row r="86" ht="19.5" customHeight="1">
      <c r="A86" s="15">
        <v>45658.0</v>
      </c>
      <c r="B86" s="18">
        <f t="shared" si="1"/>
        <v>2025</v>
      </c>
      <c r="C86" s="19">
        <f>'Revenue &amp; Demand'!C250</f>
        <v>2740</v>
      </c>
      <c r="D86" s="19">
        <f>'Revenue &amp; Demand'!F250</f>
        <v>38</v>
      </c>
      <c r="E86" s="21">
        <f>'Revenue &amp; Demand'!E250</f>
        <v>4110189</v>
      </c>
      <c r="F86" s="21">
        <f>'Revenue &amp; Demand'!H250</f>
        <v>1853639</v>
      </c>
      <c r="G86" s="21">
        <f>'Revenue &amp; Demand'!J250</f>
        <v>205882</v>
      </c>
      <c r="H86" s="21">
        <f>'Manufacturing &amp; Production'!F290</f>
        <v>904242</v>
      </c>
      <c r="I86" s="21">
        <f>'Manufacturing &amp; Production'!G290</f>
        <v>328815</v>
      </c>
      <c r="J86" s="21">
        <f>'Workforce &amp; Expenses'!M342</f>
        <v>797065</v>
      </c>
      <c r="K86" s="21">
        <f>'Manufacturing &amp; Production'!K290</f>
        <v>16471</v>
      </c>
      <c r="L86" s="21">
        <f>'Clinical Trials &amp; R&amp;D'!F290</f>
        <v>3774684</v>
      </c>
      <c r="M86" s="21">
        <f>'Clinical Trials &amp; R&amp;D'!I290</f>
        <v>2123260</v>
      </c>
      <c r="N86" s="21">
        <f>'Workforce &amp; Expenses'!P342</f>
        <v>2081003</v>
      </c>
      <c r="O86" s="21">
        <f>'Workforce &amp; Expenses'!S342</f>
        <v>2292045</v>
      </c>
      <c r="P86" s="21">
        <f>'Funding &amp; Cap'!F145</f>
        <v>526549</v>
      </c>
      <c r="Q86" s="21">
        <f>'Working Capital &amp; Assets'!B89</f>
        <v>583333</v>
      </c>
      <c r="R86" s="21">
        <f>'Funding &amp; Cap'!H145</f>
        <v>357342</v>
      </c>
      <c r="S86" s="21">
        <f>'Working Capital &amp; Assets'!C89</f>
        <v>0</v>
      </c>
      <c r="T86" s="21">
        <f>'Working Capital &amp; Assets'!D89</f>
        <v>1014085</v>
      </c>
      <c r="U86" s="21">
        <f>'Funding &amp; Cap'!B145</f>
        <v>0</v>
      </c>
      <c r="V86" s="21">
        <f>'Funding &amp; Cap'!C145</f>
        <v>0</v>
      </c>
      <c r="W86" s="21">
        <f>'Funding &amp; Cap'!D145</f>
        <v>0</v>
      </c>
      <c r="X86" s="21">
        <f>'Working Capital &amp; Assets'!E89</f>
        <v>7730711</v>
      </c>
      <c r="Y86" s="21">
        <f>'Working Capital &amp; Assets'!F89</f>
        <v>2951793</v>
      </c>
      <c r="Z86" s="21">
        <f>'Working Capital &amp; Assets'!G89</f>
        <v>3215760</v>
      </c>
      <c r="AA86" s="21">
        <f>'Working Capital &amp; Assets'!H89</f>
        <v>3802779</v>
      </c>
      <c r="AB86" s="21">
        <f>'Working Capital &amp; Assets'!I89</f>
        <v>9157243</v>
      </c>
      <c r="AC86" s="21">
        <f>'Working Capital &amp; Assets'!J89</f>
        <v>6087640</v>
      </c>
      <c r="AD86" s="21">
        <f>MIN(AE86,SUMIFS($W$2:$W$181,$A$2:$A$181,"&gt;"&amp;A86,$A$2:$A$181,"&lt;="&amp;EDATE(A86,12))+IF(AND(DATE(2033,12,1)&gt;A86,DATE(2033,12,1)&lt;=EDATE(A86,12)),'Funding &amp; Cap'!$B$200,0))</f>
        <v>0</v>
      </c>
      <c r="AE86" s="22">
        <f>'Funding &amp; Cap'!Q145</f>
        <v>57000000</v>
      </c>
      <c r="AF86" s="22">
        <f t="shared" si="2"/>
        <v>108225596</v>
      </c>
      <c r="AG86" s="22">
        <f t="shared" si="3"/>
        <v>-7828126</v>
      </c>
      <c r="AH86" s="23">
        <f>'Revenue &amp; Demand'!P250</f>
        <v>0</v>
      </c>
      <c r="AI86" s="24">
        <f>'Revenue &amp; Demand'!Q250</f>
        <v>0</v>
      </c>
      <c r="AJ86" s="24">
        <f>'Manufacturing &amp; Production'!J290</f>
        <v>0</v>
      </c>
      <c r="AK86" s="105">
        <f t="shared" si="4"/>
        <v>45658</v>
      </c>
      <c r="AL86" s="107">
        <f t="shared" si="5"/>
        <v>2740</v>
      </c>
      <c r="AM86" s="107" t="str">
        <f t="shared" si="6"/>
        <v/>
      </c>
    </row>
    <row r="87" ht="19.5" customHeight="1">
      <c r="A87" s="15">
        <v>45689.0</v>
      </c>
      <c r="B87" s="18">
        <f t="shared" si="1"/>
        <v>2025</v>
      </c>
      <c r="C87" s="19">
        <f>'Revenue &amp; Demand'!C251</f>
        <v>2878</v>
      </c>
      <c r="D87" s="19">
        <f>'Revenue &amp; Demand'!F251</f>
        <v>40</v>
      </c>
      <c r="E87" s="21">
        <f>'Revenue &amp; Demand'!E251</f>
        <v>4316847</v>
      </c>
      <c r="F87" s="21">
        <f>'Revenue &amp; Demand'!H251</f>
        <v>1894558</v>
      </c>
      <c r="G87" s="21">
        <f>'Revenue &amp; Demand'!J251</f>
        <v>205882</v>
      </c>
      <c r="H87" s="21">
        <f>'Manufacturing &amp; Production'!F291</f>
        <v>949706</v>
      </c>
      <c r="I87" s="21">
        <f>'Manufacturing &amp; Production'!G291</f>
        <v>345348</v>
      </c>
      <c r="J87" s="21">
        <f>'Workforce &amp; Expenses'!M343</f>
        <v>814660</v>
      </c>
      <c r="K87" s="21">
        <f>'Manufacturing &amp; Production'!K291</f>
        <v>16471</v>
      </c>
      <c r="L87" s="21">
        <f>'Clinical Trials &amp; R&amp;D'!F291</f>
        <v>3858009</v>
      </c>
      <c r="M87" s="21">
        <f>'Clinical Trials &amp; R&amp;D'!I291</f>
        <v>2170130</v>
      </c>
      <c r="N87" s="21">
        <f>'Workforce &amp; Expenses'!P343</f>
        <v>2249945</v>
      </c>
      <c r="O87" s="21">
        <f>'Workforce &amp; Expenses'!S343</f>
        <v>2340343</v>
      </c>
      <c r="P87" s="21">
        <f>'Funding &amp; Cap'!F146</f>
        <v>536873</v>
      </c>
      <c r="Q87" s="21">
        <f>'Working Capital &amp; Assets'!B90</f>
        <v>583333</v>
      </c>
      <c r="R87" s="21">
        <f>'Funding &amp; Cap'!H146</f>
        <v>357342</v>
      </c>
      <c r="S87" s="21">
        <f>'Working Capital &amp; Assets'!C90</f>
        <v>0</v>
      </c>
      <c r="T87" s="21">
        <f>'Working Capital &amp; Assets'!D90</f>
        <v>1026604</v>
      </c>
      <c r="U87" s="21">
        <f>'Funding &amp; Cap'!B146</f>
        <v>0</v>
      </c>
      <c r="V87" s="21">
        <f>'Funding &amp; Cap'!C146</f>
        <v>0</v>
      </c>
      <c r="W87" s="21">
        <f>'Funding &amp; Cap'!D146</f>
        <v>0</v>
      </c>
      <c r="X87" s="21">
        <f>'Working Capital &amp; Assets'!E90</f>
        <v>8445820</v>
      </c>
      <c r="Y87" s="21">
        <f>'Working Capital &amp; Assets'!F90</f>
        <v>3296939</v>
      </c>
      <c r="Z87" s="21">
        <f>'Working Capital &amp; Assets'!G90</f>
        <v>3477919</v>
      </c>
      <c r="AA87" s="21">
        <f>'Working Capital &amp; Assets'!H90</f>
        <v>4065002</v>
      </c>
      <c r="AB87" s="21">
        <f>'Working Capital &amp; Assets'!I90</f>
        <v>9773941</v>
      </c>
      <c r="AC87" s="21">
        <f>'Working Capital &amp; Assets'!J90</f>
        <v>6218496</v>
      </c>
      <c r="AD87" s="21">
        <f>MIN(AE87,SUMIFS($W$2:$W$181,$A$2:$A$181,"&gt;"&amp;A87,$A$2:$A$181,"&lt;="&amp;EDATE(A87,12))+IF(AND(DATE(2033,12,1)&gt;A87,DATE(2033,12,1)&lt;=EDATE(A87,12)),'Funding &amp; Cap'!$B$200,0))</f>
        <v>0</v>
      </c>
      <c r="AE87" s="22">
        <f>'Funding &amp; Cap'!Q146</f>
        <v>57000000</v>
      </c>
      <c r="AF87" s="22">
        <f t="shared" si="2"/>
        <v>100201688</v>
      </c>
      <c r="AG87" s="22">
        <f t="shared" si="3"/>
        <v>-8023908</v>
      </c>
      <c r="AH87" s="23">
        <f>'Revenue &amp; Demand'!P251</f>
        <v>0</v>
      </c>
      <c r="AI87" s="24">
        <f>'Revenue &amp; Demand'!Q251</f>
        <v>0</v>
      </c>
      <c r="AJ87" s="24">
        <f>'Manufacturing &amp; Production'!J291</f>
        <v>0</v>
      </c>
      <c r="AK87" s="105">
        <f t="shared" si="4"/>
        <v>45689</v>
      </c>
      <c r="AL87" s="107">
        <f t="shared" si="5"/>
        <v>2878</v>
      </c>
      <c r="AM87" s="107" t="str">
        <f t="shared" si="6"/>
        <v/>
      </c>
    </row>
    <row r="88" ht="19.5" customHeight="1">
      <c r="A88" s="15">
        <v>45717.0</v>
      </c>
      <c r="B88" s="18">
        <f t="shared" si="1"/>
        <v>2025</v>
      </c>
      <c r="C88" s="19">
        <f>'Revenue &amp; Demand'!C252</f>
        <v>3016</v>
      </c>
      <c r="D88" s="19">
        <f>'Revenue &amp; Demand'!F252</f>
        <v>42</v>
      </c>
      <c r="E88" s="21">
        <f>'Revenue &amp; Demand'!E252</f>
        <v>4523504</v>
      </c>
      <c r="F88" s="21">
        <f>'Revenue &amp; Demand'!H252</f>
        <v>1894456</v>
      </c>
      <c r="G88" s="21">
        <f>'Revenue &amp; Demand'!J252</f>
        <v>1286765</v>
      </c>
      <c r="H88" s="21">
        <f>'Manufacturing &amp; Production'!F292</f>
        <v>995171</v>
      </c>
      <c r="I88" s="21">
        <f>'Manufacturing &amp; Production'!G292</f>
        <v>361880</v>
      </c>
      <c r="J88" s="21">
        <f>'Workforce &amp; Expenses'!M344</f>
        <v>814616</v>
      </c>
      <c r="K88" s="21">
        <f>'Manufacturing &amp; Production'!K292</f>
        <v>102941</v>
      </c>
      <c r="L88" s="21">
        <f>'Clinical Trials &amp; R&amp;D'!F292</f>
        <v>3857801</v>
      </c>
      <c r="M88" s="21">
        <f>'Clinical Trials &amp; R&amp;D'!I292</f>
        <v>2170013</v>
      </c>
      <c r="N88" s="21">
        <f>'Workforce &amp; Expenses'!P344</f>
        <v>2408827</v>
      </c>
      <c r="O88" s="21">
        <f>'Workforce &amp; Expenses'!S344</f>
        <v>2367926</v>
      </c>
      <c r="P88" s="21">
        <f>'Funding &amp; Cap'!F147</f>
        <v>547198</v>
      </c>
      <c r="Q88" s="21">
        <f>'Working Capital &amp; Assets'!B91</f>
        <v>583333</v>
      </c>
      <c r="R88" s="21">
        <f>'Funding &amp; Cap'!H147</f>
        <v>357342</v>
      </c>
      <c r="S88" s="21">
        <f>'Working Capital &amp; Assets'!C91</f>
        <v>0</v>
      </c>
      <c r="T88" s="21">
        <f>'Working Capital &amp; Assets'!D91</f>
        <v>2541471</v>
      </c>
      <c r="U88" s="21">
        <f>'Funding &amp; Cap'!B147</f>
        <v>0</v>
      </c>
      <c r="V88" s="21">
        <f>'Funding &amp; Cap'!C147</f>
        <v>0</v>
      </c>
      <c r="W88" s="21">
        <f>'Funding &amp; Cap'!D147</f>
        <v>0</v>
      </c>
      <c r="X88" s="21">
        <f>'Working Capital &amp; Assets'!E91</f>
        <v>9100690</v>
      </c>
      <c r="Y88" s="21">
        <f>'Working Capital &amp; Assets'!F91</f>
        <v>3616020</v>
      </c>
      <c r="Z88" s="21">
        <f>'Working Capital &amp; Assets'!G91</f>
        <v>3716520</v>
      </c>
      <c r="AA88" s="21">
        <f>'Working Capital &amp; Assets'!H91</f>
        <v>4301398</v>
      </c>
      <c r="AB88" s="21">
        <f>'Working Capital &amp; Assets'!I91</f>
        <v>10329070</v>
      </c>
      <c r="AC88" s="21">
        <f>'Working Capital &amp; Assets'!J91</f>
        <v>6320280</v>
      </c>
      <c r="AD88" s="21">
        <f>MIN(AE88,SUMIFS($W$2:$W$181,$A$2:$A$181,"&gt;"&amp;A88,$A$2:$A$181,"&lt;="&amp;EDATE(A88,12))+IF(AND(DATE(2033,12,1)&gt;A88,DATE(2033,12,1)&lt;=EDATE(A88,12)),'Funding &amp; Cap'!$B$200,0))</f>
        <v>0</v>
      </c>
      <c r="AE88" s="22">
        <f>'Funding &amp; Cap'!Q147</f>
        <v>57000000</v>
      </c>
      <c r="AF88" s="22">
        <f t="shared" si="2"/>
        <v>91609182</v>
      </c>
      <c r="AG88" s="22">
        <f t="shared" si="3"/>
        <v>-8592506</v>
      </c>
      <c r="AH88" s="23">
        <f>'Revenue &amp; Demand'!P252</f>
        <v>0</v>
      </c>
      <c r="AI88" s="24">
        <f>'Revenue &amp; Demand'!Q252</f>
        <v>0</v>
      </c>
      <c r="AJ88" s="24">
        <f>'Manufacturing &amp; Production'!J292</f>
        <v>0</v>
      </c>
      <c r="AK88" s="105">
        <f t="shared" si="4"/>
        <v>45717</v>
      </c>
      <c r="AL88" s="107">
        <f t="shared" si="5"/>
        <v>3016</v>
      </c>
      <c r="AM88" s="107" t="str">
        <f t="shared" si="6"/>
        <v/>
      </c>
    </row>
    <row r="89" ht="19.5" customHeight="1">
      <c r="A89" s="15">
        <v>45748.0</v>
      </c>
      <c r="B89" s="18">
        <f t="shared" si="1"/>
        <v>2025</v>
      </c>
      <c r="C89" s="19">
        <f>'Revenue &amp; Demand'!C253</f>
        <v>3153</v>
      </c>
      <c r="D89" s="19">
        <f>'Revenue &amp; Demand'!F253</f>
        <v>43</v>
      </c>
      <c r="E89" s="21">
        <f>'Revenue &amp; Demand'!E253</f>
        <v>4730162</v>
      </c>
      <c r="F89" s="21">
        <f>'Revenue &amp; Demand'!H253</f>
        <v>1858844</v>
      </c>
      <c r="G89" s="21">
        <f>'Revenue &amp; Demand'!J253</f>
        <v>205882</v>
      </c>
      <c r="H89" s="21">
        <f>'Manufacturing &amp; Production'!F293</f>
        <v>1040636</v>
      </c>
      <c r="I89" s="21">
        <f>'Manufacturing &amp; Production'!G293</f>
        <v>378413</v>
      </c>
      <c r="J89" s="21">
        <f>'Workforce &amp; Expenses'!M345</f>
        <v>799303</v>
      </c>
      <c r="K89" s="21">
        <f>'Manufacturing &amp; Production'!K293</f>
        <v>16471</v>
      </c>
      <c r="L89" s="21">
        <f>'Clinical Trials &amp; R&amp;D'!F293</f>
        <v>3785281</v>
      </c>
      <c r="M89" s="21">
        <f>'Clinical Trials &amp; R&amp;D'!I293</f>
        <v>2129221</v>
      </c>
      <c r="N89" s="21">
        <f>'Workforce &amp; Expenses'!P345</f>
        <v>2559001</v>
      </c>
      <c r="O89" s="21">
        <f>'Workforce &amp; Expenses'!S345</f>
        <v>2371588</v>
      </c>
      <c r="P89" s="21">
        <f>'Funding &amp; Cap'!F148</f>
        <v>557522</v>
      </c>
      <c r="Q89" s="21">
        <f>'Working Capital &amp; Assets'!B92</f>
        <v>583333</v>
      </c>
      <c r="R89" s="21">
        <f>'Funding &amp; Cap'!H148</f>
        <v>608108</v>
      </c>
      <c r="S89" s="21">
        <f>'Working Capital &amp; Assets'!C92</f>
        <v>0</v>
      </c>
      <c r="T89" s="21">
        <f>'Working Capital &amp; Assets'!D92</f>
        <v>1051643</v>
      </c>
      <c r="U89" s="21">
        <f>'Funding &amp; Cap'!B148</f>
        <v>0</v>
      </c>
      <c r="V89" s="21">
        <f>'Funding &amp; Cap'!C148</f>
        <v>40000000</v>
      </c>
      <c r="W89" s="21">
        <f>'Funding &amp; Cap'!D148</f>
        <v>0</v>
      </c>
      <c r="X89" s="21">
        <f>'Working Capital &amp; Assets'!E92</f>
        <v>9686003</v>
      </c>
      <c r="Y89" s="21">
        <f>'Working Capital &amp; Assets'!F92</f>
        <v>3905005</v>
      </c>
      <c r="Z89" s="21">
        <f>'Working Capital &amp; Assets'!G92</f>
        <v>3927919</v>
      </c>
      <c r="AA89" s="21">
        <f>'Working Capital &amp; Assets'!H92</f>
        <v>4507970</v>
      </c>
      <c r="AB89" s="21">
        <f>'Working Capital &amp; Assets'!I92</f>
        <v>10813107</v>
      </c>
      <c r="AC89" s="21">
        <f>'Working Capital &amp; Assets'!J92</f>
        <v>6388496</v>
      </c>
      <c r="AD89" s="21">
        <f>MIN(AE89,SUMIFS($W$2:$W$181,$A$2:$A$181,"&gt;"&amp;A89,$A$2:$A$181,"&lt;="&amp;EDATE(A89,12))+IF(AND(DATE(2033,12,1)&gt;A89,DATE(2033,12,1)&lt;=EDATE(A89,12)),'Funding &amp; Cap'!$B$200,0))</f>
        <v>0</v>
      </c>
      <c r="AE89" s="22">
        <f>'Funding &amp; Cap'!Q148</f>
        <v>97000000</v>
      </c>
      <c r="AF89" s="22">
        <f t="shared" si="2"/>
        <v>123337533</v>
      </c>
      <c r="AG89" s="22">
        <f t="shared" si="3"/>
        <v>31728351</v>
      </c>
      <c r="AH89" s="23">
        <f>'Revenue &amp; Demand'!P253</f>
        <v>0</v>
      </c>
      <c r="AI89" s="24">
        <f>'Revenue &amp; Demand'!Q253</f>
        <v>0</v>
      </c>
      <c r="AJ89" s="24">
        <f>'Manufacturing &amp; Production'!J293</f>
        <v>0</v>
      </c>
      <c r="AK89" s="105">
        <f t="shared" si="4"/>
        <v>45748</v>
      </c>
      <c r="AL89" s="107">
        <f t="shared" si="5"/>
        <v>3153</v>
      </c>
      <c r="AM89" s="107" t="str">
        <f t="shared" si="6"/>
        <v/>
      </c>
    </row>
    <row r="90" ht="19.5" customHeight="1">
      <c r="A90" s="15">
        <v>45778.0</v>
      </c>
      <c r="B90" s="18">
        <f t="shared" si="1"/>
        <v>2025</v>
      </c>
      <c r="C90" s="19">
        <f>'Revenue &amp; Demand'!C254</f>
        <v>3291</v>
      </c>
      <c r="D90" s="19">
        <f>'Revenue &amp; Demand'!F254</f>
        <v>45</v>
      </c>
      <c r="E90" s="21">
        <f>'Revenue &amp; Demand'!E254</f>
        <v>4936819</v>
      </c>
      <c r="F90" s="21">
        <f>'Revenue &amp; Demand'!H254</f>
        <v>1802721</v>
      </c>
      <c r="G90" s="21">
        <f>'Revenue &amp; Demand'!J254</f>
        <v>205882</v>
      </c>
      <c r="H90" s="21">
        <f>'Manufacturing &amp; Production'!F294</f>
        <v>1086100</v>
      </c>
      <c r="I90" s="21">
        <f>'Manufacturing &amp; Production'!G294</f>
        <v>394946</v>
      </c>
      <c r="J90" s="21">
        <f>'Workforce &amp; Expenses'!M346</f>
        <v>775170</v>
      </c>
      <c r="K90" s="21">
        <f>'Manufacturing &amp; Production'!K294</f>
        <v>16471</v>
      </c>
      <c r="L90" s="21">
        <f>'Clinical Trials &amp; R&amp;D'!F294</f>
        <v>3670996</v>
      </c>
      <c r="M90" s="21">
        <f>'Clinical Trials &amp; R&amp;D'!I294</f>
        <v>2064935</v>
      </c>
      <c r="N90" s="21">
        <f>'Workforce &amp; Expenses'!P346</f>
        <v>2704145</v>
      </c>
      <c r="O90" s="21">
        <f>'Workforce &amp; Expenses'!S346</f>
        <v>2354535</v>
      </c>
      <c r="P90" s="21">
        <f>'Funding &amp; Cap'!F149</f>
        <v>567847</v>
      </c>
      <c r="Q90" s="21">
        <f>'Working Capital &amp; Assets'!B93</f>
        <v>583333</v>
      </c>
      <c r="R90" s="21">
        <f>'Funding &amp; Cap'!H149</f>
        <v>608108</v>
      </c>
      <c r="S90" s="21">
        <f>'Working Capital &amp; Assets'!C93</f>
        <v>0</v>
      </c>
      <c r="T90" s="21">
        <f>'Working Capital &amp; Assets'!D93</f>
        <v>1064163</v>
      </c>
      <c r="U90" s="21">
        <f>'Funding &amp; Cap'!B149</f>
        <v>0</v>
      </c>
      <c r="V90" s="21">
        <f>'Funding &amp; Cap'!C149</f>
        <v>0</v>
      </c>
      <c r="W90" s="21">
        <f>'Funding &amp; Cap'!D149</f>
        <v>0</v>
      </c>
      <c r="X90" s="21">
        <f>'Working Capital &amp; Assets'!E93</f>
        <v>10211076</v>
      </c>
      <c r="Y90" s="21">
        <f>'Working Capital &amp; Assets'!F93</f>
        <v>4167927</v>
      </c>
      <c r="Z90" s="21">
        <f>'Working Capital &amp; Assets'!G93</f>
        <v>4115760</v>
      </c>
      <c r="AA90" s="21">
        <f>'Working Capital &amp; Assets'!H93</f>
        <v>4688715</v>
      </c>
      <c r="AB90" s="21">
        <f>'Working Capital &amp; Assets'!I93</f>
        <v>11235577</v>
      </c>
      <c r="AC90" s="21">
        <f>'Working Capital &amp; Assets'!J93</f>
        <v>6427640</v>
      </c>
      <c r="AD90" s="21">
        <f>MIN(AE90,SUMIFS($W$2:$W$181,$A$2:$A$181,"&gt;"&amp;A90,$A$2:$A$181,"&lt;="&amp;EDATE(A90,12))+IF(AND(DATE(2033,12,1)&gt;A90,DATE(2033,12,1)&lt;=EDATE(A90,12)),'Funding &amp; Cap'!$B$200,0))</f>
        <v>0</v>
      </c>
      <c r="AE90" s="22">
        <f>'Funding &amp; Cap'!Q149</f>
        <v>97000000</v>
      </c>
      <c r="AF90" s="22">
        <f t="shared" si="2"/>
        <v>115209909</v>
      </c>
      <c r="AG90" s="22">
        <f t="shared" si="3"/>
        <v>-8127624</v>
      </c>
      <c r="AH90" s="23">
        <f>'Revenue &amp; Demand'!P254</f>
        <v>0</v>
      </c>
      <c r="AI90" s="24">
        <f>'Revenue &amp; Demand'!Q254</f>
        <v>0</v>
      </c>
      <c r="AJ90" s="24">
        <f>'Manufacturing &amp; Production'!J294</f>
        <v>0</v>
      </c>
      <c r="AK90" s="105">
        <f t="shared" si="4"/>
        <v>45778</v>
      </c>
      <c r="AL90" s="107">
        <f t="shared" si="5"/>
        <v>3291</v>
      </c>
      <c r="AM90" s="107" t="str">
        <f t="shared" si="6"/>
        <v/>
      </c>
    </row>
    <row r="91" ht="19.5" customHeight="1">
      <c r="A91" s="15">
        <v>45809.0</v>
      </c>
      <c r="B91" s="18">
        <f t="shared" si="1"/>
        <v>2025</v>
      </c>
      <c r="C91" s="19">
        <f>'Revenue &amp; Demand'!C255</f>
        <v>3429</v>
      </c>
      <c r="D91" s="19">
        <f>'Revenue &amp; Demand'!F255</f>
        <v>47</v>
      </c>
      <c r="E91" s="21">
        <f>'Revenue &amp; Demand'!E255</f>
        <v>5143477</v>
      </c>
      <c r="F91" s="21">
        <f>'Revenue &amp; Demand'!H255</f>
        <v>1746599</v>
      </c>
      <c r="G91" s="21">
        <f>'Revenue &amp; Demand'!J255</f>
        <v>1286765</v>
      </c>
      <c r="H91" s="21">
        <f>'Manufacturing &amp; Production'!F295</f>
        <v>1131565</v>
      </c>
      <c r="I91" s="21">
        <f>'Manufacturing &amp; Production'!G295</f>
        <v>411478</v>
      </c>
      <c r="J91" s="21">
        <f>'Workforce &amp; Expenses'!M347</f>
        <v>751037</v>
      </c>
      <c r="K91" s="21">
        <f>'Manufacturing &amp; Production'!K295</f>
        <v>102941</v>
      </c>
      <c r="L91" s="21">
        <f>'Clinical Trials &amp; R&amp;D'!F295</f>
        <v>3556710</v>
      </c>
      <c r="M91" s="21">
        <f>'Clinical Trials &amp; R&amp;D'!I295</f>
        <v>2000649</v>
      </c>
      <c r="N91" s="21">
        <f>'Workforce &amp; Expenses'!P347</f>
        <v>2849290</v>
      </c>
      <c r="O91" s="21">
        <f>'Workforce &amp; Expenses'!S347</f>
        <v>2325522</v>
      </c>
      <c r="P91" s="21">
        <f>'Funding &amp; Cap'!F150</f>
        <v>578171</v>
      </c>
      <c r="Q91" s="21">
        <f>'Working Capital &amp; Assets'!B94</f>
        <v>583333</v>
      </c>
      <c r="R91" s="21">
        <f>'Funding &amp; Cap'!H150</f>
        <v>608108</v>
      </c>
      <c r="S91" s="21">
        <f>'Working Capital &amp; Assets'!C94</f>
        <v>0</v>
      </c>
      <c r="T91" s="21">
        <f>'Working Capital &amp; Assets'!D94</f>
        <v>1076682</v>
      </c>
      <c r="U91" s="21">
        <f>'Funding &amp; Cap'!B150</f>
        <v>0</v>
      </c>
      <c r="V91" s="21">
        <f>'Funding &amp; Cap'!C150</f>
        <v>0</v>
      </c>
      <c r="W91" s="21">
        <f>'Funding &amp; Cap'!D150</f>
        <v>0</v>
      </c>
      <c r="X91" s="21">
        <f>'Working Capital &amp; Assets'!E94</f>
        <v>10701370</v>
      </c>
      <c r="Y91" s="21">
        <f>'Working Capital &amp; Assets'!F94</f>
        <v>4415800</v>
      </c>
      <c r="Z91" s="21">
        <f>'Working Capital &amp; Assets'!G94</f>
        <v>4290000</v>
      </c>
      <c r="AA91" s="21">
        <f>'Working Capital &amp; Assets'!H94</f>
        <v>4854548</v>
      </c>
      <c r="AB91" s="21">
        <f>'Working Capital &amp; Assets'!I94</f>
        <v>11622500</v>
      </c>
      <c r="AC91" s="21">
        <f>'Working Capital &amp; Assets'!J94</f>
        <v>6450000</v>
      </c>
      <c r="AD91" s="21">
        <f>MIN(AE91,SUMIFS($W$2:$W$181,$A$2:$A$181,"&gt;"&amp;A91,$A$2:$A$181,"&lt;="&amp;EDATE(A91,12))+IF(AND(DATE(2033,12,1)&gt;A91,DATE(2033,12,1)&lt;=EDATE(A91,12)),'Funding &amp; Cap'!$B$200,0))</f>
        <v>0</v>
      </c>
      <c r="AE91" s="22">
        <f>'Funding &amp; Cap'!Q150</f>
        <v>97000000</v>
      </c>
      <c r="AF91" s="22">
        <f t="shared" si="2"/>
        <v>108235477</v>
      </c>
      <c r="AG91" s="22">
        <f t="shared" si="3"/>
        <v>-6974432</v>
      </c>
      <c r="AH91" s="23">
        <f>'Revenue &amp; Demand'!P255</f>
        <v>0</v>
      </c>
      <c r="AI91" s="24">
        <f>'Revenue &amp; Demand'!Q255</f>
        <v>0</v>
      </c>
      <c r="AJ91" s="24">
        <f>'Manufacturing &amp; Production'!J295</f>
        <v>0</v>
      </c>
      <c r="AK91" s="105">
        <f t="shared" si="4"/>
        <v>45809</v>
      </c>
      <c r="AL91" s="107">
        <f t="shared" si="5"/>
        <v>3429</v>
      </c>
      <c r="AM91" s="107" t="str">
        <f t="shared" si="6"/>
        <v/>
      </c>
    </row>
    <row r="92" ht="19.5" customHeight="1">
      <c r="A92" s="15">
        <v>45839.0</v>
      </c>
      <c r="B92" s="18">
        <f t="shared" si="1"/>
        <v>2025</v>
      </c>
      <c r="C92" s="19">
        <f>'Revenue &amp; Demand'!C256</f>
        <v>3567</v>
      </c>
      <c r="D92" s="19">
        <f>'Revenue &amp; Demand'!F256</f>
        <v>49</v>
      </c>
      <c r="E92" s="21">
        <f>'Revenue &amp; Demand'!E256</f>
        <v>5350134</v>
      </c>
      <c r="F92" s="21">
        <f>'Revenue &amp; Demand'!H256</f>
        <v>1710986</v>
      </c>
      <c r="G92" s="21">
        <f>'Revenue &amp; Demand'!J256</f>
        <v>205882</v>
      </c>
      <c r="H92" s="21">
        <f>'Manufacturing &amp; Production'!F296</f>
        <v>1177029</v>
      </c>
      <c r="I92" s="21">
        <f>'Manufacturing &amp; Production'!G296</f>
        <v>428011</v>
      </c>
      <c r="J92" s="21">
        <f>'Workforce &amp; Expenses'!M348</f>
        <v>735724</v>
      </c>
      <c r="K92" s="21">
        <f>'Manufacturing &amp; Production'!K296</f>
        <v>16471</v>
      </c>
      <c r="L92" s="21">
        <f>'Clinical Trials &amp; R&amp;D'!F296</f>
        <v>3484191</v>
      </c>
      <c r="M92" s="21">
        <f>'Clinical Trials &amp; R&amp;D'!I296</f>
        <v>1959857</v>
      </c>
      <c r="N92" s="21">
        <f>'Workforce &amp; Expenses'!P348</f>
        <v>2999464</v>
      </c>
      <c r="O92" s="21">
        <f>'Workforce &amp; Expenses'!S348</f>
        <v>2296509</v>
      </c>
      <c r="P92" s="21">
        <f>'Funding &amp; Cap'!F151</f>
        <v>588496</v>
      </c>
      <c r="Q92" s="21">
        <f>'Working Capital &amp; Assets'!B95</f>
        <v>583333</v>
      </c>
      <c r="R92" s="21">
        <f>'Funding &amp; Cap'!H151</f>
        <v>608108</v>
      </c>
      <c r="S92" s="21">
        <f>'Working Capital &amp; Assets'!C95</f>
        <v>0</v>
      </c>
      <c r="T92" s="21">
        <f>'Working Capital &amp; Assets'!D95</f>
        <v>1089202</v>
      </c>
      <c r="U92" s="21">
        <f>'Funding &amp; Cap'!B151</f>
        <v>0</v>
      </c>
      <c r="V92" s="21">
        <f>'Funding &amp; Cap'!C151</f>
        <v>0</v>
      </c>
      <c r="W92" s="21">
        <f>'Funding &amp; Cap'!D151</f>
        <v>0</v>
      </c>
      <c r="X92" s="21">
        <f>'Working Capital &amp; Assets'!E95</f>
        <v>11191664</v>
      </c>
      <c r="Y92" s="21">
        <f>'Working Capital &amp; Assets'!F95</f>
        <v>4663673</v>
      </c>
      <c r="Z92" s="21">
        <f>'Working Capital &amp; Assets'!G95</f>
        <v>4464240</v>
      </c>
      <c r="AA92" s="21">
        <f>'Working Capital &amp; Assets'!H95</f>
        <v>5020381</v>
      </c>
      <c r="AB92" s="21">
        <f>'Working Capital &amp; Assets'!I95</f>
        <v>12009423</v>
      </c>
      <c r="AC92" s="21">
        <f>'Working Capital &amp; Assets'!J95</f>
        <v>6472360</v>
      </c>
      <c r="AD92" s="21">
        <f>MIN(AE92,SUMIFS($W$2:$W$181,$A$2:$A$181,"&gt;"&amp;A92,$A$2:$A$181,"&lt;="&amp;EDATE(A92,12))+IF(AND(DATE(2033,12,1)&gt;A92,DATE(2033,12,1)&lt;=EDATE(A92,12)),'Funding &amp; Cap'!$B$200,0))</f>
        <v>0</v>
      </c>
      <c r="AE92" s="22">
        <f>'Funding &amp; Cap'!Q151</f>
        <v>97000000</v>
      </c>
      <c r="AF92" s="22">
        <f t="shared" si="2"/>
        <v>100370622</v>
      </c>
      <c r="AG92" s="22">
        <f t="shared" si="3"/>
        <v>-7864855</v>
      </c>
      <c r="AH92" s="23">
        <f>'Revenue &amp; Demand'!P256</f>
        <v>0</v>
      </c>
      <c r="AI92" s="24">
        <f>'Revenue &amp; Demand'!Q256</f>
        <v>0</v>
      </c>
      <c r="AJ92" s="24">
        <f>'Manufacturing &amp; Production'!J296</f>
        <v>0</v>
      </c>
      <c r="AK92" s="105">
        <f t="shared" si="4"/>
        <v>45839</v>
      </c>
      <c r="AL92" s="107">
        <f t="shared" si="5"/>
        <v>3567</v>
      </c>
      <c r="AM92" s="107" t="str">
        <f t="shared" si="6"/>
        <v/>
      </c>
    </row>
    <row r="93" ht="19.5" customHeight="1">
      <c r="A93" s="15">
        <v>45870.0</v>
      </c>
      <c r="B93" s="18">
        <f t="shared" si="1"/>
        <v>2025</v>
      </c>
      <c r="C93" s="19">
        <f>'Revenue &amp; Demand'!C257</f>
        <v>3705</v>
      </c>
      <c r="D93" s="19">
        <f>'Revenue &amp; Demand'!F257</f>
        <v>51</v>
      </c>
      <c r="E93" s="21">
        <f>'Revenue &amp; Demand'!E257</f>
        <v>5556792</v>
      </c>
      <c r="F93" s="21">
        <f>'Revenue &amp; Demand'!H257</f>
        <v>1710884</v>
      </c>
      <c r="G93" s="21">
        <f>'Revenue &amp; Demand'!J257</f>
        <v>205882</v>
      </c>
      <c r="H93" s="21">
        <f>'Manufacturing &amp; Production'!F297</f>
        <v>1222495</v>
      </c>
      <c r="I93" s="21">
        <f>'Manufacturing &amp; Production'!G297</f>
        <v>444543</v>
      </c>
      <c r="J93" s="21">
        <f>'Workforce &amp; Expenses'!M349</f>
        <v>735680</v>
      </c>
      <c r="K93" s="21">
        <f>'Manufacturing &amp; Production'!K297</f>
        <v>16471</v>
      </c>
      <c r="L93" s="21">
        <f>'Clinical Trials &amp; R&amp;D'!F297</f>
        <v>3483983</v>
      </c>
      <c r="M93" s="21">
        <f>'Clinical Trials &amp; R&amp;D'!I297</f>
        <v>1959740</v>
      </c>
      <c r="N93" s="21">
        <f>'Workforce &amp; Expenses'!P349</f>
        <v>3158346</v>
      </c>
      <c r="O93" s="21">
        <f>'Workforce &amp; Expenses'!S349</f>
        <v>2279456</v>
      </c>
      <c r="P93" s="21">
        <f>'Funding &amp; Cap'!F152</f>
        <v>598820</v>
      </c>
      <c r="Q93" s="21">
        <f>'Working Capital &amp; Assets'!B96</f>
        <v>583333</v>
      </c>
      <c r="R93" s="21">
        <f>'Funding &amp; Cap'!H152</f>
        <v>608108</v>
      </c>
      <c r="S93" s="21">
        <f>'Working Capital &amp; Assets'!C96</f>
        <v>0</v>
      </c>
      <c r="T93" s="21">
        <f>'Working Capital &amp; Assets'!D96</f>
        <v>1101721</v>
      </c>
      <c r="U93" s="21">
        <f>'Funding &amp; Cap'!B152</f>
        <v>0</v>
      </c>
      <c r="V93" s="21">
        <f>'Funding &amp; Cap'!C152</f>
        <v>0</v>
      </c>
      <c r="W93" s="21">
        <f>'Funding &amp; Cap'!D152</f>
        <v>0</v>
      </c>
      <c r="X93" s="21">
        <f>'Working Capital &amp; Assets'!E96</f>
        <v>11716737</v>
      </c>
      <c r="Y93" s="21">
        <f>'Working Capital &amp; Assets'!F96</f>
        <v>4926595</v>
      </c>
      <c r="Z93" s="21">
        <f>'Working Capital &amp; Assets'!G96</f>
        <v>4652081</v>
      </c>
      <c r="AA93" s="21">
        <f>'Working Capital &amp; Assets'!H96</f>
        <v>5201126</v>
      </c>
      <c r="AB93" s="21">
        <f>'Working Capital &amp; Assets'!I96</f>
        <v>12431893</v>
      </c>
      <c r="AC93" s="21">
        <f>'Working Capital &amp; Assets'!J96</f>
        <v>6511504</v>
      </c>
      <c r="AD93" s="21">
        <f>MIN(AE93,SUMIFS($W$2:$W$181,$A$2:$A$181,"&gt;"&amp;A93,$A$2:$A$181,"&lt;="&amp;EDATE(A93,12))+IF(AND(DATE(2033,12,1)&gt;A93,DATE(2033,12,1)&lt;=EDATE(A93,12)),'Funding &amp; Cap'!$B$200,0))</f>
        <v>0</v>
      </c>
      <c r="AE93" s="22">
        <f>'Funding &amp; Cap'!Q152</f>
        <v>97000000</v>
      </c>
      <c r="AF93" s="22">
        <f t="shared" si="2"/>
        <v>92500160</v>
      </c>
      <c r="AG93" s="22">
        <f t="shared" si="3"/>
        <v>-7870462</v>
      </c>
      <c r="AH93" s="23">
        <f>'Revenue &amp; Demand'!P257</f>
        <v>0</v>
      </c>
      <c r="AI93" s="24">
        <f>'Revenue &amp; Demand'!Q257</f>
        <v>0</v>
      </c>
      <c r="AJ93" s="24">
        <f>'Manufacturing &amp; Production'!J297</f>
        <v>0</v>
      </c>
      <c r="AK93" s="105">
        <f t="shared" si="4"/>
        <v>45870</v>
      </c>
      <c r="AL93" s="107">
        <f t="shared" si="5"/>
        <v>3705</v>
      </c>
      <c r="AM93" s="107" t="str">
        <f t="shared" si="6"/>
        <v/>
      </c>
    </row>
    <row r="94" ht="19.5" customHeight="1">
      <c r="A94" s="15">
        <v>45901.0</v>
      </c>
      <c r="B94" s="18">
        <f t="shared" si="1"/>
        <v>2025</v>
      </c>
      <c r="C94" s="19">
        <f>'Revenue &amp; Demand'!C258</f>
        <v>3842</v>
      </c>
      <c r="D94" s="19">
        <f>'Revenue &amp; Demand'!F258</f>
        <v>53</v>
      </c>
      <c r="E94" s="21">
        <f>'Revenue &amp; Demand'!E258</f>
        <v>5763450</v>
      </c>
      <c r="F94" s="21">
        <f>'Revenue &amp; Demand'!H258</f>
        <v>1751803</v>
      </c>
      <c r="G94" s="21">
        <f>'Revenue &amp; Demand'!J258</f>
        <v>1286765</v>
      </c>
      <c r="H94" s="21">
        <f>'Manufacturing &amp; Production'!F298</f>
        <v>1267959</v>
      </c>
      <c r="I94" s="21">
        <f>'Manufacturing &amp; Production'!G298</f>
        <v>461076</v>
      </c>
      <c r="J94" s="21">
        <f>'Workforce &amp; Expenses'!M350</f>
        <v>753275</v>
      </c>
      <c r="K94" s="21">
        <f>'Manufacturing &amp; Production'!K298</f>
        <v>102941</v>
      </c>
      <c r="L94" s="21">
        <f>'Clinical Trials &amp; R&amp;D'!F298</f>
        <v>3567308</v>
      </c>
      <c r="M94" s="21">
        <f>'Clinical Trials &amp; R&amp;D'!I298</f>
        <v>2006610</v>
      </c>
      <c r="N94" s="21">
        <f>'Workforce &amp; Expenses'!P350</f>
        <v>3327288</v>
      </c>
      <c r="O94" s="21">
        <f>'Workforce &amp; Expenses'!S350</f>
        <v>2283118</v>
      </c>
      <c r="P94" s="21">
        <f>'Funding &amp; Cap'!F153</f>
        <v>609145</v>
      </c>
      <c r="Q94" s="21">
        <f>'Working Capital &amp; Assets'!B97</f>
        <v>583333</v>
      </c>
      <c r="R94" s="21">
        <f>'Funding &amp; Cap'!H153</f>
        <v>608108</v>
      </c>
      <c r="S94" s="21">
        <f>'Working Capital &amp; Assets'!C97</f>
        <v>0</v>
      </c>
      <c r="T94" s="21">
        <f>'Working Capital &amp; Assets'!D97</f>
        <v>2616588</v>
      </c>
      <c r="U94" s="21">
        <f>'Funding &amp; Cap'!B153</f>
        <v>0</v>
      </c>
      <c r="V94" s="21">
        <f>'Funding &amp; Cap'!C153</f>
        <v>0</v>
      </c>
      <c r="W94" s="21">
        <f>'Funding &amp; Cap'!D153</f>
        <v>0</v>
      </c>
      <c r="X94" s="21">
        <f>'Working Capital &amp; Assets'!E97</f>
        <v>12302049</v>
      </c>
      <c r="Y94" s="21">
        <f>'Working Capital &amp; Assets'!F97</f>
        <v>5215580</v>
      </c>
      <c r="Z94" s="21">
        <f>'Working Capital &amp; Assets'!G97</f>
        <v>4863480</v>
      </c>
      <c r="AA94" s="21">
        <f>'Working Capital &amp; Assets'!H97</f>
        <v>5407698</v>
      </c>
      <c r="AB94" s="21">
        <f>'Working Capital &amp; Assets'!I97</f>
        <v>12915930</v>
      </c>
      <c r="AC94" s="21">
        <f>'Working Capital &amp; Assets'!J97</f>
        <v>6579720</v>
      </c>
      <c r="AD94" s="21">
        <f>MIN(AE94,SUMIFS($W$2:$W$181,$A$2:$A$181,"&gt;"&amp;A94,$A$2:$A$181,"&lt;="&amp;EDATE(A94,12))+IF(AND(DATE(2033,12,1)&gt;A94,DATE(2033,12,1)&lt;=EDATE(A94,12)),'Funding &amp; Cap'!$B$200,0))</f>
        <v>0</v>
      </c>
      <c r="AE94" s="22">
        <f>'Funding &amp; Cap'!Q153</f>
        <v>97000000</v>
      </c>
      <c r="AF94" s="22">
        <f t="shared" si="2"/>
        <v>83981036</v>
      </c>
      <c r="AG94" s="22">
        <f t="shared" si="3"/>
        <v>-8519124</v>
      </c>
      <c r="AH94" s="23">
        <f>'Revenue &amp; Demand'!P258</f>
        <v>0</v>
      </c>
      <c r="AI94" s="24">
        <f>'Revenue &amp; Demand'!Q258</f>
        <v>0</v>
      </c>
      <c r="AJ94" s="24">
        <f>'Manufacturing &amp; Production'!J298</f>
        <v>0</v>
      </c>
      <c r="AK94" s="105">
        <f t="shared" si="4"/>
        <v>45901</v>
      </c>
      <c r="AL94" s="107">
        <f t="shared" si="5"/>
        <v>3842</v>
      </c>
      <c r="AM94" s="107" t="str">
        <f t="shared" si="6"/>
        <v/>
      </c>
    </row>
    <row r="95" ht="19.5" customHeight="1">
      <c r="A95" s="15">
        <v>45931.0</v>
      </c>
      <c r="B95" s="18">
        <f t="shared" si="1"/>
        <v>2025</v>
      </c>
      <c r="C95" s="19">
        <f>'Revenue &amp; Demand'!C259</f>
        <v>4418</v>
      </c>
      <c r="D95" s="19">
        <f>'Revenue &amp; Demand'!F259</f>
        <v>54</v>
      </c>
      <c r="E95" s="21">
        <f>'Revenue &amp; Demand'!E259</f>
        <v>6626819</v>
      </c>
      <c r="F95" s="21">
        <f>'Revenue &amp; Demand'!H259</f>
        <v>1828231</v>
      </c>
      <c r="G95" s="21">
        <f>'Revenue &amp; Demand'!J259</f>
        <v>205882</v>
      </c>
      <c r="H95" s="21">
        <f>'Manufacturing &amp; Production'!F299</f>
        <v>1457900</v>
      </c>
      <c r="I95" s="21">
        <f>'Manufacturing &amp; Production'!G299</f>
        <v>530146</v>
      </c>
      <c r="J95" s="21">
        <f>'Workforce &amp; Expenses'!M351</f>
        <v>786139</v>
      </c>
      <c r="K95" s="21">
        <f>'Manufacturing &amp; Production'!K299</f>
        <v>16471</v>
      </c>
      <c r="L95" s="21">
        <f>'Clinical Trials &amp; R&amp;D'!F299</f>
        <v>3722944</v>
      </c>
      <c r="M95" s="21">
        <f>'Clinical Trials &amp; R&amp;D'!I299</f>
        <v>2094156</v>
      </c>
      <c r="N95" s="21">
        <f>'Workforce &amp; Expenses'!P351</f>
        <v>3698194</v>
      </c>
      <c r="O95" s="21">
        <f>'Workforce &amp; Expenses'!S351</f>
        <v>2310701</v>
      </c>
      <c r="P95" s="21">
        <f>'Funding &amp; Cap'!F154</f>
        <v>619469</v>
      </c>
      <c r="Q95" s="21">
        <f>'Working Capital &amp; Assets'!B98</f>
        <v>583333</v>
      </c>
      <c r="R95" s="21">
        <f>'Funding &amp; Cap'!H154</f>
        <v>608108</v>
      </c>
      <c r="S95" s="21">
        <f>'Working Capital &amp; Assets'!C98</f>
        <v>0</v>
      </c>
      <c r="T95" s="21">
        <f>'Working Capital &amp; Assets'!D98</f>
        <v>1126761</v>
      </c>
      <c r="U95" s="21">
        <f>'Funding &amp; Cap'!B154</f>
        <v>0</v>
      </c>
      <c r="V95" s="21">
        <f>'Funding &amp; Cap'!C154</f>
        <v>0</v>
      </c>
      <c r="W95" s="21">
        <f>'Funding &amp; Cap'!D154</f>
        <v>0</v>
      </c>
      <c r="X95" s="21">
        <f>'Working Capital &amp; Assets'!E98</f>
        <v>12956920</v>
      </c>
      <c r="Y95" s="21">
        <f>'Working Capital &amp; Assets'!F98</f>
        <v>5534661</v>
      </c>
      <c r="Z95" s="21">
        <f>'Working Capital &amp; Assets'!G98</f>
        <v>5102081</v>
      </c>
      <c r="AA95" s="21">
        <f>'Working Capital &amp; Assets'!H98</f>
        <v>5644094</v>
      </c>
      <c r="AB95" s="21">
        <f>'Working Capital &amp; Assets'!I98</f>
        <v>13471059</v>
      </c>
      <c r="AC95" s="21">
        <f>'Working Capital &amp; Assets'!J98</f>
        <v>6681504</v>
      </c>
      <c r="AD95" s="21">
        <f>MIN(AE95,SUMIFS($W$2:$W$181,$A$2:$A$181,"&gt;"&amp;A95,$A$2:$A$181,"&lt;="&amp;EDATE(A95,12))+IF(AND(DATE(2033,12,1)&gt;A95,DATE(2033,12,1)&lt;=EDATE(A95,12)),'Funding &amp; Cap'!$B$200,0))</f>
        <v>0</v>
      </c>
      <c r="AE95" s="22">
        <f>'Funding &amp; Cap'!Q154</f>
        <v>97000000</v>
      </c>
      <c r="AF95" s="22">
        <f t="shared" si="2"/>
        <v>75971204</v>
      </c>
      <c r="AG95" s="22">
        <f t="shared" si="3"/>
        <v>-8009832</v>
      </c>
      <c r="AH95" s="23">
        <f>'Revenue &amp; Demand'!P259</f>
        <v>0</v>
      </c>
      <c r="AI95" s="24">
        <f>'Revenue &amp; Demand'!Q259</f>
        <v>0</v>
      </c>
      <c r="AJ95" s="24">
        <f>'Manufacturing &amp; Production'!J299</f>
        <v>0</v>
      </c>
      <c r="AK95" s="105">
        <f t="shared" si="4"/>
        <v>45931</v>
      </c>
      <c r="AL95" s="107">
        <f t="shared" si="5"/>
        <v>4418</v>
      </c>
      <c r="AM95" s="107" t="str">
        <f t="shared" si="6"/>
        <v/>
      </c>
    </row>
    <row r="96" ht="19.5" customHeight="1">
      <c r="A96" s="15">
        <v>45962.0</v>
      </c>
      <c r="B96" s="18">
        <f t="shared" si="1"/>
        <v>2025</v>
      </c>
      <c r="C96" s="19">
        <f>'Revenue &amp; Demand'!C260</f>
        <v>4571</v>
      </c>
      <c r="D96" s="19">
        <f>'Revenue &amp; Demand'!F260</f>
        <v>56</v>
      </c>
      <c r="E96" s="21">
        <f>'Revenue &amp; Demand'!E260</f>
        <v>6856209</v>
      </c>
      <c r="F96" s="21">
        <f>'Revenue &amp; Demand'!H260</f>
        <v>1925170</v>
      </c>
      <c r="G96" s="21">
        <f>'Revenue &amp; Demand'!J260</f>
        <v>205882</v>
      </c>
      <c r="H96" s="21">
        <f>'Manufacturing &amp; Production'!F300</f>
        <v>1508366</v>
      </c>
      <c r="I96" s="21">
        <f>'Manufacturing &amp; Production'!G300</f>
        <v>548497</v>
      </c>
      <c r="J96" s="21">
        <f>'Workforce &amp; Expenses'!M352</f>
        <v>827823</v>
      </c>
      <c r="K96" s="21">
        <f>'Manufacturing &amp; Production'!K300</f>
        <v>16471</v>
      </c>
      <c r="L96" s="21">
        <f>'Clinical Trials &amp; R&amp;D'!F300</f>
        <v>3920346</v>
      </c>
      <c r="M96" s="21">
        <f>'Clinical Trials &amp; R&amp;D'!I300</f>
        <v>2205195</v>
      </c>
      <c r="N96" s="21">
        <f>'Workforce &amp; Expenses'!P352</f>
        <v>3887564</v>
      </c>
      <c r="O96" s="21">
        <f>'Workforce &amp; Expenses'!S352</f>
        <v>2358999</v>
      </c>
      <c r="P96" s="21">
        <f>'Funding &amp; Cap'!F155</f>
        <v>629794</v>
      </c>
      <c r="Q96" s="21">
        <f>'Working Capital &amp; Assets'!B99</f>
        <v>583333</v>
      </c>
      <c r="R96" s="21">
        <f>'Funding &amp; Cap'!H155</f>
        <v>608108</v>
      </c>
      <c r="S96" s="21">
        <f>'Working Capital &amp; Assets'!C99</f>
        <v>0</v>
      </c>
      <c r="T96" s="21">
        <f>'Working Capital &amp; Assets'!D99</f>
        <v>1139280</v>
      </c>
      <c r="U96" s="21">
        <f>'Funding &amp; Cap'!B155</f>
        <v>0</v>
      </c>
      <c r="V96" s="21">
        <f>'Funding &amp; Cap'!C155</f>
        <v>0</v>
      </c>
      <c r="W96" s="21">
        <f>'Funding &amp; Cap'!D155</f>
        <v>0</v>
      </c>
      <c r="X96" s="21">
        <f>'Working Capital &amp; Assets'!E99</f>
        <v>13672029</v>
      </c>
      <c r="Y96" s="21">
        <f>'Working Capital &amp; Assets'!F99</f>
        <v>5879807</v>
      </c>
      <c r="Z96" s="21">
        <f>'Working Capital &amp; Assets'!G99</f>
        <v>5364240</v>
      </c>
      <c r="AA96" s="21">
        <f>'Working Capital &amp; Assets'!H99</f>
        <v>5906317</v>
      </c>
      <c r="AB96" s="21">
        <f>'Working Capital &amp; Assets'!I99</f>
        <v>14087757</v>
      </c>
      <c r="AC96" s="21">
        <f>'Working Capital &amp; Assets'!J99</f>
        <v>6812360</v>
      </c>
      <c r="AD96" s="21">
        <f>MIN(AE96,SUMIFS($W$2:$W$181,$A$2:$A$181,"&gt;"&amp;A96,$A$2:$A$181,"&lt;="&amp;EDATE(A96,12))+IF(AND(DATE(2033,12,1)&gt;A96,DATE(2033,12,1)&lt;=EDATE(A96,12)),'Funding &amp; Cap'!$B$200,0))</f>
        <v>0</v>
      </c>
      <c r="AE96" s="22">
        <f>'Funding &amp; Cap'!Q155</f>
        <v>97000000</v>
      </c>
      <c r="AF96" s="22">
        <f t="shared" si="2"/>
        <v>67625179</v>
      </c>
      <c r="AG96" s="22">
        <f t="shared" si="3"/>
        <v>-8346025</v>
      </c>
      <c r="AH96" s="23">
        <f>'Revenue &amp; Demand'!P260</f>
        <v>0</v>
      </c>
      <c r="AI96" s="24">
        <f>'Revenue &amp; Demand'!Q260</f>
        <v>0</v>
      </c>
      <c r="AJ96" s="24">
        <f>'Manufacturing &amp; Production'!J300</f>
        <v>0</v>
      </c>
      <c r="AK96" s="105">
        <f t="shared" si="4"/>
        <v>45962</v>
      </c>
      <c r="AL96" s="107">
        <f t="shared" si="5"/>
        <v>4571</v>
      </c>
      <c r="AM96" s="107" t="str">
        <f t="shared" si="6"/>
        <v/>
      </c>
    </row>
    <row r="97" ht="19.5" customHeight="1">
      <c r="A97" s="15">
        <v>45992.0</v>
      </c>
      <c r="B97" s="18">
        <f t="shared" si="1"/>
        <v>2025</v>
      </c>
      <c r="C97" s="19">
        <f>'Revenue &amp; Demand'!C261</f>
        <v>4724</v>
      </c>
      <c r="D97" s="19">
        <f>'Revenue &amp; Demand'!F261</f>
        <v>58</v>
      </c>
      <c r="E97" s="21">
        <f>'Revenue &amp; Demand'!E261</f>
        <v>7085598</v>
      </c>
      <c r="F97" s="21">
        <f>'Revenue &amp; Demand'!H261</f>
        <v>2022109</v>
      </c>
      <c r="G97" s="21">
        <f>'Revenue &amp; Demand'!J261</f>
        <v>1492649</v>
      </c>
      <c r="H97" s="21">
        <f>'Manufacturing &amp; Production'!F301</f>
        <v>1558830</v>
      </c>
      <c r="I97" s="21">
        <f>'Manufacturing &amp; Production'!G301</f>
        <v>566848</v>
      </c>
      <c r="J97" s="21">
        <f>'Workforce &amp; Expenses'!M353</f>
        <v>869508</v>
      </c>
      <c r="K97" s="21">
        <f>'Manufacturing &amp; Production'!K301</f>
        <v>119409</v>
      </c>
      <c r="L97" s="21">
        <f>'Clinical Trials &amp; R&amp;D'!F301</f>
        <v>4117748</v>
      </c>
      <c r="M97" s="21">
        <f>'Clinical Trials &amp; R&amp;D'!I301</f>
        <v>2316233</v>
      </c>
      <c r="N97" s="21">
        <f>'Workforce &amp; Expenses'!P353</f>
        <v>4076933</v>
      </c>
      <c r="O97" s="21">
        <f>'Workforce &amp; Expenses'!S353</f>
        <v>2419258</v>
      </c>
      <c r="P97" s="21">
        <f>'Funding &amp; Cap'!F156</f>
        <v>640116</v>
      </c>
      <c r="Q97" s="21">
        <f>'Working Capital &amp; Assets'!B100</f>
        <v>583337</v>
      </c>
      <c r="R97" s="21">
        <f>'Funding &amp; Cap'!H156</f>
        <v>608110</v>
      </c>
      <c r="S97" s="21">
        <f>'Working Capital &amp; Assets'!C100</f>
        <v>0</v>
      </c>
      <c r="T97" s="21">
        <f>'Working Capital &amp; Assets'!D100</f>
        <v>1151800</v>
      </c>
      <c r="U97" s="21">
        <f>'Funding &amp; Cap'!B156</f>
        <v>0</v>
      </c>
      <c r="V97" s="21">
        <f>'Funding &amp; Cap'!C156</f>
        <v>0</v>
      </c>
      <c r="W97" s="21">
        <f>'Funding &amp; Cap'!D156</f>
        <v>0</v>
      </c>
      <c r="X97" s="21">
        <f>'Working Capital &amp; Assets'!E100</f>
        <v>14421918</v>
      </c>
      <c r="Y97" s="21">
        <f>'Working Capital &amp; Assets'!F100</f>
        <v>6240000</v>
      </c>
      <c r="Z97" s="21">
        <f>'Working Capital &amp; Assets'!G100</f>
        <v>5640000</v>
      </c>
      <c r="AA97" s="21">
        <f>'Working Capital &amp; Assets'!H100</f>
        <v>6183452</v>
      </c>
      <c r="AB97" s="21">
        <f>'Working Capital &amp; Assets'!I100</f>
        <v>14740000</v>
      </c>
      <c r="AC97" s="21">
        <f>'Working Capital &amp; Assets'!J100</f>
        <v>6960000</v>
      </c>
      <c r="AD97" s="21">
        <f>MIN(AE97,SUMIFS($W$2:$W$181,$A$2:$A$181,"&gt;"&amp;A97,$A$2:$A$181,"&lt;="&amp;EDATE(A97,12))+IF(AND(DATE(2033,12,1)&gt;A97,DATE(2033,12,1)&lt;=EDATE(A97,12)),'Funding &amp; Cap'!$B$200,0))</f>
        <v>0</v>
      </c>
      <c r="AE97" s="22">
        <f>'Funding &amp; Cap'!Q156</f>
        <v>97000000</v>
      </c>
      <c r="AF97" s="22">
        <f t="shared" si="2"/>
        <v>60112034</v>
      </c>
      <c r="AG97" s="22">
        <f t="shared" si="3"/>
        <v>-7513145</v>
      </c>
      <c r="AH97" s="23">
        <f>'Revenue &amp; Demand'!P261</f>
        <v>0</v>
      </c>
      <c r="AI97" s="24">
        <f>'Revenue &amp; Demand'!Q261</f>
        <v>0</v>
      </c>
      <c r="AJ97" s="24">
        <f>'Manufacturing &amp; Production'!J301</f>
        <v>0</v>
      </c>
      <c r="AK97" s="105">
        <f t="shared" si="4"/>
        <v>45992</v>
      </c>
      <c r="AL97" s="107">
        <f t="shared" si="5"/>
        <v>4724</v>
      </c>
      <c r="AM97" s="107">
        <f t="shared" si="6"/>
        <v>4724</v>
      </c>
    </row>
    <row r="98" ht="19.5" customHeight="1">
      <c r="A98" s="139">
        <v>46023.0</v>
      </c>
      <c r="B98" s="140">
        <f t="shared" si="1"/>
        <v>2026</v>
      </c>
      <c r="C98" s="141">
        <f>'Revenue &amp; Demand'!C262</f>
        <v>4754</v>
      </c>
      <c r="D98" s="141">
        <f>'Revenue &amp; Demand'!F262</f>
        <v>59</v>
      </c>
      <c r="E98" s="142">
        <f>'Revenue &amp; Demand'!E262</f>
        <v>7131000</v>
      </c>
      <c r="F98" s="142">
        <f>'Revenue &amp; Demand'!H262</f>
        <v>2831970</v>
      </c>
      <c r="G98" s="142">
        <f>'Revenue &amp; Demand'!J262</f>
        <v>205882</v>
      </c>
      <c r="H98" s="142">
        <f>'Manufacturing &amp; Production'!F302</f>
        <v>1966713</v>
      </c>
      <c r="I98" s="142">
        <f>'Manufacturing &amp; Production'!G302</f>
        <v>570480</v>
      </c>
      <c r="J98" s="142">
        <f>'Workforce &amp; Expenses'!M354</f>
        <v>1045452</v>
      </c>
      <c r="K98" s="142">
        <f>'Manufacturing &amp; Production'!K302</f>
        <v>16471</v>
      </c>
      <c r="L98" s="142">
        <f>'Clinical Trials &amp; R&amp;D'!F302</f>
        <v>6167770</v>
      </c>
      <c r="M98" s="142">
        <f>'Clinical Trials &amp; R&amp;D'!I302</f>
        <v>4189174</v>
      </c>
      <c r="N98" s="142">
        <f>'Workforce &amp; Expenses'!P354</f>
        <v>3917386</v>
      </c>
      <c r="O98" s="142">
        <f>'Workforce &amp; Expenses'!S354</f>
        <v>3629032</v>
      </c>
      <c r="P98" s="142">
        <f>'Workforce &amp; Expenses'!Y354</f>
        <v>922075</v>
      </c>
      <c r="Q98" s="142">
        <f>'Working Capital &amp; Assets'!B104</f>
        <v>816666</v>
      </c>
      <c r="R98" s="142">
        <f>'Funding &amp; Cap'!H157</f>
        <v>687083</v>
      </c>
      <c r="S98" s="142">
        <f>'Working Capital &amp; Assets'!C104</f>
        <v>0</v>
      </c>
      <c r="T98" s="142">
        <f>'Working Capital &amp; Assets'!D104</f>
        <v>1327775</v>
      </c>
      <c r="U98" s="142">
        <f>'Funding &amp; Cap'!B157</f>
        <v>0</v>
      </c>
      <c r="V98" s="142">
        <f>'Funding &amp; Cap'!C157</f>
        <v>0</v>
      </c>
      <c r="W98" s="142">
        <f>'Funding &amp; Cap'!D157</f>
        <v>0</v>
      </c>
      <c r="X98" s="142">
        <f>'Working Capital &amp; Assets'!E104</f>
        <v>12741677</v>
      </c>
      <c r="Y98" s="142">
        <f>'Working Capital &amp; Assets'!F104</f>
        <v>6064369</v>
      </c>
      <c r="Z98" s="142">
        <f>'Working Capital &amp; Assets'!G104</f>
        <v>5300182</v>
      </c>
      <c r="AA98" s="142">
        <f>'Working Capital &amp; Assets'!H104</f>
        <v>6600326</v>
      </c>
      <c r="AB98" s="142">
        <f>'Working Capital &amp; Assets'!I104</f>
        <v>15961986</v>
      </c>
      <c r="AC98" s="142">
        <f>'Working Capital &amp; Assets'!J104</f>
        <v>8979442</v>
      </c>
      <c r="AD98" s="142">
        <f>MIN(AE98,SUMIFS($W$2:$W$181,$A$2:$A$181,"&gt;"&amp;A98,$A$2:$A$181,"&lt;="&amp;EDATE(A98,12))+IF(AND(DATE(2033,12,1)&gt;A98,DATE(2033,12,1)&lt;=EDATE(A98,12)),'Funding &amp; Cap'!$B$200,0))</f>
        <v>0</v>
      </c>
      <c r="AE98" s="143">
        <f>'Funding &amp; Cap'!Q157</f>
        <v>97000000</v>
      </c>
      <c r="AF98" s="143">
        <f t="shared" si="2"/>
        <v>52617542</v>
      </c>
      <c r="AG98" s="143">
        <f t="shared" ref="AG98:AG181" si="7">SUM(E98:G98)+AI98-SUM(H98:S98)-AJ98+P98+Q98-(X98-X97)-(Y98-Y97)-(Z98-Z97)+(AA98-AA97)+(AB98-AB97)+(AC98-AC97)-T98+V98-W98</f>
        <v>-7494492</v>
      </c>
      <c r="AH98" s="144">
        <f>'Revenue &amp; Demand'!P262</f>
        <v>0</v>
      </c>
      <c r="AI98" s="145">
        <f>'Revenue &amp; Demand'!Q262</f>
        <v>0</v>
      </c>
      <c r="AJ98" s="145">
        <f>'Manufacturing &amp; Production'!J302</f>
        <v>0</v>
      </c>
      <c r="AK98" s="105">
        <f t="shared" si="4"/>
        <v>46023</v>
      </c>
      <c r="AL98" s="107" t="str">
        <f t="shared" si="5"/>
        <v/>
      </c>
      <c r="AM98" s="107">
        <f t="shared" si="6"/>
        <v>4754</v>
      </c>
    </row>
    <row r="99" ht="19.5" customHeight="1">
      <c r="A99" s="139">
        <v>46054.0</v>
      </c>
      <c r="B99" s="140">
        <f t="shared" si="1"/>
        <v>2026</v>
      </c>
      <c r="C99" s="141">
        <f>'Revenue &amp; Demand'!C263</f>
        <v>4882</v>
      </c>
      <c r="D99" s="141">
        <f>'Revenue &amp; Demand'!F263</f>
        <v>61</v>
      </c>
      <c r="E99" s="142">
        <f>'Revenue &amp; Demand'!E263</f>
        <v>7323000</v>
      </c>
      <c r="F99" s="142">
        <f>'Revenue &amp; Demand'!H263</f>
        <v>2906536</v>
      </c>
      <c r="G99" s="142">
        <f>'Revenue &amp; Demand'!J263</f>
        <v>205882</v>
      </c>
      <c r="H99" s="142">
        <f>'Manufacturing &amp; Production'!F303</f>
        <v>1964464</v>
      </c>
      <c r="I99" s="142">
        <f>'Manufacturing &amp; Production'!G303</f>
        <v>585840</v>
      </c>
      <c r="J99" s="142">
        <f>'Workforce &amp; Expenses'!M355</f>
        <v>1085501</v>
      </c>
      <c r="K99" s="142">
        <f>'Manufacturing &amp; Production'!K303</f>
        <v>16471</v>
      </c>
      <c r="L99" s="142">
        <f>'Clinical Trials &amp; R&amp;D'!F303</f>
        <v>6143630</v>
      </c>
      <c r="M99" s="142">
        <f>'Clinical Trials &amp; R&amp;D'!I303</f>
        <v>4230569</v>
      </c>
      <c r="N99" s="142">
        <f>'Workforce &amp; Expenses'!P355</f>
        <v>3900001</v>
      </c>
      <c r="O99" s="142">
        <f>'Workforce &amp; Expenses'!S355</f>
        <v>3619141</v>
      </c>
      <c r="P99" s="142">
        <f>'Workforce &amp; Expenses'!Y355</f>
        <v>940781</v>
      </c>
      <c r="Q99" s="142">
        <f>'Working Capital &amp; Assets'!B105</f>
        <v>816666</v>
      </c>
      <c r="R99" s="142">
        <f>'Funding &amp; Cap'!H158</f>
        <v>687083</v>
      </c>
      <c r="S99" s="142">
        <f>'Working Capital &amp; Assets'!C105</f>
        <v>0</v>
      </c>
      <c r="T99" s="142">
        <f>'Working Capital &amp; Assets'!D105</f>
        <v>1368805</v>
      </c>
      <c r="U99" s="142">
        <f>'Funding &amp; Cap'!B158</f>
        <v>155000000</v>
      </c>
      <c r="V99" s="142">
        <f>'Funding &amp; Cap'!C158</f>
        <v>0</v>
      </c>
      <c r="W99" s="142">
        <f>'Funding &amp; Cap'!D158</f>
        <v>0</v>
      </c>
      <c r="X99" s="142">
        <f>'Working Capital &amp; Assets'!E105</f>
        <v>13734100</v>
      </c>
      <c r="Y99" s="142">
        <f>'Working Capital &amp; Assets'!F105</f>
        <v>6537591</v>
      </c>
      <c r="Z99" s="142">
        <f>'Working Capital &amp; Assets'!G105</f>
        <v>5655590</v>
      </c>
      <c r="AA99" s="142">
        <f>'Working Capital &amp; Assets'!H105</f>
        <v>6898881</v>
      </c>
      <c r="AB99" s="142">
        <f>'Working Capital &amp; Assets'!I105</f>
        <v>16470279</v>
      </c>
      <c r="AC99" s="142">
        <f>'Working Capital &amp; Assets'!J105</f>
        <v>9214526</v>
      </c>
      <c r="AD99" s="142">
        <f>MIN(AE99,SUMIFS($W$2:$W$181,$A$2:$A$181,"&gt;"&amp;A99,$A$2:$A$181,"&lt;="&amp;EDATE(A99,12))+IF(AND(DATE(2033,12,1)&gt;A99,DATE(2033,12,1)&lt;=EDATE(A99,12)),'Funding &amp; Cap'!$B$200,0))</f>
        <v>0</v>
      </c>
      <c r="AE99" s="143">
        <f>'Funding &amp; Cap'!Q158</f>
        <v>97000000</v>
      </c>
      <c r="AF99" s="143">
        <f t="shared" si="2"/>
        <v>193672334</v>
      </c>
      <c r="AG99" s="143">
        <f t="shared" si="7"/>
        <v>-13945208</v>
      </c>
      <c r="AH99" s="144">
        <f>'Revenue &amp; Demand'!P263</f>
        <v>0</v>
      </c>
      <c r="AI99" s="145">
        <f>'Revenue &amp; Demand'!Q263</f>
        <v>0</v>
      </c>
      <c r="AJ99" s="145">
        <f>'Manufacturing &amp; Production'!J303</f>
        <v>0</v>
      </c>
      <c r="AK99" s="105">
        <f t="shared" si="4"/>
        <v>46054</v>
      </c>
      <c r="AL99" s="107" t="str">
        <f t="shared" si="5"/>
        <v/>
      </c>
      <c r="AM99" s="107">
        <f t="shared" si="6"/>
        <v>4882</v>
      </c>
    </row>
    <row r="100" ht="19.5" customHeight="1">
      <c r="A100" s="139">
        <v>46082.0</v>
      </c>
      <c r="B100" s="140">
        <f t="shared" si="1"/>
        <v>2026</v>
      </c>
      <c r="C100" s="141">
        <f>'Revenue &amp; Demand'!C264</f>
        <v>5134</v>
      </c>
      <c r="D100" s="141">
        <f>'Revenue &amp; Demand'!F264</f>
        <v>64</v>
      </c>
      <c r="E100" s="142">
        <f>'Revenue &amp; Demand'!E264</f>
        <v>7701000</v>
      </c>
      <c r="F100" s="142">
        <f>'Revenue &amp; Demand'!H264</f>
        <v>2855035</v>
      </c>
      <c r="G100" s="142">
        <f>'Revenue &amp; Demand'!J264</f>
        <v>1286765</v>
      </c>
      <c r="H100" s="142">
        <f>'Manufacturing &amp; Production'!F304</f>
        <v>2027731</v>
      </c>
      <c r="I100" s="142">
        <f>'Manufacturing &amp; Production'!G304</f>
        <v>616080</v>
      </c>
      <c r="J100" s="142">
        <f>'Workforce &amp; Expenses'!M356</f>
        <v>1098257</v>
      </c>
      <c r="K100" s="142">
        <f>'Manufacturing &amp; Production'!K304</f>
        <v>102941</v>
      </c>
      <c r="L100" s="142">
        <f>'Clinical Trials &amp; R&amp;D'!F304</f>
        <v>6161735</v>
      </c>
      <c r="M100" s="142">
        <f>'Clinical Trials &amp; R&amp;D'!I304</f>
        <v>4271964</v>
      </c>
      <c r="N100" s="142">
        <f>'Workforce &amp; Expenses'!P356</f>
        <v>3853315</v>
      </c>
      <c r="O100" s="142">
        <f>'Workforce &amp; Expenses'!S356</f>
        <v>3598562</v>
      </c>
      <c r="P100" s="142">
        <f>'Workforce &amp; Expenses'!Y356</f>
        <v>959512</v>
      </c>
      <c r="Q100" s="142">
        <f>'Working Capital &amp; Assets'!B106</f>
        <v>816666</v>
      </c>
      <c r="R100" s="142">
        <f>'Funding &amp; Cap'!H159</f>
        <v>687083</v>
      </c>
      <c r="S100" s="142">
        <f>'Working Capital &amp; Assets'!C106</f>
        <v>0</v>
      </c>
      <c r="T100" s="142">
        <f>'Working Capital &amp; Assets'!D106</f>
        <v>3449623</v>
      </c>
      <c r="U100" s="142">
        <f>'Funding &amp; Cap'!B159</f>
        <v>0</v>
      </c>
      <c r="V100" s="142">
        <f>'Funding &amp; Cap'!C159</f>
        <v>0</v>
      </c>
      <c r="W100" s="142">
        <f>'Funding &amp; Cap'!D159</f>
        <v>0</v>
      </c>
      <c r="X100" s="142">
        <f>'Working Capital &amp; Assets'!E106</f>
        <v>13988514</v>
      </c>
      <c r="Y100" s="142">
        <f>'Working Capital &amp; Assets'!F106</f>
        <v>7035149</v>
      </c>
      <c r="Z100" s="142">
        <f>'Working Capital &amp; Assets'!G106</f>
        <v>5712598</v>
      </c>
      <c r="AA100" s="142">
        <f>'Working Capital &amp; Assets'!H106</f>
        <v>7274535</v>
      </c>
      <c r="AB100" s="142">
        <f>'Working Capital &amp; Assets'!I106</f>
        <v>17098451</v>
      </c>
      <c r="AC100" s="142">
        <f>'Working Capital &amp; Assets'!J106</f>
        <v>8228707</v>
      </c>
      <c r="AD100" s="142">
        <f>MIN(AE100,SUMIFS($W$2:$W$181,$A$2:$A$181,"&gt;"&amp;A100,$A$2:$A$181,"&lt;="&amp;EDATE(A100,12))+IF(AND(DATE(2033,12,1)&gt;A100,DATE(2033,12,1)&lt;=EDATE(A100,12)),'Funding &amp; Cap'!$B$200,0))</f>
        <v>0</v>
      </c>
      <c r="AE100" s="143">
        <f>'Funding &amp; Cap'!Q159</f>
        <v>97000000</v>
      </c>
      <c r="AF100" s="143">
        <f t="shared" si="2"/>
        <v>178856870</v>
      </c>
      <c r="AG100" s="143">
        <f t="shared" si="7"/>
        <v>-14815464</v>
      </c>
      <c r="AH100" s="144">
        <f>'Revenue &amp; Demand'!P264</f>
        <v>0</v>
      </c>
      <c r="AI100" s="145">
        <f>'Revenue &amp; Demand'!Q264</f>
        <v>0</v>
      </c>
      <c r="AJ100" s="145">
        <f>'Manufacturing &amp; Production'!J304</f>
        <v>0</v>
      </c>
      <c r="AK100" s="105">
        <f t="shared" si="4"/>
        <v>46082</v>
      </c>
      <c r="AL100" s="107" t="str">
        <f t="shared" si="5"/>
        <v/>
      </c>
      <c r="AM100" s="107">
        <f t="shared" si="6"/>
        <v>5134</v>
      </c>
    </row>
    <row r="101" ht="19.5" customHeight="1">
      <c r="A101" s="139">
        <v>46113.0</v>
      </c>
      <c r="B101" s="140">
        <f t="shared" si="1"/>
        <v>2026</v>
      </c>
      <c r="C101" s="141">
        <f>'Revenue &amp; Demand'!C265</f>
        <v>5365</v>
      </c>
      <c r="D101" s="141">
        <f>'Revenue &amp; Demand'!F265</f>
        <v>65</v>
      </c>
      <c r="E101" s="142">
        <f>'Revenue &amp; Demand'!E265</f>
        <v>8047500</v>
      </c>
      <c r="F101" s="142">
        <f>'Revenue &amp; Demand'!H265</f>
        <v>2868887</v>
      </c>
      <c r="G101" s="142">
        <f>'Revenue &amp; Demand'!J265</f>
        <v>205882</v>
      </c>
      <c r="H101" s="142">
        <f>'Manufacturing &amp; Production'!F305</f>
        <v>2033516</v>
      </c>
      <c r="I101" s="142">
        <f>'Manufacturing &amp; Production'!G305</f>
        <v>643800</v>
      </c>
      <c r="J101" s="142">
        <f>'Workforce &amp; Expenses'!M357</f>
        <v>1111599</v>
      </c>
      <c r="K101" s="142">
        <f>'Manufacturing &amp; Production'!K305</f>
        <v>16471</v>
      </c>
      <c r="L101" s="142">
        <f>'Clinical Trials &amp; R&amp;D'!F305</f>
        <v>6228120</v>
      </c>
      <c r="M101" s="142">
        <f>'Clinical Trials &amp; R&amp;D'!I305</f>
        <v>4189174</v>
      </c>
      <c r="N101" s="142">
        <f>'Workforce &amp; Expenses'!P357</f>
        <v>3845722</v>
      </c>
      <c r="O101" s="142">
        <f>'Workforce &amp; Expenses'!S357</f>
        <v>3586215</v>
      </c>
      <c r="P101" s="142">
        <f>'Workforce &amp; Expenses'!Y357</f>
        <v>978266</v>
      </c>
      <c r="Q101" s="142">
        <f>'Working Capital &amp; Assets'!B107</f>
        <v>816666</v>
      </c>
      <c r="R101" s="142">
        <f>'Funding &amp; Cap'!H160</f>
        <v>687083</v>
      </c>
      <c r="S101" s="142">
        <f>'Working Capital &amp; Assets'!C107</f>
        <v>0</v>
      </c>
      <c r="T101" s="142">
        <f>'Working Capital &amp; Assets'!D107</f>
        <v>1376952</v>
      </c>
      <c r="U101" s="142">
        <f>'Funding &amp; Cap'!B160</f>
        <v>0</v>
      </c>
      <c r="V101" s="142">
        <f>'Funding &amp; Cap'!C160</f>
        <v>0</v>
      </c>
      <c r="W101" s="142">
        <f>'Funding &amp; Cap'!D160</f>
        <v>0</v>
      </c>
      <c r="X101" s="142">
        <f>'Working Capital &amp; Assets'!E107</f>
        <v>15854615</v>
      </c>
      <c r="Y101" s="142">
        <f>'Working Capital &amp; Assets'!F107</f>
        <v>7368545</v>
      </c>
      <c r="Z101" s="142">
        <f>'Working Capital &amp; Assets'!G107</f>
        <v>6429447</v>
      </c>
      <c r="AA101" s="142">
        <f>'Working Capital &amp; Assets'!H107</f>
        <v>7717252</v>
      </c>
      <c r="AB101" s="142">
        <f>'Working Capital &amp; Assets'!I107</f>
        <v>17796590</v>
      </c>
      <c r="AC101" s="142">
        <f>'Working Capital &amp; Assets'!J107</f>
        <v>9513683</v>
      </c>
      <c r="AD101" s="142">
        <f>MIN(AE101,SUMIFS($W$2:$W$181,$A$2:$A$181,"&gt;"&amp;A101,$A$2:$A$181,"&lt;="&amp;EDATE(A101,12))+IF(AND(DATE(2033,12,1)&gt;A101,DATE(2033,12,1)&lt;=EDATE(A101,12)),'Funding &amp; Cap'!$B$200,0))</f>
        <v>0</v>
      </c>
      <c r="AE101" s="143">
        <f>'Funding &amp; Cap'!Q160</f>
        <v>97000000</v>
      </c>
      <c r="AF101" s="143">
        <f t="shared" si="2"/>
        <v>165769973</v>
      </c>
      <c r="AG101" s="143">
        <f t="shared" si="7"/>
        <v>-13086897</v>
      </c>
      <c r="AH101" s="144">
        <f>'Revenue &amp; Demand'!P265</f>
        <v>0</v>
      </c>
      <c r="AI101" s="145">
        <f>'Revenue &amp; Demand'!Q265</f>
        <v>0</v>
      </c>
      <c r="AJ101" s="145">
        <f>'Manufacturing &amp; Production'!J305</f>
        <v>0</v>
      </c>
      <c r="AK101" s="105">
        <f t="shared" si="4"/>
        <v>46113</v>
      </c>
      <c r="AL101" s="107" t="str">
        <f t="shared" si="5"/>
        <v/>
      </c>
      <c r="AM101" s="107">
        <f t="shared" si="6"/>
        <v>5365</v>
      </c>
    </row>
    <row r="102" ht="19.5" customHeight="1">
      <c r="A102" s="139">
        <v>46143.0</v>
      </c>
      <c r="B102" s="140">
        <f t="shared" si="1"/>
        <v>2026</v>
      </c>
      <c r="C102" s="141">
        <f>'Revenue &amp; Demand'!C266</f>
        <v>5643</v>
      </c>
      <c r="D102" s="141">
        <f>'Revenue &amp; Demand'!F266</f>
        <v>68</v>
      </c>
      <c r="E102" s="142">
        <f>'Revenue &amp; Demand'!E266</f>
        <v>8464500</v>
      </c>
      <c r="F102" s="142">
        <f>'Revenue &amp; Demand'!H266</f>
        <v>2797662</v>
      </c>
      <c r="G102" s="142">
        <f>'Revenue &amp; Demand'!J266</f>
        <v>205882</v>
      </c>
      <c r="H102" s="142">
        <f>'Manufacturing &amp; Production'!F306</f>
        <v>2081804</v>
      </c>
      <c r="I102" s="142">
        <f>'Manufacturing &amp; Production'!G306</f>
        <v>677160</v>
      </c>
      <c r="J102" s="142">
        <f>'Workforce &amp; Expenses'!M358</f>
        <v>1139335</v>
      </c>
      <c r="K102" s="142">
        <f>'Manufacturing &amp; Production'!K306</f>
        <v>16471</v>
      </c>
      <c r="L102" s="142">
        <f>'Clinical Trials &amp; R&amp;D'!F306</f>
        <v>6203980</v>
      </c>
      <c r="M102" s="142">
        <f>'Clinical Trials &amp; R&amp;D'!I306</f>
        <v>4230569</v>
      </c>
      <c r="N102" s="142">
        <f>'Workforce &amp; Expenses'!P358</f>
        <v>3888347</v>
      </c>
      <c r="O102" s="142">
        <f>'Workforce &amp; Expenses'!S358</f>
        <v>3593452</v>
      </c>
      <c r="P102" s="142">
        <f>'Workforce &amp; Expenses'!Y358</f>
        <v>997044</v>
      </c>
      <c r="Q102" s="142">
        <f>'Working Capital &amp; Assets'!B108</f>
        <v>816666</v>
      </c>
      <c r="R102" s="142">
        <f>'Funding &amp; Cap'!H161</f>
        <v>687083</v>
      </c>
      <c r="S102" s="142">
        <f>'Working Capital &amp; Assets'!C108</f>
        <v>0</v>
      </c>
      <c r="T102" s="142">
        <f>'Working Capital &amp; Assets'!D108</f>
        <v>1418884</v>
      </c>
      <c r="U102" s="142">
        <f>'Funding &amp; Cap'!B161</f>
        <v>0</v>
      </c>
      <c r="V102" s="142">
        <f>'Funding &amp; Cap'!C161</f>
        <v>0</v>
      </c>
      <c r="W102" s="142">
        <f>'Funding &amp; Cap'!D161</f>
        <v>0</v>
      </c>
      <c r="X102" s="142">
        <f>'Working Capital &amp; Assets'!E108</f>
        <v>16860181</v>
      </c>
      <c r="Y102" s="142">
        <f>'Working Capital &amp; Assets'!F108</f>
        <v>7747151</v>
      </c>
      <c r="Z102" s="142">
        <f>'Working Capital &amp; Assets'!G108</f>
        <v>6795802</v>
      </c>
      <c r="AA102" s="142">
        <f>'Working Capital &amp; Assets'!H108</f>
        <v>8225069</v>
      </c>
      <c r="AB102" s="142">
        <f>'Working Capital &amp; Assets'!I108</f>
        <v>18648241</v>
      </c>
      <c r="AC102" s="142">
        <f>'Working Capital &amp; Assets'!J108</f>
        <v>9611505</v>
      </c>
      <c r="AD102" s="142">
        <f>MIN(AE102,SUMIFS($W$2:$W$181,$A$2:$A$181,"&gt;"&amp;A102,$A$2:$A$181,"&lt;="&amp;EDATE(A102,12))+IF(AND(DATE(2033,12,1)&gt;A102,DATE(2033,12,1)&lt;=EDATE(A102,12)),'Funding &amp; Cap'!$B$200,0))</f>
        <v>0</v>
      </c>
      <c r="AE102" s="143">
        <f>'Funding &amp; Cap'!Q161</f>
        <v>97000000</v>
      </c>
      <c r="AF102" s="143">
        <f t="shared" si="2"/>
        <v>153007695</v>
      </c>
      <c r="AG102" s="143">
        <f t="shared" si="7"/>
        <v>-12762278</v>
      </c>
      <c r="AH102" s="144">
        <f>'Revenue &amp; Demand'!P266</f>
        <v>0</v>
      </c>
      <c r="AI102" s="145">
        <f>'Revenue &amp; Demand'!Q266</f>
        <v>0</v>
      </c>
      <c r="AJ102" s="145">
        <f>'Manufacturing &amp; Production'!J306</f>
        <v>0</v>
      </c>
      <c r="AK102" s="105">
        <f t="shared" si="4"/>
        <v>46143</v>
      </c>
      <c r="AL102" s="107" t="str">
        <f t="shared" si="5"/>
        <v/>
      </c>
      <c r="AM102" s="107">
        <f t="shared" si="6"/>
        <v>5643</v>
      </c>
    </row>
    <row r="103" ht="19.5" customHeight="1">
      <c r="A103" s="139">
        <v>46174.0</v>
      </c>
      <c r="B103" s="140">
        <f t="shared" si="1"/>
        <v>2026</v>
      </c>
      <c r="C103" s="141">
        <f>'Revenue &amp; Demand'!C267</f>
        <v>5711</v>
      </c>
      <c r="D103" s="141">
        <f>'Revenue &amp; Demand'!F267</f>
        <v>70</v>
      </c>
      <c r="E103" s="142">
        <f>'Revenue &amp; Demand'!E267</f>
        <v>8566500</v>
      </c>
      <c r="F103" s="142">
        <f>'Revenue &amp; Demand'!H267</f>
        <v>2590912</v>
      </c>
      <c r="G103" s="142">
        <f>'Revenue &amp; Demand'!J267</f>
        <v>1286765</v>
      </c>
      <c r="H103" s="142">
        <f>'Manufacturing &amp; Production'!F307</f>
        <v>2100917</v>
      </c>
      <c r="I103" s="142">
        <f>'Manufacturing &amp; Production'!G307</f>
        <v>685320</v>
      </c>
      <c r="J103" s="142">
        <f>'Workforce &amp; Expenses'!M359</f>
        <v>1152107</v>
      </c>
      <c r="K103" s="142">
        <f>'Manufacturing &amp; Production'!K307</f>
        <v>102941</v>
      </c>
      <c r="L103" s="142">
        <f>'Clinical Trials &amp; R&amp;D'!F307</f>
        <v>6179840</v>
      </c>
      <c r="M103" s="142">
        <f>'Clinical Trials &amp; R&amp;D'!I307</f>
        <v>4271964</v>
      </c>
      <c r="N103" s="142">
        <f>'Workforce &amp; Expenses'!P359</f>
        <v>3918743</v>
      </c>
      <c r="O103" s="142">
        <f>'Workforce &amp; Expenses'!S359</f>
        <v>3613619</v>
      </c>
      <c r="P103" s="142">
        <f>'Workforce &amp; Expenses'!Y359</f>
        <v>1015846</v>
      </c>
      <c r="Q103" s="142">
        <f>'Working Capital &amp; Assets'!B109</f>
        <v>816666</v>
      </c>
      <c r="R103" s="142">
        <f>'Funding &amp; Cap'!H162</f>
        <v>687083</v>
      </c>
      <c r="S103" s="142">
        <f>'Working Capital &amp; Assets'!C109</f>
        <v>0</v>
      </c>
      <c r="T103" s="142">
        <f>'Working Capital &amp; Assets'!D109</f>
        <v>1461416</v>
      </c>
      <c r="U103" s="142">
        <f>'Funding &amp; Cap'!B162</f>
        <v>0</v>
      </c>
      <c r="V103" s="142">
        <f>'Funding &amp; Cap'!C162</f>
        <v>0</v>
      </c>
      <c r="W103" s="142">
        <f>'Funding &amp; Cap'!D162</f>
        <v>0</v>
      </c>
      <c r="X103" s="142">
        <f>'Working Capital &amp; Assets'!E109</f>
        <v>16286209</v>
      </c>
      <c r="Y103" s="142">
        <f>'Working Capital &amp; Assets'!F109</f>
        <v>7953000</v>
      </c>
      <c r="Z103" s="142">
        <f>'Working Capital &amp; Assets'!G109</f>
        <v>6528868</v>
      </c>
      <c r="AA103" s="142">
        <f>'Working Capital &amp; Assets'!H109</f>
        <v>8483435</v>
      </c>
      <c r="AB103" s="142">
        <f>'Working Capital &amp; Assets'!I109</f>
        <v>19476112</v>
      </c>
      <c r="AC103" s="142">
        <f>'Working Capital &amp; Assets'!J109</f>
        <v>8245307</v>
      </c>
      <c r="AD103" s="142">
        <f>MIN(AE103,SUMIFS($W$2:$W$181,$A$2:$A$181,"&gt;"&amp;A103,$A$2:$A$181,"&lt;="&amp;EDATE(A103,12))+IF(AND(DATE(2033,12,1)&gt;A103,DATE(2033,12,1)&lt;=EDATE(A103,12)),'Funding &amp; Cap'!$B$200,0))</f>
        <v>0</v>
      </c>
      <c r="AE103" s="143">
        <f>'Funding &amp; Cap'!Q162</f>
        <v>97000000</v>
      </c>
      <c r="AF103" s="143">
        <f t="shared" si="2"/>
        <v>141633018</v>
      </c>
      <c r="AG103" s="143">
        <f t="shared" si="7"/>
        <v>-11374677</v>
      </c>
      <c r="AH103" s="144">
        <f>'Revenue &amp; Demand'!P267</f>
        <v>0</v>
      </c>
      <c r="AI103" s="145">
        <f>'Revenue &amp; Demand'!Q267</f>
        <v>0</v>
      </c>
      <c r="AJ103" s="145">
        <f>'Manufacturing &amp; Production'!J307</f>
        <v>0</v>
      </c>
      <c r="AK103" s="105">
        <f t="shared" si="4"/>
        <v>46174</v>
      </c>
      <c r="AL103" s="107" t="str">
        <f t="shared" si="5"/>
        <v/>
      </c>
      <c r="AM103" s="107">
        <f t="shared" si="6"/>
        <v>5711</v>
      </c>
    </row>
    <row r="104" ht="19.5" customHeight="1">
      <c r="A104" s="139">
        <v>46204.0</v>
      </c>
      <c r="B104" s="140">
        <f t="shared" si="1"/>
        <v>2026</v>
      </c>
      <c r="C104" s="141">
        <f>'Revenue &amp; Demand'!C268</f>
        <v>6081</v>
      </c>
      <c r="D104" s="141">
        <f>'Revenue &amp; Demand'!F268</f>
        <v>71</v>
      </c>
      <c r="E104" s="142">
        <f>'Revenue &amp; Demand'!E268</f>
        <v>9121500</v>
      </c>
      <c r="F104" s="142">
        <f>'Revenue &amp; Demand'!H268</f>
        <v>2556039</v>
      </c>
      <c r="G104" s="142">
        <f>'Revenue &amp; Demand'!J268</f>
        <v>205882</v>
      </c>
      <c r="H104" s="142">
        <f>'Manufacturing &amp; Production'!F308</f>
        <v>2115766</v>
      </c>
      <c r="I104" s="142">
        <f>'Manufacturing &amp; Production'!G308</f>
        <v>729720</v>
      </c>
      <c r="J104" s="142">
        <f>'Workforce &amp; Expenses'!M360</f>
        <v>1191452</v>
      </c>
      <c r="K104" s="142">
        <f>'Manufacturing &amp; Production'!K308</f>
        <v>16471</v>
      </c>
      <c r="L104" s="142">
        <f>'Clinical Trials &amp; R&amp;D'!F308</f>
        <v>6246225</v>
      </c>
      <c r="M104" s="142">
        <f>'Clinical Trials &amp; R&amp;D'!I308</f>
        <v>4189174</v>
      </c>
      <c r="N104" s="142">
        <f>'Workforce &amp; Expenses'!P360</f>
        <v>3892381</v>
      </c>
      <c r="O104" s="142">
        <f>'Workforce &amp; Expenses'!S360</f>
        <v>3628175</v>
      </c>
      <c r="P104" s="142">
        <f>'Workforce &amp; Expenses'!Y360</f>
        <v>1034674</v>
      </c>
      <c r="Q104" s="142">
        <f>'Working Capital &amp; Assets'!B110</f>
        <v>816666</v>
      </c>
      <c r="R104" s="142">
        <f>'Funding &amp; Cap'!H163</f>
        <v>687083</v>
      </c>
      <c r="S104" s="142">
        <f>'Working Capital &amp; Assets'!C110</f>
        <v>0</v>
      </c>
      <c r="T104" s="142">
        <f>'Working Capital &amp; Assets'!D110</f>
        <v>1426128</v>
      </c>
      <c r="U104" s="142">
        <f>'Funding &amp; Cap'!B163</f>
        <v>0</v>
      </c>
      <c r="V104" s="142">
        <f>'Funding &amp; Cap'!C163</f>
        <v>0</v>
      </c>
      <c r="W104" s="142">
        <f>'Funding &amp; Cap'!D163</f>
        <v>0</v>
      </c>
      <c r="X104" s="142">
        <f>'Working Capital &amp; Assets'!E110</f>
        <v>18301254</v>
      </c>
      <c r="Y104" s="142">
        <f>'Working Capital &amp; Assets'!F110</f>
        <v>8276068</v>
      </c>
      <c r="Z104" s="142">
        <f>'Working Capital &amp; Assets'!G110</f>
        <v>7300183</v>
      </c>
      <c r="AA104" s="142">
        <f>'Working Capital &amp; Assets'!H110</f>
        <v>8986020</v>
      </c>
      <c r="AB104" s="142">
        <f>'Working Capital &amp; Assets'!I110</f>
        <v>20078235</v>
      </c>
      <c r="AC104" s="142">
        <f>'Working Capital &amp; Assets'!J110</f>
        <v>9325706</v>
      </c>
      <c r="AD104" s="142">
        <f>MIN(AE104,SUMIFS($W$2:$W$181,$A$2:$A$181,"&gt;"&amp;A104,$A$2:$A$181,"&lt;="&amp;EDATE(A104,12))+IF(AND(DATE(2033,12,1)&gt;A104,DATE(2033,12,1)&lt;=EDATE(A104,12)),'Funding &amp; Cap'!$B$200,0))</f>
        <v>0</v>
      </c>
      <c r="AE104" s="143">
        <f>'Funding &amp; Cap'!Q163</f>
        <v>97000000</v>
      </c>
      <c r="AF104" s="143">
        <f t="shared" si="2"/>
        <v>128469543</v>
      </c>
      <c r="AG104" s="143">
        <f t="shared" si="7"/>
        <v>-13163475</v>
      </c>
      <c r="AH104" s="144">
        <f>'Revenue &amp; Demand'!P268</f>
        <v>0</v>
      </c>
      <c r="AI104" s="145">
        <f>'Revenue &amp; Demand'!Q268</f>
        <v>0</v>
      </c>
      <c r="AJ104" s="145">
        <f>'Manufacturing &amp; Production'!J308</f>
        <v>0</v>
      </c>
      <c r="AK104" s="105">
        <f t="shared" si="4"/>
        <v>46204</v>
      </c>
      <c r="AL104" s="107" t="str">
        <f t="shared" si="5"/>
        <v/>
      </c>
      <c r="AM104" s="107">
        <f t="shared" si="6"/>
        <v>6081</v>
      </c>
    </row>
    <row r="105" ht="19.5" customHeight="1">
      <c r="A105" s="139">
        <v>46235.0</v>
      </c>
      <c r="B105" s="140">
        <f t="shared" si="1"/>
        <v>2026</v>
      </c>
      <c r="C105" s="141">
        <f>'Revenue &amp; Demand'!C269</f>
        <v>6301</v>
      </c>
      <c r="D105" s="141">
        <f>'Revenue &amp; Demand'!F269</f>
        <v>74</v>
      </c>
      <c r="E105" s="142">
        <f>'Revenue &amp; Demand'!E269</f>
        <v>9451500</v>
      </c>
      <c r="F105" s="142">
        <f>'Revenue &amp; Demand'!H269</f>
        <v>2527143</v>
      </c>
      <c r="G105" s="142">
        <f>'Revenue &amp; Demand'!J269</f>
        <v>205882</v>
      </c>
      <c r="H105" s="142">
        <f>'Manufacturing &amp; Production'!F309</f>
        <v>2157852</v>
      </c>
      <c r="I105" s="142">
        <f>'Manufacturing &amp; Production'!G309</f>
        <v>756120</v>
      </c>
      <c r="J105" s="142">
        <f>'Workforce &amp; Expenses'!M361</f>
        <v>1202334</v>
      </c>
      <c r="K105" s="142">
        <f>'Manufacturing &amp; Production'!K309</f>
        <v>16471</v>
      </c>
      <c r="L105" s="142">
        <f>'Clinical Trials &amp; R&amp;D'!F309</f>
        <v>6222085</v>
      </c>
      <c r="M105" s="142">
        <f>'Clinical Trials &amp; R&amp;D'!I309</f>
        <v>4230569</v>
      </c>
      <c r="N105" s="142">
        <f>'Workforce &amp; Expenses'!P361</f>
        <v>3847880</v>
      </c>
      <c r="O105" s="142">
        <f>'Workforce &amp; Expenses'!S361</f>
        <v>3623737</v>
      </c>
      <c r="P105" s="142">
        <f>'Workforce &amp; Expenses'!Y361</f>
        <v>1053524</v>
      </c>
      <c r="Q105" s="142">
        <f>'Working Capital &amp; Assets'!B111</f>
        <v>816666</v>
      </c>
      <c r="R105" s="142">
        <f>'Funding &amp; Cap'!H164</f>
        <v>687083</v>
      </c>
      <c r="S105" s="142">
        <f>'Working Capital &amp; Assets'!C111</f>
        <v>0</v>
      </c>
      <c r="T105" s="142">
        <f>'Working Capital &amp; Assets'!D111</f>
        <v>1468961</v>
      </c>
      <c r="U105" s="142">
        <f>'Funding &amp; Cap'!B164</f>
        <v>0</v>
      </c>
      <c r="V105" s="142">
        <f>'Funding &amp; Cap'!C164</f>
        <v>0</v>
      </c>
      <c r="W105" s="142">
        <f>'Funding &amp; Cap'!D164</f>
        <v>0</v>
      </c>
      <c r="X105" s="142">
        <f>'Working Capital &amp; Assets'!E111</f>
        <v>19102397</v>
      </c>
      <c r="Y105" s="142">
        <f>'Working Capital &amp; Assets'!F111</f>
        <v>8580892</v>
      </c>
      <c r="Z105" s="142">
        <f>'Working Capital &amp; Assets'!G111</f>
        <v>7584526</v>
      </c>
      <c r="AA105" s="142">
        <f>'Working Capital &amp; Assets'!H111</f>
        <v>9282948</v>
      </c>
      <c r="AB105" s="142">
        <f>'Working Capital &amp; Assets'!I111</f>
        <v>20478069</v>
      </c>
      <c r="AC105" s="142">
        <f>'Working Capital &amp; Assets'!J111</f>
        <v>9284442</v>
      </c>
      <c r="AD105" s="142">
        <f>MIN(AE105,SUMIFS($W$2:$W$181,$A$2:$A$181,"&gt;"&amp;A105,$A$2:$A$181,"&lt;="&amp;EDATE(A105,12))+IF(AND(DATE(2033,12,1)&gt;A105,DATE(2033,12,1)&lt;=EDATE(A105,12)),'Funding &amp; Cap'!$B$200,0))</f>
        <v>0</v>
      </c>
      <c r="AE105" s="143">
        <f>'Funding &amp; Cap'!Q164</f>
        <v>97000000</v>
      </c>
      <c r="AF105" s="143">
        <f t="shared" si="2"/>
        <v>115706164</v>
      </c>
      <c r="AG105" s="143">
        <f t="shared" si="7"/>
        <v>-12763379</v>
      </c>
      <c r="AH105" s="144">
        <f>'Revenue &amp; Demand'!P269</f>
        <v>0</v>
      </c>
      <c r="AI105" s="145">
        <f>'Revenue &amp; Demand'!Q269</f>
        <v>0</v>
      </c>
      <c r="AJ105" s="145">
        <f>'Manufacturing &amp; Production'!J309</f>
        <v>0</v>
      </c>
      <c r="AK105" s="105">
        <f t="shared" si="4"/>
        <v>46235</v>
      </c>
      <c r="AL105" s="107" t="str">
        <f t="shared" si="5"/>
        <v/>
      </c>
      <c r="AM105" s="107">
        <f t="shared" si="6"/>
        <v>6301</v>
      </c>
    </row>
    <row r="106" ht="19.5" customHeight="1">
      <c r="A106" s="139">
        <v>46266.0</v>
      </c>
      <c r="B106" s="140">
        <f t="shared" si="1"/>
        <v>2026</v>
      </c>
      <c r="C106" s="141">
        <f>'Revenue &amp; Demand'!C270</f>
        <v>6576</v>
      </c>
      <c r="D106" s="141">
        <f>'Revenue &amp; Demand'!F270</f>
        <v>76</v>
      </c>
      <c r="E106" s="142">
        <f>'Revenue &amp; Demand'!E270</f>
        <v>9864000</v>
      </c>
      <c r="F106" s="142">
        <f>'Revenue &amp; Demand'!H270</f>
        <v>2572308</v>
      </c>
      <c r="G106" s="142">
        <f>'Revenue &amp; Demand'!J270</f>
        <v>1286765</v>
      </c>
      <c r="H106" s="142">
        <f>'Manufacturing &amp; Production'!F310</f>
        <v>2167051</v>
      </c>
      <c r="I106" s="142">
        <f>'Manufacturing &amp; Production'!G310</f>
        <v>789120</v>
      </c>
      <c r="J106" s="142">
        <f>'Workforce &amp; Expenses'!M362</f>
        <v>1210114</v>
      </c>
      <c r="K106" s="142">
        <f>'Manufacturing &amp; Production'!K310</f>
        <v>102941</v>
      </c>
      <c r="L106" s="142">
        <f>'Clinical Trials &amp; R&amp;D'!F310</f>
        <v>6197945</v>
      </c>
      <c r="M106" s="142">
        <f>'Clinical Trials &amp; R&amp;D'!I310</f>
        <v>4271964</v>
      </c>
      <c r="N106" s="142">
        <f>'Workforce &amp; Expenses'!P362</f>
        <v>3850435</v>
      </c>
      <c r="O106" s="142">
        <f>'Workforce &amp; Expenses'!S362</f>
        <v>3604385</v>
      </c>
      <c r="P106" s="142">
        <f>'Workforce &amp; Expenses'!Y362</f>
        <v>1072400</v>
      </c>
      <c r="Q106" s="142">
        <f>'Working Capital &amp; Assets'!B112</f>
        <v>816666</v>
      </c>
      <c r="R106" s="142">
        <f>'Funding &amp; Cap'!H165</f>
        <v>687083</v>
      </c>
      <c r="S106" s="142">
        <f>'Working Capital &amp; Assets'!C112</f>
        <v>0</v>
      </c>
      <c r="T106" s="142">
        <f>'Working Capital &amp; Assets'!D112</f>
        <v>3551582</v>
      </c>
      <c r="U106" s="142">
        <f>'Funding &amp; Cap'!B165</f>
        <v>0</v>
      </c>
      <c r="V106" s="142">
        <f>'Funding &amp; Cap'!C165</f>
        <v>0</v>
      </c>
      <c r="W106" s="142">
        <f>'Funding &amp; Cap'!D165</f>
        <v>0</v>
      </c>
      <c r="X106" s="142">
        <f>'Working Capital &amp; Assets'!E112</f>
        <v>19179911</v>
      </c>
      <c r="Y106" s="142">
        <f>'Working Capital &amp; Assets'!F112</f>
        <v>8860034</v>
      </c>
      <c r="Z106" s="142">
        <f>'Working Capital &amp; Assets'!G112</f>
        <v>7582567</v>
      </c>
      <c r="AA106" s="142">
        <f>'Working Capital &amp; Assets'!H112</f>
        <v>9343155</v>
      </c>
      <c r="AB106" s="142">
        <f>'Working Capital &amp; Assets'!I112</f>
        <v>20699914</v>
      </c>
      <c r="AC106" s="142">
        <f>'Working Capital &amp; Assets'!J112</f>
        <v>8356443</v>
      </c>
      <c r="AD106" s="142">
        <f>MIN(AE106,SUMIFS($W$2:$W$181,$A$2:$A$181,"&gt;"&amp;A106,$A$2:$A$181,"&lt;="&amp;EDATE(A106,12))+IF(AND(DATE(2033,12,1)&gt;A106,DATE(2033,12,1)&lt;=EDATE(A106,12)),'Funding &amp; Cap'!$B$200,0))</f>
        <v>0</v>
      </c>
      <c r="AE106" s="143">
        <f>'Funding &amp; Cap'!Q165</f>
        <v>97000000</v>
      </c>
      <c r="AF106" s="143">
        <f t="shared" si="2"/>
        <v>101995973</v>
      </c>
      <c r="AG106" s="143">
        <f t="shared" si="7"/>
        <v>-13710191</v>
      </c>
      <c r="AH106" s="144">
        <f>'Revenue &amp; Demand'!P270</f>
        <v>0</v>
      </c>
      <c r="AI106" s="145">
        <f>'Revenue &amp; Demand'!Q270</f>
        <v>0</v>
      </c>
      <c r="AJ106" s="145">
        <f>'Manufacturing &amp; Production'!J310</f>
        <v>0</v>
      </c>
      <c r="AK106" s="105">
        <f t="shared" si="4"/>
        <v>46266</v>
      </c>
      <c r="AL106" s="107" t="str">
        <f t="shared" si="5"/>
        <v/>
      </c>
      <c r="AM106" s="107">
        <f t="shared" si="6"/>
        <v>6576</v>
      </c>
    </row>
    <row r="107" ht="19.5" customHeight="1">
      <c r="A107" s="147">
        <v>46296.0</v>
      </c>
      <c r="B107" s="148">
        <f t="shared" si="1"/>
        <v>2026</v>
      </c>
      <c r="C107" s="149">
        <f>'Revenue &amp; Demand'!C37</f>
        <v>6612</v>
      </c>
      <c r="D107" s="149">
        <f>'Revenue &amp; Demand'!D37</f>
        <v>76</v>
      </c>
      <c r="E107" s="150">
        <f>'Revenue &amp; Demand'!F37</f>
        <v>9918000</v>
      </c>
      <c r="F107" s="150">
        <f>'Revenue &amp; Demand'!G37</f>
        <v>2595441</v>
      </c>
      <c r="G107" s="150">
        <f>'Revenue &amp; Demand'!H37</f>
        <v>205882</v>
      </c>
      <c r="H107" s="150">
        <f>'Manufacturing &amp; Production'!F311</f>
        <v>2116305</v>
      </c>
      <c r="I107" s="150">
        <f>'Manufacturing &amp; Production'!G311</f>
        <v>793440</v>
      </c>
      <c r="J107" s="150">
        <f>'Workforce &amp; Expenses'!M363</f>
        <v>1206667</v>
      </c>
      <c r="K107" s="150">
        <f>'Manufacturing &amp; Production'!K311</f>
        <v>16471</v>
      </c>
      <c r="L107" s="150">
        <f>'Clinical Trials &amp; R&amp;D'!F311</f>
        <v>6035000</v>
      </c>
      <c r="M107" s="150">
        <f>'Clinical Trials &amp; R&amp;D'!I311</f>
        <v>4139500</v>
      </c>
      <c r="N107" s="150">
        <f>'Workforce &amp; Expenses'!P363</f>
        <v>3880000</v>
      </c>
      <c r="O107" s="150">
        <f>'Workforce &amp; Expenses'!S363</f>
        <v>3586000</v>
      </c>
      <c r="P107" s="150">
        <f t="shared" ref="P107:P109" si="9">ROUND(P95*IFERROR(SUM($P$86:$P$97)/SUM($P$74:$P$85),1),0)</f>
        <v>1084071</v>
      </c>
      <c r="Q107" s="150">
        <f t="shared" ref="Q107:Q109" si="10">ROUND(Q95*IFERROR(SUM($Q$86:$Q$97)/SUM($Q$74:$Q$85),1),0)</f>
        <v>816666</v>
      </c>
      <c r="R107" s="150">
        <f t="shared" ref="R107:R181" si="11">ROUND(AE107*IFERROR(SUM($R$86:$R$97)/AVERAGE($AE$85,$AE$97),0)/12,0)</f>
        <v>687083</v>
      </c>
      <c r="S107" s="150">
        <f t="shared" ref="S107:S108" si="12">0</f>
        <v>0</v>
      </c>
      <c r="T107" s="150">
        <f t="shared" ref="T107:T109" si="13">MAX(0,ROUND(T95*IFERROR(SUM($T$86:$T$97)/SUM($T$74:$T$85),1),0))</f>
        <v>1502348</v>
      </c>
      <c r="U107" s="150">
        <f t="shared" ref="U107:W107" si="8">0</f>
        <v>0</v>
      </c>
      <c r="V107" s="150">
        <f t="shared" si="8"/>
        <v>0</v>
      </c>
      <c r="W107" s="150">
        <f t="shared" si="8"/>
        <v>0</v>
      </c>
      <c r="X107" s="150">
        <f t="shared" ref="X107:X181" si="15">ROUND(X95*IFERROR((SUM(E107:G107)+AI107)/(SUM(E95:G95)+AI95),1),0)</f>
        <v>19028351</v>
      </c>
      <c r="Y107" s="150">
        <f t="shared" ref="Y107:Y181" si="16">ROUND(Y95*IFERROR((SUM(H107:I107)+AJ107)/(SUM(H95:I95)+AJ95),1),0)</f>
        <v>8100644</v>
      </c>
      <c r="Z107" s="150">
        <f t="shared" ref="Z107:Z181" si="17">ROUND(Z95*IFERROR(SUM(E107:G107)/SUM(E95:G95),1),0)</f>
        <v>7492844</v>
      </c>
      <c r="AA107" s="150">
        <f t="shared" ref="AA107:AA181" si="18">ROUND(AA95*IFERROR((SUM(H107:K107)+AJ107+0.25*SUM(L107:M107))/(SUM(H95:K95)+AJ95+0.25*SUM(L95:M95)),1),0)</f>
        <v>8877138</v>
      </c>
      <c r="AB107" s="150">
        <f t="shared" ref="AB107:AB181" si="19">ROUND(AB95*IFERROR(SUM(L107:O107)/SUM(L95:O95),1),0)</f>
        <v>20094395</v>
      </c>
      <c r="AC107" s="150">
        <f t="shared" ref="AC107:AC181" si="20">ROUND(AC95*IFERROR(SUM(F107:G107)/SUM(F95:G95),1),0)</f>
        <v>9201579</v>
      </c>
      <c r="AD107" s="150">
        <f>MIN(AE107,SUMIFS($W$2:$W$181,$A$2:$A$181,"&gt;"&amp;A107,$A$2:$A$181,"&lt;="&amp;EDATE(A107,12))+IF(AND(DATE(2033,12,1)&gt;A107,DATE(2033,12,1)&lt;=EDATE(A107,12)),'Funding &amp; Cap'!$B$200,0))</f>
        <v>0</v>
      </c>
      <c r="AE107" s="151">
        <f t="shared" ref="AE107:AE181" si="21">SUM($V$2:V107)-SUM($W$2:W107)</f>
        <v>97000000</v>
      </c>
      <c r="AF107" s="151">
        <f t="shared" si="2"/>
        <v>91526755</v>
      </c>
      <c r="AG107" s="151">
        <f t="shared" si="7"/>
        <v>-10469218</v>
      </c>
      <c r="AH107" s="152">
        <f>'Revenue &amp; Demand'!I37</f>
        <v>0</v>
      </c>
      <c r="AI107" s="153">
        <f>'Revenue &amp; Demand'!K37</f>
        <v>0</v>
      </c>
      <c r="AJ107" s="153">
        <f>'Manufacturing &amp; Production'!J311</f>
        <v>0</v>
      </c>
      <c r="AK107" s="105">
        <f t="shared" si="4"/>
        <v>46296</v>
      </c>
      <c r="AL107" s="107" t="str">
        <f t="shared" si="5"/>
        <v/>
      </c>
      <c r="AM107" s="107">
        <f t="shared" si="6"/>
        <v>6612</v>
      </c>
    </row>
    <row r="108" ht="19.5" customHeight="1">
      <c r="A108" s="147">
        <v>46327.0</v>
      </c>
      <c r="B108" s="148">
        <f t="shared" si="1"/>
        <v>2026</v>
      </c>
      <c r="C108" s="149">
        <f>'Revenue &amp; Demand'!C38</f>
        <v>6839</v>
      </c>
      <c r="D108" s="149">
        <f>'Revenue &amp; Demand'!D38</f>
        <v>78</v>
      </c>
      <c r="E108" s="150">
        <f>'Revenue &amp; Demand'!F38</f>
        <v>10258500</v>
      </c>
      <c r="F108" s="150">
        <f>'Revenue &amp; Demand'!G38</f>
        <v>2704805</v>
      </c>
      <c r="G108" s="150">
        <f>'Revenue &amp; Demand'!H38</f>
        <v>205882</v>
      </c>
      <c r="H108" s="150">
        <f>'Manufacturing &amp; Production'!F312</f>
        <v>2134419</v>
      </c>
      <c r="I108" s="150">
        <f>'Manufacturing &amp; Production'!G312</f>
        <v>820680</v>
      </c>
      <c r="J108" s="150">
        <f>'Workforce &amp; Expenses'!M364</f>
        <v>1224667</v>
      </c>
      <c r="K108" s="150">
        <f>'Manufacturing &amp; Production'!K312</f>
        <v>16471</v>
      </c>
      <c r="L108" s="150">
        <f>'Clinical Trials &amp; R&amp;D'!F312</f>
        <v>6035000</v>
      </c>
      <c r="M108" s="150">
        <f>'Clinical Trials &amp; R&amp;D'!I312</f>
        <v>4139500</v>
      </c>
      <c r="N108" s="150">
        <f>'Workforce &amp; Expenses'!P364</f>
        <v>3880000</v>
      </c>
      <c r="O108" s="150">
        <f>'Workforce &amp; Expenses'!S364</f>
        <v>3586000</v>
      </c>
      <c r="P108" s="150">
        <f t="shared" si="9"/>
        <v>1102140</v>
      </c>
      <c r="Q108" s="150">
        <f t="shared" si="10"/>
        <v>816666</v>
      </c>
      <c r="R108" s="150">
        <f t="shared" si="11"/>
        <v>687083</v>
      </c>
      <c r="S108" s="150">
        <f t="shared" si="12"/>
        <v>0</v>
      </c>
      <c r="T108" s="150">
        <f t="shared" si="13"/>
        <v>1519040</v>
      </c>
      <c r="U108" s="150">
        <f t="shared" ref="U108:W108" si="14">0</f>
        <v>0</v>
      </c>
      <c r="V108" s="150">
        <f t="shared" si="14"/>
        <v>0</v>
      </c>
      <c r="W108" s="150">
        <f t="shared" si="14"/>
        <v>0</v>
      </c>
      <c r="X108" s="150">
        <f t="shared" si="15"/>
        <v>20033858</v>
      </c>
      <c r="Y108" s="150">
        <f t="shared" si="16"/>
        <v>8447530</v>
      </c>
      <c r="Z108" s="150">
        <f t="shared" si="17"/>
        <v>7860312</v>
      </c>
      <c r="AA108" s="150">
        <f t="shared" si="18"/>
        <v>8980797</v>
      </c>
      <c r="AB108" s="150">
        <f t="shared" si="19"/>
        <v>20086727</v>
      </c>
      <c r="AC108" s="150">
        <f t="shared" si="20"/>
        <v>9304629</v>
      </c>
      <c r="AD108" s="150">
        <f>MIN(AE108,SUMIFS($W$2:$W$181,$A$2:$A$181,"&gt;"&amp;A108,$A$2:$A$181,"&lt;="&amp;EDATE(A108,12))+IF(AND(DATE(2033,12,1)&gt;A108,DATE(2033,12,1)&lt;=EDATE(A108,12)),'Funding &amp; Cap'!$B$200,0))</f>
        <v>0</v>
      </c>
      <c r="AE108" s="151">
        <f t="shared" si="21"/>
        <v>97000000</v>
      </c>
      <c r="AF108" s="151">
        <f t="shared" si="2"/>
        <v>79132262</v>
      </c>
      <c r="AG108" s="151">
        <f t="shared" si="7"/>
        <v>-12394493</v>
      </c>
      <c r="AH108" s="152">
        <f>'Revenue &amp; Demand'!I38</f>
        <v>0</v>
      </c>
      <c r="AI108" s="153">
        <f>'Revenue &amp; Demand'!K38</f>
        <v>0</v>
      </c>
      <c r="AJ108" s="153">
        <f>'Manufacturing &amp; Production'!J312</f>
        <v>0</v>
      </c>
      <c r="AK108" s="105">
        <f t="shared" si="4"/>
        <v>46327</v>
      </c>
      <c r="AL108" s="107" t="str">
        <f t="shared" si="5"/>
        <v/>
      </c>
      <c r="AM108" s="107">
        <f t="shared" si="6"/>
        <v>6839</v>
      </c>
    </row>
    <row r="109" ht="19.5" customHeight="1">
      <c r="A109" s="147">
        <v>46357.0</v>
      </c>
      <c r="B109" s="148">
        <f t="shared" si="1"/>
        <v>2026</v>
      </c>
      <c r="C109" s="149">
        <f>'Revenue &amp; Demand'!C39</f>
        <v>7074</v>
      </c>
      <c r="D109" s="149">
        <f>'Revenue &amp; Demand'!D39</f>
        <v>80</v>
      </c>
      <c r="E109" s="150">
        <f>'Revenue &amp; Demand'!F39</f>
        <v>10611000</v>
      </c>
      <c r="F109" s="150">
        <f>'Revenue &amp; Demand'!G39</f>
        <v>2813370</v>
      </c>
      <c r="G109" s="150">
        <f>'Revenue &amp; Demand'!H39</f>
        <v>1492649</v>
      </c>
      <c r="H109" s="150">
        <f>'Manufacturing &amp; Production'!F313</f>
        <v>2153172</v>
      </c>
      <c r="I109" s="150">
        <f>'Manufacturing &amp; Production'!G313</f>
        <v>848880</v>
      </c>
      <c r="J109" s="150">
        <f>'Workforce &amp; Expenses'!M365</f>
        <v>1242667</v>
      </c>
      <c r="K109" s="150">
        <f>'Manufacturing &amp; Production'!K313</f>
        <v>119412</v>
      </c>
      <c r="L109" s="150">
        <f>'Clinical Trials &amp; R&amp;D'!F313</f>
        <v>6035000</v>
      </c>
      <c r="M109" s="150">
        <f>'Clinical Trials &amp; R&amp;D'!I313</f>
        <v>4139500</v>
      </c>
      <c r="N109" s="150">
        <f>'Workforce &amp; Expenses'!P365</f>
        <v>3880000</v>
      </c>
      <c r="O109" s="150">
        <f>'Workforce &amp; Expenses'!S365</f>
        <v>3586000</v>
      </c>
      <c r="P109" s="150">
        <f t="shared" si="9"/>
        <v>1120203</v>
      </c>
      <c r="Q109" s="150">
        <f t="shared" si="10"/>
        <v>816672</v>
      </c>
      <c r="R109" s="150">
        <f t="shared" si="11"/>
        <v>687083</v>
      </c>
      <c r="S109" s="150">
        <f>ROUND(0.25*MAX(0,SUM(E98:G109)+SUM(AI98:AI109)-SUM(H98:R109)-SUM(AJ98:AJ109)),0)</f>
        <v>0</v>
      </c>
      <c r="T109" s="150">
        <f t="shared" si="13"/>
        <v>1535733</v>
      </c>
      <c r="U109" s="150">
        <f t="shared" ref="U109:W109" si="22">0</f>
        <v>0</v>
      </c>
      <c r="V109" s="150">
        <f t="shared" si="22"/>
        <v>0</v>
      </c>
      <c r="W109" s="150">
        <f t="shared" si="22"/>
        <v>0</v>
      </c>
      <c r="X109" s="150">
        <f t="shared" si="15"/>
        <v>20294792</v>
      </c>
      <c r="Y109" s="150">
        <f t="shared" si="16"/>
        <v>8812626</v>
      </c>
      <c r="Z109" s="150">
        <f t="shared" si="17"/>
        <v>7936713</v>
      </c>
      <c r="AA109" s="150">
        <f t="shared" si="18"/>
        <v>9043608</v>
      </c>
      <c r="AB109" s="150">
        <f t="shared" si="19"/>
        <v>20109630</v>
      </c>
      <c r="AC109" s="150">
        <f t="shared" si="20"/>
        <v>8526872</v>
      </c>
      <c r="AD109" s="150">
        <f>MIN(AE109,SUMIFS($W$2:$W$181,$A$2:$A$181,"&gt;"&amp;A109,$A$2:$A$181,"&lt;="&amp;EDATE(A109,12))+IF(AND(DATE(2033,12,1)&gt;A109,DATE(2033,12,1)&lt;=EDATE(A109,12)),'Funding &amp; Cap'!$B$200,0))</f>
        <v>15000000</v>
      </c>
      <c r="AE109" s="151">
        <f t="shared" si="21"/>
        <v>97000000</v>
      </c>
      <c r="AF109" s="151">
        <f t="shared" si="2"/>
        <v>68427360</v>
      </c>
      <c r="AG109" s="151">
        <f t="shared" si="7"/>
        <v>-10704902</v>
      </c>
      <c r="AH109" s="152">
        <f>'Revenue &amp; Demand'!I39</f>
        <v>0</v>
      </c>
      <c r="AI109" s="153">
        <f>'Revenue &amp; Demand'!K39</f>
        <v>0</v>
      </c>
      <c r="AJ109" s="153">
        <f>'Manufacturing &amp; Production'!J313</f>
        <v>0</v>
      </c>
      <c r="AK109" s="105">
        <f t="shared" si="4"/>
        <v>46357</v>
      </c>
      <c r="AL109" s="107" t="str">
        <f t="shared" si="5"/>
        <v/>
      </c>
      <c r="AM109" s="107">
        <f t="shared" si="6"/>
        <v>7074</v>
      </c>
    </row>
    <row r="110">
      <c r="A110" s="154">
        <f t="shared" ref="A110:A181" si="23">EDATE(A98,12)</f>
        <v>46388</v>
      </c>
      <c r="B110" s="155">
        <f t="shared" si="1"/>
        <v>2027</v>
      </c>
      <c r="C110" s="156">
        <f>'Revenue &amp; Demand'!C40</f>
        <v>7230</v>
      </c>
      <c r="D110" s="156">
        <f>'Revenue &amp; Demand'!D40</f>
        <v>77</v>
      </c>
      <c r="E110" s="157">
        <f>'Revenue &amp; Demand'!F40</f>
        <v>10845000</v>
      </c>
      <c r="F110" s="157">
        <f>'Revenue &amp; Demand'!G40</f>
        <v>3695961</v>
      </c>
      <c r="G110" s="157">
        <f>'Revenue &amp; Demand'!H40</f>
        <v>205882</v>
      </c>
      <c r="H110" s="157">
        <f>'Manufacturing &amp; Production'!F314</f>
        <v>2241644</v>
      </c>
      <c r="I110" s="157">
        <f>'Manufacturing &amp; Production'!G314</f>
        <v>867600</v>
      </c>
      <c r="J110" s="157">
        <f>'Workforce &amp; Expenses'!M366</f>
        <v>1252137</v>
      </c>
      <c r="K110" s="157">
        <f>'Manufacturing &amp; Production'!K314</f>
        <v>16471</v>
      </c>
      <c r="L110" s="157">
        <f>'Clinical Trials &amp; R&amp;D'!F314</f>
        <v>6387477</v>
      </c>
      <c r="M110" s="157">
        <f>'Clinical Trials &amp; R&amp;D'!I314</f>
        <v>4383870</v>
      </c>
      <c r="N110" s="157">
        <f>'Workforce &amp; Expenses'!P366</f>
        <v>4808240</v>
      </c>
      <c r="O110" s="157">
        <f>'Workforce &amp; Expenses'!S366</f>
        <v>3816223</v>
      </c>
      <c r="P110" s="157">
        <f t="shared" ref="P110:P181" si="24">ROUND(P98*(1+MIN(0.2,MAX(0,IFERROR(SUM($P$86:$P$97)/SUM($P$74:$P$85)-1,0)))),0)</f>
        <v>1106490</v>
      </c>
      <c r="Q110" s="157">
        <f t="shared" ref="Q110:Q181" si="25">ROUND(Q98*IFERROR(SUM($T$86:$T$97)/SUM($T$74:$T$85),1),0)</f>
        <v>1088888</v>
      </c>
      <c r="R110" s="157">
        <f t="shared" si="11"/>
        <v>687083</v>
      </c>
      <c r="S110" s="157">
        <f t="shared" ref="S110:S120" si="26">0</f>
        <v>0</v>
      </c>
      <c r="T110" s="157">
        <f>MAX(0,ROUND(T98*IFERROR(SUM($T$86:$T$97)/SUM($T$74:$T$85),1)+('Funding &amp; Cap'!$F$10-'Funding &amp; Cap'!$F$5)*'Funding &amp; Cap'!$B$6/12,0))</f>
        <v>1770367</v>
      </c>
      <c r="U110" s="157">
        <f>IF(MONTH(A110)=2,'Funding &amp; Cap'!$F$10,0)</f>
        <v>0</v>
      </c>
      <c r="V110" s="157">
        <f t="shared" ref="V110:V181" si="27">0</f>
        <v>0</v>
      </c>
      <c r="W110" s="157">
        <f>IF(MONTH(A110)=12,MIN(AE109,'Funding &amp; Cap'!$F$9),0)</f>
        <v>0</v>
      </c>
      <c r="X110" s="157">
        <f t="shared" si="15"/>
        <v>18477947</v>
      </c>
      <c r="Y110" s="157">
        <f t="shared" si="16"/>
        <v>7431679</v>
      </c>
      <c r="Z110" s="157">
        <f t="shared" si="17"/>
        <v>7686310</v>
      </c>
      <c r="AA110" s="157">
        <f t="shared" si="18"/>
        <v>7541402</v>
      </c>
      <c r="AB110" s="157">
        <f t="shared" si="19"/>
        <v>17292598</v>
      </c>
      <c r="AC110" s="157">
        <f t="shared" si="20"/>
        <v>11533272</v>
      </c>
      <c r="AD110" s="157">
        <f>MIN(AE110,SUMIFS($W$2:$W$181,$A$2:$A$181,"&gt;"&amp;A110,$A$2:$A$181,"&lt;="&amp;EDATE(A110,12))+IF(AND(DATE(2033,12,1)&gt;A110,DATE(2033,12,1)&lt;=EDATE(A110,12)),'Funding &amp; Cap'!$B$200,0))</f>
        <v>15000000</v>
      </c>
      <c r="AE110" s="158">
        <f t="shared" si="21"/>
        <v>97000000</v>
      </c>
      <c r="AF110" s="158">
        <f t="shared" si="2"/>
        <v>59078448</v>
      </c>
      <c r="AG110" s="158">
        <f t="shared" si="7"/>
        <v>-9348912</v>
      </c>
      <c r="AH110" s="159">
        <f>'Revenue &amp; Demand'!I40</f>
        <v>0</v>
      </c>
      <c r="AI110" s="158">
        <f>'Revenue &amp; Demand'!K40</f>
        <v>0</v>
      </c>
      <c r="AJ110" s="158">
        <f>'Manufacturing &amp; Production'!J314</f>
        <v>0</v>
      </c>
      <c r="AK110" s="160">
        <f t="shared" si="4"/>
        <v>46388</v>
      </c>
      <c r="AL110" s="159" t="str">
        <f t="shared" si="5"/>
        <v/>
      </c>
      <c r="AM110" s="159">
        <f t="shared" si="6"/>
        <v>7230</v>
      </c>
    </row>
    <row r="111">
      <c r="A111" s="154">
        <f t="shared" si="23"/>
        <v>46419</v>
      </c>
      <c r="B111" s="155">
        <f t="shared" si="1"/>
        <v>2027</v>
      </c>
      <c r="C111" s="156">
        <f>'Revenue &amp; Demand'!C41</f>
        <v>7390</v>
      </c>
      <c r="D111" s="156">
        <f>'Revenue &amp; Demand'!D41</f>
        <v>79</v>
      </c>
      <c r="E111" s="157">
        <f>'Revenue &amp; Demand'!F41</f>
        <v>11085000</v>
      </c>
      <c r="F111" s="157">
        <f>'Revenue &amp; Demand'!G41</f>
        <v>3764202</v>
      </c>
      <c r="G111" s="157">
        <f>'Revenue &amp; Demand'!H41</f>
        <v>205882</v>
      </c>
      <c r="H111" s="157">
        <f>'Manufacturing &amp; Production'!F315</f>
        <v>2281954</v>
      </c>
      <c r="I111" s="157">
        <f>'Manufacturing &amp; Production'!G315</f>
        <v>886800</v>
      </c>
      <c r="J111" s="157">
        <f>'Workforce &amp; Expenses'!M367</f>
        <v>1284135</v>
      </c>
      <c r="K111" s="157">
        <f>'Manufacturing &amp; Production'!K315</f>
        <v>16471</v>
      </c>
      <c r="L111" s="157">
        <f>'Clinical Trials &amp; R&amp;D'!F315</f>
        <v>6426891</v>
      </c>
      <c r="M111" s="157">
        <f>'Clinical Trials &amp; R&amp;D'!I315</f>
        <v>4383870</v>
      </c>
      <c r="N111" s="157">
        <f>'Workforce &amp; Expenses'!P367</f>
        <v>4822660</v>
      </c>
      <c r="O111" s="157">
        <f>'Workforce &amp; Expenses'!S367</f>
        <v>3819004</v>
      </c>
      <c r="P111" s="157">
        <f t="shared" si="24"/>
        <v>1128937</v>
      </c>
      <c r="Q111" s="157">
        <f t="shared" si="25"/>
        <v>1088888</v>
      </c>
      <c r="R111" s="157">
        <f t="shared" si="11"/>
        <v>687083</v>
      </c>
      <c r="S111" s="157">
        <f t="shared" si="26"/>
        <v>0</v>
      </c>
      <c r="T111" s="157">
        <f>MAX(0,ROUND(T99*IFERROR(SUM($T$86:$T$97)/SUM($T$74:$T$85),1)+('Funding &amp; Cap'!$F$10-'Funding &amp; Cap'!$F$5)*'Funding &amp; Cap'!$B$6/12,0))</f>
        <v>1825073</v>
      </c>
      <c r="U111" s="157">
        <f>IF(MONTH(A111)=2,'Funding &amp; Cap'!$F$10,0)</f>
        <v>200000000</v>
      </c>
      <c r="V111" s="157">
        <f t="shared" si="27"/>
        <v>0</v>
      </c>
      <c r="W111" s="157">
        <f>IF(MONTH(A111)=12,MIN(AE110,'Funding &amp; Cap'!$F$9),0)</f>
        <v>0</v>
      </c>
      <c r="X111" s="157">
        <f t="shared" si="15"/>
        <v>19814063</v>
      </c>
      <c r="Y111" s="157">
        <f t="shared" si="16"/>
        <v>8122960</v>
      </c>
      <c r="Z111" s="157">
        <f t="shared" si="17"/>
        <v>8159269</v>
      </c>
      <c r="AA111" s="157">
        <f t="shared" si="18"/>
        <v>7921950</v>
      </c>
      <c r="AB111" s="157">
        <f t="shared" si="19"/>
        <v>17905369</v>
      </c>
      <c r="AC111" s="157">
        <f t="shared" si="20"/>
        <v>11753705</v>
      </c>
      <c r="AD111" s="157">
        <f>MIN(AE111,SUMIFS($W$2:$W$181,$A$2:$A$181,"&gt;"&amp;A111,$A$2:$A$181,"&lt;="&amp;EDATE(A111,12))+IF(AND(DATE(2033,12,1)&gt;A111,DATE(2033,12,1)&lt;=EDATE(A111,12)),'Funding &amp; Cap'!$B$200,0))</f>
        <v>15000000</v>
      </c>
      <c r="AE111" s="158">
        <f t="shared" si="21"/>
        <v>97000000</v>
      </c>
      <c r="AF111" s="158">
        <f t="shared" si="2"/>
        <v>246412987</v>
      </c>
      <c r="AG111" s="158">
        <f t="shared" si="7"/>
        <v>-12665461</v>
      </c>
      <c r="AH111" s="159">
        <f>'Revenue &amp; Demand'!I41</f>
        <v>0</v>
      </c>
      <c r="AI111" s="158">
        <f>'Revenue &amp; Demand'!K41</f>
        <v>0</v>
      </c>
      <c r="AJ111" s="158">
        <f>'Manufacturing &amp; Production'!J315</f>
        <v>0</v>
      </c>
      <c r="AK111" s="160">
        <f t="shared" si="4"/>
        <v>46419</v>
      </c>
      <c r="AL111" s="159" t="str">
        <f t="shared" si="5"/>
        <v/>
      </c>
      <c r="AM111" s="159">
        <f t="shared" si="6"/>
        <v>7390</v>
      </c>
    </row>
    <row r="112">
      <c r="A112" s="154">
        <f t="shared" si="23"/>
        <v>46447</v>
      </c>
      <c r="B112" s="155">
        <f t="shared" si="1"/>
        <v>2027</v>
      </c>
      <c r="C112" s="156">
        <f>'Revenue &amp; Demand'!C42</f>
        <v>7554</v>
      </c>
      <c r="D112" s="156">
        <f>'Revenue &amp; Demand'!D42</f>
        <v>82</v>
      </c>
      <c r="E112" s="157">
        <f>'Revenue &amp; Demand'!F42</f>
        <v>11331000</v>
      </c>
      <c r="F112" s="157">
        <f>'Revenue &amp; Demand'!G42</f>
        <v>3658014</v>
      </c>
      <c r="G112" s="157">
        <f>'Revenue &amp; Demand'!H42</f>
        <v>1286765</v>
      </c>
      <c r="H112" s="157">
        <f>'Manufacturing &amp; Production'!F316</f>
        <v>2306488</v>
      </c>
      <c r="I112" s="157">
        <f>'Manufacturing &amp; Production'!G316</f>
        <v>906480</v>
      </c>
      <c r="J112" s="157">
        <f>'Workforce &amp; Expenses'!M368</f>
        <v>1311945</v>
      </c>
      <c r="K112" s="157">
        <f>'Manufacturing &amp; Production'!K316</f>
        <v>102941</v>
      </c>
      <c r="L112" s="157">
        <f>'Clinical Trials &amp; R&amp;D'!F316</f>
        <v>6445877</v>
      </c>
      <c r="M112" s="157">
        <f>'Clinical Trials &amp; R&amp;D'!I316</f>
        <v>4401895</v>
      </c>
      <c r="N112" s="157">
        <f>'Workforce &amp; Expenses'!P368</f>
        <v>4851500</v>
      </c>
      <c r="O112" s="157">
        <f>'Workforce &amp; Expenses'!S368</f>
        <v>3837647</v>
      </c>
      <c r="P112" s="157">
        <f t="shared" si="24"/>
        <v>1151414</v>
      </c>
      <c r="Q112" s="157">
        <f t="shared" si="25"/>
        <v>1088888</v>
      </c>
      <c r="R112" s="157">
        <f t="shared" si="11"/>
        <v>687083</v>
      </c>
      <c r="S112" s="157">
        <f t="shared" si="26"/>
        <v>0</v>
      </c>
      <c r="T112" s="157">
        <f>MAX(0,ROUND(T100*IFERROR(SUM($T$86:$T$97)/SUM($T$74:$T$85),1)+('Funding &amp; Cap'!$F$10-'Funding &amp; Cap'!$F$5)*'Funding &amp; Cap'!$B$6/12,0))</f>
        <v>4599497</v>
      </c>
      <c r="U112" s="157">
        <f>IF(MONTH(A112)=2,'Funding &amp; Cap'!$F$10,0)</f>
        <v>0</v>
      </c>
      <c r="V112" s="157">
        <f t="shared" si="27"/>
        <v>0</v>
      </c>
      <c r="W112" s="157">
        <f>IF(MONTH(A112)=12,MIN(AE111,'Funding &amp; Cap'!$F$9),0)</f>
        <v>0</v>
      </c>
      <c r="X112" s="157">
        <f t="shared" si="15"/>
        <v>19224673</v>
      </c>
      <c r="Y112" s="157">
        <f t="shared" si="16"/>
        <v>8549669</v>
      </c>
      <c r="Z112" s="157">
        <f t="shared" si="17"/>
        <v>7850929</v>
      </c>
      <c r="AA112" s="157">
        <f t="shared" si="18"/>
        <v>8273674</v>
      </c>
      <c r="AB112" s="157">
        <f t="shared" si="19"/>
        <v>18677120</v>
      </c>
      <c r="AC112" s="157">
        <f t="shared" si="20"/>
        <v>9824023</v>
      </c>
      <c r="AD112" s="157">
        <f>MIN(AE112,SUMIFS($W$2:$W$181,$A$2:$A$181,"&gt;"&amp;A112,$A$2:$A$181,"&lt;="&amp;EDATE(A112,12))+IF(AND(DATE(2033,12,1)&gt;A112,DATE(2033,12,1)&lt;=EDATE(A112,12)),'Funding &amp; Cap'!$B$200,0))</f>
        <v>15000000</v>
      </c>
      <c r="AE112" s="158">
        <f t="shared" si="21"/>
        <v>97000000</v>
      </c>
      <c r="AF112" s="158">
        <f t="shared" si="2"/>
        <v>232902227</v>
      </c>
      <c r="AG112" s="158">
        <f t="shared" si="7"/>
        <v>-13510760</v>
      </c>
      <c r="AH112" s="159">
        <f>'Revenue &amp; Demand'!I42</f>
        <v>0</v>
      </c>
      <c r="AI112" s="158">
        <f>'Revenue &amp; Demand'!K42</f>
        <v>0</v>
      </c>
      <c r="AJ112" s="158">
        <f>'Manufacturing &amp; Production'!J316</f>
        <v>0</v>
      </c>
      <c r="AK112" s="160">
        <f t="shared" si="4"/>
        <v>46447</v>
      </c>
      <c r="AL112" s="159" t="str">
        <f t="shared" si="5"/>
        <v/>
      </c>
      <c r="AM112" s="159">
        <f t="shared" si="6"/>
        <v>7554</v>
      </c>
    </row>
    <row r="113">
      <c r="A113" s="154">
        <f t="shared" si="23"/>
        <v>46478</v>
      </c>
      <c r="B113" s="155">
        <f t="shared" si="1"/>
        <v>2027</v>
      </c>
      <c r="C113" s="156">
        <f>'Revenue &amp; Demand'!C43</f>
        <v>7721</v>
      </c>
      <c r="D113" s="156">
        <f>'Revenue &amp; Demand'!D43</f>
        <v>83</v>
      </c>
      <c r="E113" s="157">
        <f>'Revenue &amp; Demand'!F43</f>
        <v>11581500</v>
      </c>
      <c r="F113" s="157">
        <f>'Revenue &amp; Demand'!G43</f>
        <v>3663348</v>
      </c>
      <c r="G113" s="157">
        <f>'Revenue &amp; Demand'!H43</f>
        <v>205882</v>
      </c>
      <c r="H113" s="157">
        <f>'Manufacturing &amp; Production'!F317</f>
        <v>2320215</v>
      </c>
      <c r="I113" s="157">
        <f>'Manufacturing &amp; Production'!G317</f>
        <v>926520</v>
      </c>
      <c r="J113" s="157">
        <f>'Workforce &amp; Expenses'!M369</f>
        <v>1321215</v>
      </c>
      <c r="K113" s="157">
        <f>'Manufacturing &amp; Production'!K317</f>
        <v>16471</v>
      </c>
      <c r="L113" s="157">
        <f>'Clinical Trials &amp; R&amp;D'!F317</f>
        <v>6466305</v>
      </c>
      <c r="M113" s="157">
        <f>'Clinical Trials &amp; R&amp;D'!I317</f>
        <v>4401895</v>
      </c>
      <c r="N113" s="157">
        <f>'Workforce &amp; Expenses'!P369</f>
        <v>4865920</v>
      </c>
      <c r="O113" s="157">
        <f>'Workforce &amp; Expenses'!S369</f>
        <v>3838574</v>
      </c>
      <c r="P113" s="157">
        <f t="shared" si="24"/>
        <v>1173919</v>
      </c>
      <c r="Q113" s="157">
        <f t="shared" si="25"/>
        <v>1088888</v>
      </c>
      <c r="R113" s="157">
        <f t="shared" si="11"/>
        <v>687083</v>
      </c>
      <c r="S113" s="157">
        <f t="shared" si="26"/>
        <v>0</v>
      </c>
      <c r="T113" s="157">
        <f>MAX(0,ROUND(T101*IFERROR(SUM($T$86:$T$97)/SUM($T$74:$T$85),1)+('Funding &amp; Cap'!$F$10-'Funding &amp; Cap'!$F$5)*'Funding &amp; Cap'!$B$6/12,0))</f>
        <v>1835936</v>
      </c>
      <c r="U113" s="157">
        <f>IF(MONTH(A113)=2,'Funding &amp; Cap'!$F$10,0)</f>
        <v>0</v>
      </c>
      <c r="V113" s="157">
        <f t="shared" si="27"/>
        <v>0</v>
      </c>
      <c r="W113" s="157">
        <f>IF(MONTH(A113)=12,MIN(AE112,'Funding &amp; Cap'!$F$9),0)</f>
        <v>0</v>
      </c>
      <c r="X113" s="157">
        <f t="shared" si="15"/>
        <v>22024766</v>
      </c>
      <c r="Y113" s="157">
        <f t="shared" si="16"/>
        <v>8935708</v>
      </c>
      <c r="Z113" s="157">
        <f t="shared" si="17"/>
        <v>8931599</v>
      </c>
      <c r="AA113" s="157">
        <f t="shared" si="18"/>
        <v>8790928</v>
      </c>
      <c r="AB113" s="157">
        <f t="shared" si="19"/>
        <v>19514970</v>
      </c>
      <c r="AC113" s="157">
        <f t="shared" si="20"/>
        <v>11971835</v>
      </c>
      <c r="AD113" s="157">
        <f>MIN(AE113,SUMIFS($W$2:$W$181,$A$2:$A$181,"&gt;"&amp;A113,$A$2:$A$181,"&lt;="&amp;EDATE(A113,12))+IF(AND(DATE(2033,12,1)&gt;A113,DATE(2033,12,1)&lt;=EDATE(A113,12)),'Funding &amp; Cap'!$B$200,0))</f>
        <v>15000000</v>
      </c>
      <c r="AE113" s="158">
        <f t="shared" si="21"/>
        <v>97000000</v>
      </c>
      <c r="AF113" s="158">
        <f t="shared" si="2"/>
        <v>220908937</v>
      </c>
      <c r="AG113" s="158">
        <f t="shared" si="7"/>
        <v>-11993290</v>
      </c>
      <c r="AH113" s="159">
        <f>'Revenue &amp; Demand'!I43</f>
        <v>0</v>
      </c>
      <c r="AI113" s="158">
        <f>'Revenue &amp; Demand'!K43</f>
        <v>0</v>
      </c>
      <c r="AJ113" s="158">
        <f>'Manufacturing &amp; Production'!J317</f>
        <v>0</v>
      </c>
      <c r="AK113" s="160">
        <f t="shared" si="4"/>
        <v>46478</v>
      </c>
      <c r="AL113" s="159" t="str">
        <f t="shared" si="5"/>
        <v/>
      </c>
      <c r="AM113" s="159">
        <f t="shared" si="6"/>
        <v>7721</v>
      </c>
    </row>
    <row r="114">
      <c r="A114" s="154">
        <f t="shared" si="23"/>
        <v>46508</v>
      </c>
      <c r="B114" s="155">
        <f t="shared" si="1"/>
        <v>2027</v>
      </c>
      <c r="C114" s="156">
        <f>'Revenue &amp; Demand'!C44</f>
        <v>7891</v>
      </c>
      <c r="D114" s="156">
        <f>'Revenue &amp; Demand'!D44</f>
        <v>86</v>
      </c>
      <c r="E114" s="157">
        <f>'Revenue &amp; Demand'!F44</f>
        <v>11836500</v>
      </c>
      <c r="F114" s="157">
        <f>'Revenue &amp; Demand'!G44</f>
        <v>3538220</v>
      </c>
      <c r="G114" s="157">
        <f>'Revenue &amp; Demand'!H44</f>
        <v>205882</v>
      </c>
      <c r="H114" s="157">
        <f>'Manufacturing &amp; Production'!F318</f>
        <v>2345243</v>
      </c>
      <c r="I114" s="157">
        <f>'Manufacturing &amp; Production'!G318</f>
        <v>946920</v>
      </c>
      <c r="J114" s="157">
        <f>'Workforce &amp; Expenses'!M370</f>
        <v>1349025</v>
      </c>
      <c r="K114" s="157">
        <f>'Manufacturing &amp; Production'!K318</f>
        <v>16471</v>
      </c>
      <c r="L114" s="157">
        <f>'Clinical Trials &amp; R&amp;D'!F318</f>
        <v>6485292</v>
      </c>
      <c r="M114" s="157">
        <f>'Clinical Trials &amp; R&amp;D'!I318</f>
        <v>4419920</v>
      </c>
      <c r="N114" s="157">
        <f>'Workforce &amp; Expenses'!P370</f>
        <v>4894760</v>
      </c>
      <c r="O114" s="157">
        <f>'Workforce &amp; Expenses'!S370</f>
        <v>3857217</v>
      </c>
      <c r="P114" s="157">
        <f t="shared" si="24"/>
        <v>1196453</v>
      </c>
      <c r="Q114" s="157">
        <f t="shared" si="25"/>
        <v>1088888</v>
      </c>
      <c r="R114" s="157">
        <f t="shared" si="11"/>
        <v>687083</v>
      </c>
      <c r="S114" s="157">
        <f t="shared" si="26"/>
        <v>0</v>
      </c>
      <c r="T114" s="157">
        <f>MAX(0,ROUND(T102*IFERROR(SUM($T$86:$T$97)/SUM($T$74:$T$85),1)+('Funding &amp; Cap'!$F$10-'Funding &amp; Cap'!$F$5)*'Funding &amp; Cap'!$B$6/12,0))</f>
        <v>1891845</v>
      </c>
      <c r="U114" s="157">
        <f>IF(MONTH(A114)=2,'Funding &amp; Cap'!$F$10,0)</f>
        <v>0</v>
      </c>
      <c r="V114" s="157">
        <f t="shared" si="27"/>
        <v>0</v>
      </c>
      <c r="W114" s="157">
        <f>IF(MONTH(A114)=12,MIN(AE113,'Funding &amp; Cap'!$F$9),0)</f>
        <v>0</v>
      </c>
      <c r="X114" s="157">
        <f t="shared" si="15"/>
        <v>22906415</v>
      </c>
      <c r="Y114" s="157">
        <f t="shared" si="16"/>
        <v>9244370</v>
      </c>
      <c r="Z114" s="157">
        <f t="shared" si="17"/>
        <v>9232846</v>
      </c>
      <c r="AA114" s="157">
        <f t="shared" si="18"/>
        <v>9310104</v>
      </c>
      <c r="AB114" s="157">
        <f t="shared" si="19"/>
        <v>20460196</v>
      </c>
      <c r="AC114" s="157">
        <f t="shared" si="20"/>
        <v>11981331</v>
      </c>
      <c r="AD114" s="157">
        <f>MIN(AE114,SUMIFS($W$2:$W$181,$A$2:$A$181,"&gt;"&amp;A114,$A$2:$A$181,"&lt;="&amp;EDATE(A114,12))+IF(AND(DATE(2033,12,1)&gt;A114,DATE(2033,12,1)&lt;=EDATE(A114,12)),'Funding &amp; Cap'!$B$200,0))</f>
        <v>15000000</v>
      </c>
      <c r="AE114" s="158">
        <f t="shared" si="21"/>
        <v>97000000</v>
      </c>
      <c r="AF114" s="158">
        <f t="shared" si="2"/>
        <v>209578103</v>
      </c>
      <c r="AG114" s="158">
        <f t="shared" si="7"/>
        <v>-11330834</v>
      </c>
      <c r="AH114" s="159">
        <f>'Revenue &amp; Demand'!I44</f>
        <v>0</v>
      </c>
      <c r="AI114" s="158">
        <f>'Revenue &amp; Demand'!K44</f>
        <v>0</v>
      </c>
      <c r="AJ114" s="158">
        <f>'Manufacturing &amp; Production'!J318</f>
        <v>0</v>
      </c>
      <c r="AK114" s="160">
        <f t="shared" si="4"/>
        <v>46508</v>
      </c>
      <c r="AL114" s="159" t="str">
        <f t="shared" si="5"/>
        <v/>
      </c>
      <c r="AM114" s="159">
        <f t="shared" si="6"/>
        <v>7891</v>
      </c>
    </row>
    <row r="115">
      <c r="A115" s="154">
        <f t="shared" si="23"/>
        <v>46539</v>
      </c>
      <c r="B115" s="155">
        <f t="shared" si="1"/>
        <v>2027</v>
      </c>
      <c r="C115" s="156">
        <f>'Revenue &amp; Demand'!C45</f>
        <v>8066</v>
      </c>
      <c r="D115" s="156">
        <f>'Revenue &amp; Demand'!D45</f>
        <v>88</v>
      </c>
      <c r="E115" s="157">
        <f>'Revenue &amp; Demand'!F45</f>
        <v>12099000</v>
      </c>
      <c r="F115" s="157">
        <f>'Revenue &amp; Demand'!G45</f>
        <v>3257147</v>
      </c>
      <c r="G115" s="157">
        <f>'Revenue &amp; Demand'!H45</f>
        <v>1286765</v>
      </c>
      <c r="H115" s="157">
        <f>'Manufacturing &amp; Production'!F319</f>
        <v>2386785</v>
      </c>
      <c r="I115" s="157">
        <f>'Manufacturing &amp; Production'!G319</f>
        <v>967920</v>
      </c>
      <c r="J115" s="157">
        <f>'Workforce &amp; Expenses'!M371</f>
        <v>1381024</v>
      </c>
      <c r="K115" s="157">
        <f>'Manufacturing &amp; Production'!K319</f>
        <v>102941</v>
      </c>
      <c r="L115" s="157">
        <f>'Clinical Trials &amp; R&amp;D'!F319</f>
        <v>6524707</v>
      </c>
      <c r="M115" s="157">
        <f>'Clinical Trials &amp; R&amp;D'!I319</f>
        <v>4437945</v>
      </c>
      <c r="N115" s="157">
        <f>'Workforce &amp; Expenses'!P371</f>
        <v>4909180</v>
      </c>
      <c r="O115" s="157">
        <f>'Workforce &amp; Expenses'!S371</f>
        <v>3860462</v>
      </c>
      <c r="P115" s="157">
        <f t="shared" si="24"/>
        <v>1219015</v>
      </c>
      <c r="Q115" s="157">
        <f t="shared" si="25"/>
        <v>1088888</v>
      </c>
      <c r="R115" s="157">
        <f t="shared" si="11"/>
        <v>687083</v>
      </c>
      <c r="S115" s="157">
        <f t="shared" si="26"/>
        <v>0</v>
      </c>
      <c r="T115" s="157">
        <f>MAX(0,ROUND(T103*IFERROR(SUM($T$86:$T$97)/SUM($T$74:$T$85),1)+('Funding &amp; Cap'!$F$10-'Funding &amp; Cap'!$F$5)*'Funding &amp; Cap'!$B$6/12,0))</f>
        <v>1948555</v>
      </c>
      <c r="U115" s="157">
        <f>IF(MONTH(A115)=2,'Funding &amp; Cap'!$F$10,0)</f>
        <v>0</v>
      </c>
      <c r="V115" s="157">
        <f t="shared" si="27"/>
        <v>0</v>
      </c>
      <c r="W115" s="157">
        <f>IF(MONTH(A115)=12,MIN(AE114,'Funding &amp; Cap'!$F$9),0)</f>
        <v>0</v>
      </c>
      <c r="X115" s="157">
        <f t="shared" si="15"/>
        <v>21781267</v>
      </c>
      <c r="Y115" s="157">
        <f t="shared" si="16"/>
        <v>9575628</v>
      </c>
      <c r="Z115" s="157">
        <f t="shared" si="17"/>
        <v>8731745</v>
      </c>
      <c r="AA115" s="157">
        <f t="shared" si="18"/>
        <v>9662834</v>
      </c>
      <c r="AB115" s="157">
        <f t="shared" si="19"/>
        <v>21369263</v>
      </c>
      <c r="AC115" s="157">
        <f t="shared" si="20"/>
        <v>9661957</v>
      </c>
      <c r="AD115" s="157">
        <f>MIN(AE115,SUMIFS($W$2:$W$181,$A$2:$A$181,"&gt;"&amp;A115,$A$2:$A$181,"&lt;="&amp;EDATE(A115,12))+IF(AND(DATE(2033,12,1)&gt;A115,DATE(2033,12,1)&lt;=EDATE(A115,12)),'Funding &amp; Cap'!$B$200,0))</f>
        <v>15000000</v>
      </c>
      <c r="AE115" s="158">
        <f t="shared" si="21"/>
        <v>97000000</v>
      </c>
      <c r="AF115" s="158">
        <f t="shared" si="2"/>
        <v>199251827</v>
      </c>
      <c r="AG115" s="158">
        <f t="shared" si="7"/>
        <v>-10326276</v>
      </c>
      <c r="AH115" s="159">
        <f>'Revenue &amp; Demand'!I45</f>
        <v>0</v>
      </c>
      <c r="AI115" s="158">
        <f>'Revenue &amp; Demand'!K45</f>
        <v>0</v>
      </c>
      <c r="AJ115" s="158">
        <f>'Manufacturing &amp; Production'!J319</f>
        <v>0</v>
      </c>
      <c r="AK115" s="160">
        <f t="shared" si="4"/>
        <v>46539</v>
      </c>
      <c r="AL115" s="159" t="str">
        <f t="shared" si="5"/>
        <v/>
      </c>
      <c r="AM115" s="159">
        <f t="shared" si="6"/>
        <v>8066</v>
      </c>
    </row>
    <row r="116">
      <c r="A116" s="154">
        <f t="shared" si="23"/>
        <v>46569</v>
      </c>
      <c r="B116" s="155">
        <f t="shared" si="1"/>
        <v>2027</v>
      </c>
      <c r="C116" s="156">
        <f>'Revenue &amp; Demand'!C46</f>
        <v>8244</v>
      </c>
      <c r="D116" s="156">
        <f>'Revenue &amp; Demand'!D46</f>
        <v>89</v>
      </c>
      <c r="E116" s="157">
        <f>'Revenue &amp; Demand'!F46</f>
        <v>12366000</v>
      </c>
      <c r="F116" s="157">
        <f>'Revenue &amp; Demand'!G46</f>
        <v>3204049</v>
      </c>
      <c r="G116" s="157">
        <f>'Revenue &amp; Demand'!H46</f>
        <v>205882</v>
      </c>
      <c r="H116" s="157">
        <f>'Manufacturing &amp; Production'!F320</f>
        <v>2412472</v>
      </c>
      <c r="I116" s="157">
        <f>'Manufacturing &amp; Production'!G320</f>
        <v>989280</v>
      </c>
      <c r="J116" s="157">
        <f>'Workforce &amp; Expenses'!M372</f>
        <v>1390294</v>
      </c>
      <c r="K116" s="157">
        <f>'Manufacturing &amp; Production'!K320</f>
        <v>16471</v>
      </c>
      <c r="L116" s="157">
        <f>'Clinical Trials &amp; R&amp;D'!F320</f>
        <v>4204048</v>
      </c>
      <c r="M116" s="157">
        <f>'Clinical Trials &amp; R&amp;D'!I320</f>
        <v>4437945</v>
      </c>
      <c r="N116" s="157">
        <f>'Workforce &amp; Expenses'!P372</f>
        <v>5658020</v>
      </c>
      <c r="O116" s="157">
        <f>'Workforce &amp; Expenses'!S372</f>
        <v>3878641</v>
      </c>
      <c r="P116" s="157">
        <f t="shared" si="24"/>
        <v>1241609</v>
      </c>
      <c r="Q116" s="157">
        <f t="shared" si="25"/>
        <v>1088888</v>
      </c>
      <c r="R116" s="157">
        <f t="shared" si="11"/>
        <v>687083</v>
      </c>
      <c r="S116" s="157">
        <f t="shared" si="26"/>
        <v>0</v>
      </c>
      <c r="T116" s="157">
        <f>MAX(0,ROUND(T104*IFERROR(SUM($T$86:$T$97)/SUM($T$74:$T$85),1)+('Funding &amp; Cap'!$F$10-'Funding &amp; Cap'!$F$5)*'Funding &amp; Cap'!$B$6/12,0))</f>
        <v>1901504</v>
      </c>
      <c r="U116" s="157">
        <f>IF(MONTH(A116)=2,'Funding &amp; Cap'!$F$10,0)</f>
        <v>0</v>
      </c>
      <c r="V116" s="157">
        <f t="shared" si="27"/>
        <v>0</v>
      </c>
      <c r="W116" s="157">
        <f>IF(MONTH(A116)=12,MIN(AE115,'Funding &amp; Cap'!$F$9),0)</f>
        <v>0</v>
      </c>
      <c r="X116" s="157">
        <f t="shared" si="15"/>
        <v>33536373</v>
      </c>
      <c r="Y116" s="157">
        <f t="shared" si="16"/>
        <v>15250354</v>
      </c>
      <c r="Z116" s="157">
        <f t="shared" si="17"/>
        <v>9691417</v>
      </c>
      <c r="AA116" s="157">
        <f t="shared" si="18"/>
        <v>11883766</v>
      </c>
      <c r="AB116" s="157">
        <f t="shared" si="19"/>
        <v>20327256</v>
      </c>
      <c r="AC116" s="157">
        <f t="shared" si="20"/>
        <v>11513730</v>
      </c>
      <c r="AD116" s="157">
        <f>MIN(AE116,SUMIFS($W$2:$W$181,$A$2:$A$181,"&gt;"&amp;A116,$A$2:$A$181,"&lt;="&amp;EDATE(A116,12))+IF(AND(DATE(2033,12,1)&gt;A116,DATE(2033,12,1)&lt;=EDATE(A116,12)),'Funding &amp; Cap'!$B$200,0))</f>
        <v>15000000</v>
      </c>
      <c r="AE116" s="158">
        <f t="shared" si="21"/>
        <v>97000000</v>
      </c>
      <c r="AF116" s="158">
        <f t="shared" si="2"/>
        <v>178251554</v>
      </c>
      <c r="AG116" s="158">
        <f t="shared" si="7"/>
        <v>-21000273</v>
      </c>
      <c r="AH116" s="159">
        <f>'Revenue &amp; Demand'!I46</f>
        <v>4000</v>
      </c>
      <c r="AI116" s="158">
        <f>'Revenue &amp; Demand'!K46</f>
        <v>6000000</v>
      </c>
      <c r="AJ116" s="158">
        <f>'Manufacturing &amp; Production'!J320</f>
        <v>1841640</v>
      </c>
      <c r="AK116" s="160">
        <f t="shared" si="4"/>
        <v>46569</v>
      </c>
      <c r="AL116" s="159" t="str">
        <f t="shared" si="5"/>
        <v/>
      </c>
      <c r="AM116" s="159">
        <f t="shared" si="6"/>
        <v>8244</v>
      </c>
    </row>
    <row r="117">
      <c r="A117" s="154">
        <f t="shared" si="23"/>
        <v>46600</v>
      </c>
      <c r="B117" s="155">
        <f t="shared" si="1"/>
        <v>2027</v>
      </c>
      <c r="C117" s="156">
        <f>'Revenue &amp; Demand'!C47</f>
        <v>8426</v>
      </c>
      <c r="D117" s="156">
        <f>'Revenue &amp; Demand'!D47</f>
        <v>92</v>
      </c>
      <c r="E117" s="157">
        <f>'Revenue &amp; Demand'!F47</f>
        <v>12639000</v>
      </c>
      <c r="F117" s="157">
        <f>'Revenue &amp; Demand'!G47</f>
        <v>3141853</v>
      </c>
      <c r="G117" s="157">
        <f>'Revenue &amp; Demand'!H47</f>
        <v>205882</v>
      </c>
      <c r="H117" s="157">
        <f>'Manufacturing &amp; Production'!F321</f>
        <v>2438485</v>
      </c>
      <c r="I117" s="157">
        <f>'Manufacturing &amp; Production'!G321</f>
        <v>1011120</v>
      </c>
      <c r="J117" s="157">
        <f>'Workforce &amp; Expenses'!M373</f>
        <v>1418104</v>
      </c>
      <c r="K117" s="157">
        <f>'Manufacturing &amp; Production'!K321</f>
        <v>16471</v>
      </c>
      <c r="L117" s="157">
        <f>'Clinical Trials &amp; R&amp;D'!F321</f>
        <v>4223035</v>
      </c>
      <c r="M117" s="157">
        <f>'Clinical Trials &amp; R&amp;D'!I321</f>
        <v>4455970</v>
      </c>
      <c r="N117" s="157">
        <f>'Workforce &amp; Expenses'!P373</f>
        <v>4966840</v>
      </c>
      <c r="O117" s="157">
        <f>'Workforce &amp; Expenses'!S373</f>
        <v>3880495</v>
      </c>
      <c r="P117" s="157">
        <f t="shared" si="24"/>
        <v>1264229</v>
      </c>
      <c r="Q117" s="157">
        <f t="shared" si="25"/>
        <v>1088888</v>
      </c>
      <c r="R117" s="157">
        <f t="shared" si="11"/>
        <v>687083</v>
      </c>
      <c r="S117" s="157">
        <f t="shared" si="26"/>
        <v>0</v>
      </c>
      <c r="T117" s="157">
        <f>MAX(0,ROUND(T105*IFERROR(SUM($T$86:$T$97)/SUM($T$74:$T$85),1)+('Funding &amp; Cap'!$F$10-'Funding &amp; Cap'!$F$5)*'Funding &amp; Cap'!$B$6/12,0))</f>
        <v>1958615</v>
      </c>
      <c r="U117" s="157">
        <f>IF(MONTH(A117)=2,'Funding &amp; Cap'!$F$10,0)</f>
        <v>0</v>
      </c>
      <c r="V117" s="157">
        <f t="shared" si="27"/>
        <v>0</v>
      </c>
      <c r="W117" s="157">
        <f>IF(MONTH(A117)=12,MIN(AE116,'Funding &amp; Cap'!$F$9),0)</f>
        <v>0</v>
      </c>
      <c r="X117" s="157">
        <f t="shared" si="15"/>
        <v>34658030</v>
      </c>
      <c r="Y117" s="157">
        <f t="shared" si="16"/>
        <v>15680709</v>
      </c>
      <c r="Z117" s="157">
        <f t="shared" si="17"/>
        <v>9951295</v>
      </c>
      <c r="AA117" s="157">
        <f t="shared" si="18"/>
        <v>12287443</v>
      </c>
      <c r="AB117" s="157">
        <f t="shared" si="19"/>
        <v>20023442</v>
      </c>
      <c r="AC117" s="157">
        <f t="shared" si="20"/>
        <v>11372692</v>
      </c>
      <c r="AD117" s="157">
        <f>MIN(AE117,SUMIFS($W$2:$W$181,$A$2:$A$181,"&gt;"&amp;A117,$A$2:$A$181,"&lt;="&amp;EDATE(A117,12))+IF(AND(DATE(2033,12,1)&gt;A117,DATE(2033,12,1)&lt;=EDATE(A117,12)),'Funding &amp; Cap'!$B$200,0))</f>
        <v>15000000</v>
      </c>
      <c r="AE117" s="158">
        <f t="shared" si="21"/>
        <v>97000000</v>
      </c>
      <c r="AF117" s="158">
        <f t="shared" si="2"/>
        <v>171573623</v>
      </c>
      <c r="AG117" s="158">
        <f t="shared" si="7"/>
        <v>-6677931</v>
      </c>
      <c r="AH117" s="159">
        <f>'Revenue &amp; Demand'!I47</f>
        <v>4080</v>
      </c>
      <c r="AI117" s="158">
        <f>'Revenue &amp; Demand'!K47</f>
        <v>6120000</v>
      </c>
      <c r="AJ117" s="158">
        <f>'Manufacturing &amp; Production'!J321</f>
        <v>1875383</v>
      </c>
      <c r="AK117" s="160">
        <f t="shared" si="4"/>
        <v>46600</v>
      </c>
      <c r="AL117" s="159" t="str">
        <f t="shared" si="5"/>
        <v/>
      </c>
      <c r="AM117" s="159">
        <f t="shared" si="6"/>
        <v>8426</v>
      </c>
    </row>
    <row r="118">
      <c r="A118" s="154">
        <f t="shared" si="23"/>
        <v>46631</v>
      </c>
      <c r="B118" s="155">
        <f t="shared" si="1"/>
        <v>2027</v>
      </c>
      <c r="C118" s="156">
        <f>'Revenue &amp; Demand'!C48</f>
        <v>8612</v>
      </c>
      <c r="D118" s="156">
        <f>'Revenue &amp; Demand'!D48</f>
        <v>94</v>
      </c>
      <c r="E118" s="157">
        <f>'Revenue &amp; Demand'!F48</f>
        <v>12918000</v>
      </c>
      <c r="F118" s="157">
        <f>'Revenue &amp; Demand'!G48</f>
        <v>3181539</v>
      </c>
      <c r="G118" s="157">
        <f>'Revenue &amp; Demand'!H48</f>
        <v>1286765</v>
      </c>
      <c r="H118" s="157">
        <f>'Manufacturing &amp; Production'!F322</f>
        <v>2464828</v>
      </c>
      <c r="I118" s="157">
        <f>'Manufacturing &amp; Production'!G322</f>
        <v>1033440</v>
      </c>
      <c r="J118" s="157">
        <f>'Workforce &amp; Expenses'!M374</f>
        <v>1436644</v>
      </c>
      <c r="K118" s="157">
        <f>'Manufacturing &amp; Production'!K322</f>
        <v>102941</v>
      </c>
      <c r="L118" s="157">
        <f>'Clinical Trials &amp; R&amp;D'!F322</f>
        <v>4262449</v>
      </c>
      <c r="M118" s="157">
        <f>'Clinical Trials &amp; R&amp;D'!I322</f>
        <v>4455970</v>
      </c>
      <c r="N118" s="157">
        <f>'Workforce &amp; Expenses'!P374</f>
        <v>4996040</v>
      </c>
      <c r="O118" s="157">
        <f>'Workforce &amp; Expenses'!S374</f>
        <v>3899138</v>
      </c>
      <c r="P118" s="157">
        <f t="shared" si="24"/>
        <v>1286880</v>
      </c>
      <c r="Q118" s="157">
        <f t="shared" si="25"/>
        <v>1088888</v>
      </c>
      <c r="R118" s="157">
        <f t="shared" si="11"/>
        <v>687083</v>
      </c>
      <c r="S118" s="157">
        <f t="shared" si="26"/>
        <v>0</v>
      </c>
      <c r="T118" s="157">
        <f>MAX(0,ROUND(T106*IFERROR(SUM($T$86:$T$97)/SUM($T$74:$T$85),1)+('Funding &amp; Cap'!$F$10-'Funding &amp; Cap'!$F$5)*'Funding &amp; Cap'!$B$6/12,0))</f>
        <v>4735443</v>
      </c>
      <c r="U118" s="157">
        <f>IF(MONTH(A118)=2,'Funding &amp; Cap'!$F$10,0)</f>
        <v>0</v>
      </c>
      <c r="V118" s="157">
        <f t="shared" si="27"/>
        <v>0</v>
      </c>
      <c r="W118" s="157">
        <f>IF(MONTH(A118)=12,MIN(AE117,'Funding &amp; Cap'!$F$9),0)</f>
        <v>0</v>
      </c>
      <c r="X118" s="157">
        <f t="shared" si="15"/>
        <v>33025252</v>
      </c>
      <c r="Y118" s="157">
        <f t="shared" si="16"/>
        <v>16209199</v>
      </c>
      <c r="Z118" s="157">
        <f t="shared" si="17"/>
        <v>9606654</v>
      </c>
      <c r="AA118" s="157">
        <f t="shared" si="18"/>
        <v>12383133</v>
      </c>
      <c r="AB118" s="157">
        <f t="shared" si="19"/>
        <v>20340611</v>
      </c>
      <c r="AC118" s="157">
        <f t="shared" si="20"/>
        <v>9675673</v>
      </c>
      <c r="AD118" s="157">
        <f>MIN(AE118,SUMIFS($W$2:$W$181,$A$2:$A$181,"&gt;"&amp;A118,$A$2:$A$181,"&lt;="&amp;EDATE(A118,12))+IF(AND(DATE(2033,12,1)&gt;A118,DATE(2033,12,1)&lt;=EDATE(A118,12)),'Funding &amp; Cap'!$B$200,0))</f>
        <v>15000000</v>
      </c>
      <c r="AE118" s="158">
        <f t="shared" si="21"/>
        <v>97000000</v>
      </c>
      <c r="AF118" s="158">
        <f t="shared" si="2"/>
        <v>165383751</v>
      </c>
      <c r="AG118" s="158">
        <f t="shared" si="7"/>
        <v>-6189872</v>
      </c>
      <c r="AH118" s="159">
        <f>'Revenue &amp; Demand'!I48</f>
        <v>4162</v>
      </c>
      <c r="AI118" s="158">
        <f>'Revenue &amp; Demand'!K48</f>
        <v>6243000</v>
      </c>
      <c r="AJ118" s="158">
        <f>'Manufacturing &amp; Production'!J322</f>
        <v>1909969</v>
      </c>
      <c r="AK118" s="160">
        <f t="shared" si="4"/>
        <v>46631</v>
      </c>
      <c r="AL118" s="159" t="str">
        <f t="shared" si="5"/>
        <v/>
      </c>
      <c r="AM118" s="159">
        <f t="shared" si="6"/>
        <v>8612</v>
      </c>
    </row>
    <row r="119">
      <c r="A119" s="154">
        <f t="shared" si="23"/>
        <v>46661</v>
      </c>
      <c r="B119" s="155">
        <f t="shared" si="1"/>
        <v>2027</v>
      </c>
      <c r="C119" s="156">
        <f>'Revenue &amp; Demand'!C49</f>
        <v>8803</v>
      </c>
      <c r="D119" s="156">
        <f>'Revenue &amp; Demand'!D49</f>
        <v>94</v>
      </c>
      <c r="E119" s="157">
        <f>'Revenue &amp; Demand'!F49</f>
        <v>13204500</v>
      </c>
      <c r="F119" s="157">
        <f>'Revenue &amp; Demand'!G49</f>
        <v>3210151</v>
      </c>
      <c r="G119" s="157">
        <f>'Revenue &amp; Demand'!H49</f>
        <v>205882</v>
      </c>
      <c r="H119" s="157">
        <f>'Manufacturing &amp; Production'!F323</f>
        <v>2496630</v>
      </c>
      <c r="I119" s="157">
        <f>'Manufacturing &amp; Production'!G323</f>
        <v>1056360</v>
      </c>
      <c r="J119" s="157">
        <f>'Workforce &amp; Expenses'!M375</f>
        <v>1450103</v>
      </c>
      <c r="K119" s="157">
        <f>'Manufacturing &amp; Production'!K323</f>
        <v>16471</v>
      </c>
      <c r="L119" s="157">
        <f>'Clinical Trials &amp; R&amp;D'!F323</f>
        <v>4262449</v>
      </c>
      <c r="M119" s="157">
        <f>'Clinical Trials &amp; R&amp;D'!I323</f>
        <v>4473995</v>
      </c>
      <c r="N119" s="157">
        <f>'Workforce &amp; Expenses'!P375</f>
        <v>5010640</v>
      </c>
      <c r="O119" s="157">
        <f>'Workforce &amp; Expenses'!S375</f>
        <v>3900992</v>
      </c>
      <c r="P119" s="157">
        <f t="shared" si="24"/>
        <v>1300885</v>
      </c>
      <c r="Q119" s="157">
        <f t="shared" si="25"/>
        <v>1088888</v>
      </c>
      <c r="R119" s="157">
        <f t="shared" si="11"/>
        <v>687083</v>
      </c>
      <c r="S119" s="157">
        <f t="shared" si="26"/>
        <v>0</v>
      </c>
      <c r="T119" s="157">
        <f>MAX(0,ROUND(T107*IFERROR(SUM($T$86:$T$97)/SUM($T$74:$T$85),1)+('Funding &amp; Cap'!$F$10-'Funding &amp; Cap'!$F$5)*'Funding &amp; Cap'!$B$6/12,0))</f>
        <v>2003131</v>
      </c>
      <c r="U119" s="157">
        <f>IF(MONTH(A119)=2,'Funding &amp; Cap'!$F$10,0)</f>
        <v>0</v>
      </c>
      <c r="V119" s="157">
        <f t="shared" si="27"/>
        <v>0</v>
      </c>
      <c r="W119" s="157">
        <f>IF(MONTH(A119)=12,MIN(AE118,'Funding &amp; Cap'!$F$9),0)</f>
        <v>0</v>
      </c>
      <c r="X119" s="157">
        <f t="shared" si="15"/>
        <v>34390538</v>
      </c>
      <c r="Y119" s="157">
        <f t="shared" si="16"/>
        <v>15306180</v>
      </c>
      <c r="Z119" s="157">
        <f t="shared" si="17"/>
        <v>9791013</v>
      </c>
      <c r="AA119" s="157">
        <f t="shared" si="18"/>
        <v>12164122</v>
      </c>
      <c r="AB119" s="157">
        <f t="shared" si="19"/>
        <v>20103025</v>
      </c>
      <c r="AC119" s="157">
        <f t="shared" si="20"/>
        <v>11220733</v>
      </c>
      <c r="AD119" s="157">
        <f>MIN(AE119,SUMIFS($W$2:$W$181,$A$2:$A$181,"&gt;"&amp;A119,$A$2:$A$181,"&lt;="&amp;EDATE(A119,12))+IF(AND(DATE(2033,12,1)&gt;A119,DATE(2033,12,1)&lt;=EDATE(A119,12)),'Funding &amp; Cap'!$B$200,0))</f>
        <v>15000000</v>
      </c>
      <c r="AE119" s="158">
        <f t="shared" si="21"/>
        <v>97000000</v>
      </c>
      <c r="AF119" s="158">
        <f t="shared" si="2"/>
        <v>161510789</v>
      </c>
      <c r="AG119" s="158">
        <f t="shared" si="7"/>
        <v>-3872962</v>
      </c>
      <c r="AH119" s="159">
        <f>'Revenue &amp; Demand'!I49</f>
        <v>4245</v>
      </c>
      <c r="AI119" s="158">
        <f>'Revenue &amp; Demand'!K49</f>
        <v>6367500</v>
      </c>
      <c r="AJ119" s="158">
        <f>'Manufacturing &amp; Production'!J323</f>
        <v>1944978</v>
      </c>
      <c r="AK119" s="160">
        <f t="shared" si="4"/>
        <v>46661</v>
      </c>
      <c r="AL119" s="159" t="str">
        <f t="shared" si="5"/>
        <v/>
      </c>
      <c r="AM119" s="159">
        <f t="shared" si="6"/>
        <v>8803</v>
      </c>
    </row>
    <row r="120">
      <c r="A120" s="154">
        <f t="shared" si="23"/>
        <v>46692</v>
      </c>
      <c r="B120" s="155">
        <f t="shared" si="1"/>
        <v>2027</v>
      </c>
      <c r="C120" s="156">
        <f>'Revenue &amp; Demand'!C50</f>
        <v>8997</v>
      </c>
      <c r="D120" s="156">
        <f>'Revenue &amp; Demand'!D50</f>
        <v>96</v>
      </c>
      <c r="E120" s="157">
        <f>'Revenue &amp; Demand'!F50</f>
        <v>13495500</v>
      </c>
      <c r="F120" s="157">
        <f>'Revenue &amp; Demand'!G50</f>
        <v>3328991</v>
      </c>
      <c r="G120" s="157">
        <f>'Revenue &amp; Demand'!H50</f>
        <v>205882</v>
      </c>
      <c r="H120" s="157">
        <f>'Manufacturing &amp; Production'!F324</f>
        <v>2523631</v>
      </c>
      <c r="I120" s="157">
        <f>'Manufacturing &amp; Production'!G324</f>
        <v>1079640</v>
      </c>
      <c r="J120" s="157">
        <f>'Workforce &amp; Expenses'!M376</f>
        <v>1468643</v>
      </c>
      <c r="K120" s="157">
        <f>'Manufacturing &amp; Production'!K324</f>
        <v>16471</v>
      </c>
      <c r="L120" s="157">
        <f>'Clinical Trials &amp; R&amp;D'!F324</f>
        <v>4301863</v>
      </c>
      <c r="M120" s="157">
        <f>'Clinical Trials &amp; R&amp;D'!I324</f>
        <v>4473995</v>
      </c>
      <c r="N120" s="157">
        <f>'Workforce &amp; Expenses'!P376</f>
        <v>5039840</v>
      </c>
      <c r="O120" s="157">
        <f>'Workforce &amp; Expenses'!S376</f>
        <v>3919635</v>
      </c>
      <c r="P120" s="157">
        <f t="shared" si="24"/>
        <v>1322568</v>
      </c>
      <c r="Q120" s="157">
        <f t="shared" si="25"/>
        <v>1088888</v>
      </c>
      <c r="R120" s="157">
        <f t="shared" si="11"/>
        <v>687083</v>
      </c>
      <c r="S120" s="157">
        <f t="shared" si="26"/>
        <v>0</v>
      </c>
      <c r="T120" s="157">
        <f>MAX(0,ROUND(T108*IFERROR(SUM($T$86:$T$97)/SUM($T$74:$T$85),1)+('Funding &amp; Cap'!$F$10-'Funding &amp; Cap'!$F$5)*'Funding &amp; Cap'!$B$6/12,0))</f>
        <v>2025387</v>
      </c>
      <c r="U120" s="157">
        <f>IF(MONTH(A120)=2,'Funding &amp; Cap'!$F$10,0)</f>
        <v>0</v>
      </c>
      <c r="V120" s="157">
        <f t="shared" si="27"/>
        <v>0</v>
      </c>
      <c r="W120" s="157">
        <f>IF(MONTH(A120)=12,MIN(AE119,'Funding &amp; Cap'!$F$9),0)</f>
        <v>0</v>
      </c>
      <c r="X120" s="157">
        <f t="shared" si="15"/>
        <v>35788389</v>
      </c>
      <c r="Y120" s="157">
        <f t="shared" si="16"/>
        <v>15962870</v>
      </c>
      <c r="Z120" s="157">
        <f t="shared" si="17"/>
        <v>10164944</v>
      </c>
      <c r="AA120" s="157">
        <f t="shared" si="18"/>
        <v>12343092</v>
      </c>
      <c r="AB120" s="157">
        <f t="shared" si="19"/>
        <v>20194711</v>
      </c>
      <c r="AC120" s="157">
        <f t="shared" si="20"/>
        <v>11299972</v>
      </c>
      <c r="AD120" s="157">
        <f>MIN(AE120,SUMIFS($W$2:$W$181,$A$2:$A$181,"&gt;"&amp;A120,$A$2:$A$181,"&lt;="&amp;EDATE(A120,12))+IF(AND(DATE(2033,12,1)&gt;A120,DATE(2033,12,1)&lt;=EDATE(A120,12)),'Funding &amp; Cap'!$B$200,0))</f>
        <v>15000000</v>
      </c>
      <c r="AE120" s="158">
        <f t="shared" si="21"/>
        <v>97000000</v>
      </c>
      <c r="AF120" s="158">
        <f t="shared" si="2"/>
        <v>155440567</v>
      </c>
      <c r="AG120" s="158">
        <f t="shared" si="7"/>
        <v>-6070222</v>
      </c>
      <c r="AH120" s="159">
        <f>'Revenue &amp; Demand'!I50</f>
        <v>4330</v>
      </c>
      <c r="AI120" s="158">
        <f>'Revenue &amp; Demand'!K50</f>
        <v>6495000</v>
      </c>
      <c r="AJ120" s="158">
        <f>'Manufacturing &amp; Production'!J324</f>
        <v>1980830</v>
      </c>
      <c r="AK120" s="160">
        <f t="shared" si="4"/>
        <v>46692</v>
      </c>
      <c r="AL120" s="159" t="str">
        <f t="shared" si="5"/>
        <v/>
      </c>
      <c r="AM120" s="159">
        <f t="shared" si="6"/>
        <v>8997</v>
      </c>
    </row>
    <row r="121">
      <c r="A121" s="154">
        <f t="shared" si="23"/>
        <v>46722</v>
      </c>
      <c r="B121" s="155">
        <f t="shared" si="1"/>
        <v>2027</v>
      </c>
      <c r="C121" s="156">
        <f>'Revenue &amp; Demand'!C51</f>
        <v>9196</v>
      </c>
      <c r="D121" s="156">
        <f>'Revenue &amp; Demand'!D51</f>
        <v>98</v>
      </c>
      <c r="E121" s="157">
        <f>'Revenue &amp; Demand'!F51</f>
        <v>13794000</v>
      </c>
      <c r="F121" s="157">
        <f>'Revenue &amp; Demand'!G51</f>
        <v>3446378</v>
      </c>
      <c r="G121" s="157">
        <f>'Revenue &amp; Demand'!H51</f>
        <v>1492649</v>
      </c>
      <c r="H121" s="157">
        <f>'Manufacturing &amp; Production'!F325</f>
        <v>2551043</v>
      </c>
      <c r="I121" s="157">
        <f>'Manufacturing &amp; Production'!G325</f>
        <v>1103520</v>
      </c>
      <c r="J121" s="157">
        <f>'Workforce &amp; Expenses'!M377</f>
        <v>1487183</v>
      </c>
      <c r="K121" s="157">
        <f>'Manufacturing &amp; Production'!K325</f>
        <v>119412</v>
      </c>
      <c r="L121" s="157">
        <f>'Clinical Trials &amp; R&amp;D'!F325</f>
        <v>4320850</v>
      </c>
      <c r="M121" s="157">
        <f>'Clinical Trials &amp; R&amp;D'!I325</f>
        <v>4492020</v>
      </c>
      <c r="N121" s="157">
        <f>'Workforce &amp; Expenses'!P377</f>
        <v>5054440</v>
      </c>
      <c r="O121" s="157">
        <f>'Workforce &amp; Expenses'!S377</f>
        <v>3921489</v>
      </c>
      <c r="P121" s="157">
        <f t="shared" si="24"/>
        <v>1344244</v>
      </c>
      <c r="Q121" s="157">
        <f t="shared" si="25"/>
        <v>1088896</v>
      </c>
      <c r="R121" s="157">
        <f t="shared" si="11"/>
        <v>580833</v>
      </c>
      <c r="S121" s="157">
        <f>ROUND(0.25*MAX(0,SUM(E110:G121)+SUM(AI110:AI121)-SUM(H110:R121)-SUM(AJ110:AJ121)),0)</f>
        <v>0</v>
      </c>
      <c r="T121" s="157">
        <f>MAX(0,ROUND(T109*IFERROR(SUM($T$86:$T$97)/SUM($T$74:$T$85),1)+('Funding &amp; Cap'!$F$10-'Funding &amp; Cap'!$F$5)*'Funding &amp; Cap'!$B$6/12,0))</f>
        <v>2047644</v>
      </c>
      <c r="U121" s="157">
        <f>IF(MONTH(A121)=2,'Funding &amp; Cap'!$F$10,0)</f>
        <v>0</v>
      </c>
      <c r="V121" s="157">
        <f t="shared" si="27"/>
        <v>0</v>
      </c>
      <c r="W121" s="157">
        <f>IF(MONTH(A121)=12,MIN(AE120,'Funding &amp; Cap'!$F$9),0)</f>
        <v>15000000</v>
      </c>
      <c r="X121" s="157">
        <f t="shared" si="15"/>
        <v>34498554</v>
      </c>
      <c r="Y121" s="157">
        <f t="shared" si="16"/>
        <v>16649366</v>
      </c>
      <c r="Z121" s="157">
        <f t="shared" si="17"/>
        <v>9967049</v>
      </c>
      <c r="AA121" s="157">
        <f t="shared" si="18"/>
        <v>12413114</v>
      </c>
      <c r="AB121" s="157">
        <f t="shared" si="19"/>
        <v>20278686</v>
      </c>
      <c r="AC121" s="157">
        <f t="shared" si="20"/>
        <v>9780368</v>
      </c>
      <c r="AD121" s="157">
        <f>MIN(AE121,SUMIFS($W$2:$W$181,$A$2:$A$181,"&gt;"&amp;A121,$A$2:$A$181,"&lt;="&amp;EDATE(A121,12))+IF(AND(DATE(2033,12,1)&gt;A121,DATE(2033,12,1)&lt;=EDATE(A121,12)),'Funding &amp; Cap'!$B$200,0))</f>
        <v>15000000</v>
      </c>
      <c r="AE121" s="158">
        <f t="shared" si="21"/>
        <v>82000000</v>
      </c>
      <c r="AF121" s="158">
        <f t="shared" si="2"/>
        <v>137537685</v>
      </c>
      <c r="AG121" s="158">
        <f t="shared" si="7"/>
        <v>-17902882</v>
      </c>
      <c r="AH121" s="159">
        <f>'Revenue &amp; Demand'!I51</f>
        <v>4416</v>
      </c>
      <c r="AI121" s="158">
        <f>'Revenue &amp; Demand'!K51</f>
        <v>6624000</v>
      </c>
      <c r="AJ121" s="158">
        <f>'Manufacturing &amp; Production'!J325</f>
        <v>2017102</v>
      </c>
      <c r="AK121" s="160">
        <f t="shared" si="4"/>
        <v>46722</v>
      </c>
      <c r="AL121" s="159" t="str">
        <f t="shared" si="5"/>
        <v/>
      </c>
      <c r="AM121" s="159">
        <f t="shared" si="6"/>
        <v>9196</v>
      </c>
    </row>
    <row r="122">
      <c r="A122" s="154">
        <f t="shared" si="23"/>
        <v>46753</v>
      </c>
      <c r="B122" s="155">
        <f t="shared" si="1"/>
        <v>2028</v>
      </c>
      <c r="C122" s="156">
        <f>'Revenue &amp; Demand'!C52</f>
        <v>9337</v>
      </c>
      <c r="D122" s="156">
        <f>'Revenue &amp; Demand'!D52</f>
        <v>91</v>
      </c>
      <c r="E122" s="157">
        <f>'Revenue &amp; Demand'!F52</f>
        <v>14005500</v>
      </c>
      <c r="F122" s="157">
        <f>'Revenue &amp; Demand'!G52</f>
        <v>4367954</v>
      </c>
      <c r="G122" s="157">
        <f>'Revenue &amp; Demand'!H52</f>
        <v>205882</v>
      </c>
      <c r="H122" s="157">
        <f>'Manufacturing &amp; Production'!F326</f>
        <v>2650897</v>
      </c>
      <c r="I122" s="157">
        <f>'Manufacturing &amp; Production'!G326</f>
        <v>1120440</v>
      </c>
      <c r="J122" s="157">
        <f>'Workforce &amp; Expenses'!M378</f>
        <v>1464961</v>
      </c>
      <c r="K122" s="157">
        <f>'Manufacturing &amp; Production'!K326</f>
        <v>16471</v>
      </c>
      <c r="L122" s="157">
        <f>'Clinical Trials &amp; R&amp;D'!F326</f>
        <v>4491074</v>
      </c>
      <c r="M122" s="157">
        <f>'Clinical Trials &amp; R&amp;D'!I326</f>
        <v>4728484</v>
      </c>
      <c r="N122" s="157">
        <f>'Workforce &amp; Expenses'!P378</f>
        <v>6253754</v>
      </c>
      <c r="O122" s="157">
        <f>'Workforce &amp; Expenses'!S378</f>
        <v>4170093</v>
      </c>
      <c r="P122" s="157">
        <f t="shared" si="24"/>
        <v>1327788</v>
      </c>
      <c r="Q122" s="157">
        <f t="shared" si="25"/>
        <v>1451851</v>
      </c>
      <c r="R122" s="157">
        <f t="shared" si="11"/>
        <v>580833</v>
      </c>
      <c r="S122" s="157">
        <f t="shared" ref="S122:S132" si="28">0</f>
        <v>0</v>
      </c>
      <c r="T122" s="157">
        <f>MAX(0,ROUND(T110*IFERROR(SUM($T$86:$T$97)/SUM($T$74:$T$85),1)+('Funding &amp; Cap'!$G$10-'Funding &amp; Cap'!$G$5)*'Funding &amp; Cap'!$B$6/12,0))</f>
        <v>2360489</v>
      </c>
      <c r="U122" s="157">
        <f>IF(MONTH(A122)=IF('Funding &amp; Cap'!$N$4="IPO in 2028",'Funding &amp; Cap'!$N$8,2),'Funding &amp; Cap'!$G$10,0)</f>
        <v>0</v>
      </c>
      <c r="V122" s="157">
        <f t="shared" si="27"/>
        <v>0</v>
      </c>
      <c r="W122" s="157">
        <f>IF(MONTH(A122)=12,MIN(AE121,'Funding &amp; Cap'!$G$9),0)</f>
        <v>0</v>
      </c>
      <c r="X122" s="157">
        <f t="shared" si="15"/>
        <v>31747318</v>
      </c>
      <c r="Y122" s="157">
        <f t="shared" si="16"/>
        <v>14072514</v>
      </c>
      <c r="Z122" s="157">
        <f t="shared" si="17"/>
        <v>9683872</v>
      </c>
      <c r="AA122" s="157">
        <f t="shared" si="18"/>
        <v>10317957</v>
      </c>
      <c r="AB122" s="157">
        <f t="shared" si="19"/>
        <v>17513345</v>
      </c>
      <c r="AC122" s="157">
        <f t="shared" si="20"/>
        <v>13519584</v>
      </c>
      <c r="AD122" s="157">
        <f>MIN(AE122,SUMIFS($W$2:$W$181,$A$2:$A$181,"&gt;"&amp;A122,$A$2:$A$181,"&lt;="&amp;EDATE(A122,12))+IF(AND(DATE(2033,12,1)&gt;A122,DATE(2033,12,1)&lt;=EDATE(A122,12)),'Funding &amp; Cap'!$B$200,0))</f>
        <v>15000000</v>
      </c>
      <c r="AE122" s="158">
        <f t="shared" si="21"/>
        <v>82000000</v>
      </c>
      <c r="AF122" s="158">
        <f t="shared" si="2"/>
        <v>137410728</v>
      </c>
      <c r="AG122" s="158">
        <f t="shared" si="7"/>
        <v>-126957</v>
      </c>
      <c r="AH122" s="159">
        <f>'Revenue &amp; Demand'!I52</f>
        <v>4505</v>
      </c>
      <c r="AI122" s="158">
        <f>'Revenue &amp; Demand'!K52</f>
        <v>6757500</v>
      </c>
      <c r="AJ122" s="158">
        <f>'Manufacturing &amp; Production'!J326</f>
        <v>2116280</v>
      </c>
      <c r="AK122" s="160">
        <f t="shared" si="4"/>
        <v>46753</v>
      </c>
      <c r="AL122" s="159" t="str">
        <f t="shared" si="5"/>
        <v/>
      </c>
      <c r="AM122" s="159">
        <f t="shared" si="6"/>
        <v>9337</v>
      </c>
    </row>
    <row r="123">
      <c r="A123" s="154">
        <f t="shared" si="23"/>
        <v>46784</v>
      </c>
      <c r="B123" s="155">
        <f t="shared" si="1"/>
        <v>2028</v>
      </c>
      <c r="C123" s="156">
        <f>'Revenue &amp; Demand'!C53</f>
        <v>9480</v>
      </c>
      <c r="D123" s="156">
        <f>'Revenue &amp; Demand'!D53</f>
        <v>93</v>
      </c>
      <c r="E123" s="157">
        <f>'Revenue &amp; Demand'!F53</f>
        <v>14220000</v>
      </c>
      <c r="F123" s="157">
        <f>'Revenue &amp; Demand'!G53</f>
        <v>4431276</v>
      </c>
      <c r="G123" s="157">
        <f>'Revenue &amp; Demand'!H53</f>
        <v>205882</v>
      </c>
      <c r="H123" s="157">
        <f>'Manufacturing &amp; Production'!F327</f>
        <v>2702365</v>
      </c>
      <c r="I123" s="157">
        <f>'Manufacturing &amp; Production'!G327</f>
        <v>1137600</v>
      </c>
      <c r="J123" s="157">
        <f>'Workforce &amp; Expenses'!M379</f>
        <v>1497920</v>
      </c>
      <c r="K123" s="157">
        <f>'Manufacturing &amp; Production'!K327</f>
        <v>16471</v>
      </c>
      <c r="L123" s="157">
        <f>'Clinical Trials &amp; R&amp;D'!F327</f>
        <v>4491074</v>
      </c>
      <c r="M123" s="157">
        <f>'Clinical Trials &amp; R&amp;D'!I327</f>
        <v>4747050</v>
      </c>
      <c r="N123" s="157">
        <f>'Workforce &amp; Expenses'!P379</f>
        <v>6283639</v>
      </c>
      <c r="O123" s="157">
        <f>'Workforce &amp; Expenses'!S379</f>
        <v>4173435</v>
      </c>
      <c r="P123" s="157">
        <f t="shared" si="24"/>
        <v>1354724</v>
      </c>
      <c r="Q123" s="157">
        <f t="shared" si="25"/>
        <v>1451851</v>
      </c>
      <c r="R123" s="157">
        <f t="shared" si="11"/>
        <v>580833</v>
      </c>
      <c r="S123" s="157">
        <f t="shared" si="28"/>
        <v>0</v>
      </c>
      <c r="T123" s="157">
        <f>MAX(0,ROUND(T111*IFERROR(SUM($T$86:$T$97)/SUM($T$74:$T$85),1)+('Funding &amp; Cap'!$G$10-'Funding &amp; Cap'!$G$5)*'Funding &amp; Cap'!$B$6/12,0))</f>
        <v>2433431</v>
      </c>
      <c r="U123" s="157">
        <f>IF(MONTH(A123)=IF('Funding &amp; Cap'!$N$4="IPO in 2028",'Funding &amp; Cap'!$N$8,2),'Funding &amp; Cap'!$G$10,0)</f>
        <v>225000000</v>
      </c>
      <c r="V123" s="157">
        <f t="shared" si="27"/>
        <v>0</v>
      </c>
      <c r="W123" s="157">
        <f>IF(MONTH(A123)=12,MIN(AE122,'Funding &amp; Cap'!$G$9),0)</f>
        <v>0</v>
      </c>
      <c r="X123" s="157">
        <f t="shared" si="15"/>
        <v>33889239</v>
      </c>
      <c r="Y123" s="157">
        <f t="shared" si="16"/>
        <v>15368800</v>
      </c>
      <c r="Z123" s="157">
        <f t="shared" si="17"/>
        <v>10219845</v>
      </c>
      <c r="AA123" s="157">
        <f t="shared" si="18"/>
        <v>10845956</v>
      </c>
      <c r="AB123" s="157">
        <f t="shared" si="19"/>
        <v>18128834</v>
      </c>
      <c r="AC123" s="157">
        <f t="shared" si="20"/>
        <v>13728623</v>
      </c>
      <c r="AD123" s="157">
        <f>MIN(AE123,SUMIFS($W$2:$W$181,$A$2:$A$181,"&gt;"&amp;A123,$A$2:$A$181,"&lt;="&amp;EDATE(A123,12))+IF(AND(DATE(2033,12,1)&gt;A123,DATE(2033,12,1)&lt;=EDATE(A123,12)),'Funding &amp; Cap'!$B$200,0))</f>
        <v>15000000</v>
      </c>
      <c r="AE123" s="158">
        <f t="shared" si="21"/>
        <v>82000000</v>
      </c>
      <c r="AF123" s="158">
        <f t="shared" si="2"/>
        <v>355319535</v>
      </c>
      <c r="AG123" s="158">
        <f t="shared" si="7"/>
        <v>-7091193</v>
      </c>
      <c r="AH123" s="159">
        <f>'Revenue &amp; Demand'!I53</f>
        <v>4595</v>
      </c>
      <c r="AI123" s="158">
        <f>'Revenue &amp; Demand'!K53</f>
        <v>6892500</v>
      </c>
      <c r="AJ123" s="158">
        <f>'Manufacturing &amp; Production'!J327</f>
        <v>2155380</v>
      </c>
      <c r="AK123" s="160">
        <f t="shared" si="4"/>
        <v>46784</v>
      </c>
      <c r="AL123" s="159" t="str">
        <f t="shared" si="5"/>
        <v/>
      </c>
      <c r="AM123" s="159">
        <f t="shared" si="6"/>
        <v>9480</v>
      </c>
    </row>
    <row r="124">
      <c r="A124" s="154">
        <f t="shared" si="23"/>
        <v>46813</v>
      </c>
      <c r="B124" s="155">
        <f t="shared" si="1"/>
        <v>2028</v>
      </c>
      <c r="C124" s="156">
        <f>'Revenue &amp; Demand'!C54</f>
        <v>9625</v>
      </c>
      <c r="D124" s="156">
        <f>'Revenue &amp; Demand'!D54</f>
        <v>96</v>
      </c>
      <c r="E124" s="157">
        <f>'Revenue &amp; Demand'!F54</f>
        <v>14437500</v>
      </c>
      <c r="F124" s="157">
        <f>'Revenue &amp; Demand'!G54</f>
        <v>4282553</v>
      </c>
      <c r="G124" s="157">
        <f>'Revenue &amp; Demand'!H54</f>
        <v>1286765</v>
      </c>
      <c r="H124" s="157">
        <f>'Manufacturing &amp; Production'!F328</f>
        <v>2726026</v>
      </c>
      <c r="I124" s="157">
        <f>'Manufacturing &amp; Production'!G328</f>
        <v>1155000</v>
      </c>
      <c r="J124" s="157">
        <f>'Workforce &amp; Expenses'!M380</f>
        <v>1526565</v>
      </c>
      <c r="K124" s="157">
        <f>'Manufacturing &amp; Production'!K328</f>
        <v>102941</v>
      </c>
      <c r="L124" s="157">
        <f>'Clinical Trials &amp; R&amp;D'!F328</f>
        <v>4531671</v>
      </c>
      <c r="M124" s="157">
        <f>'Clinical Trials &amp; R&amp;D'!I328</f>
        <v>4747050</v>
      </c>
      <c r="N124" s="157">
        <f>'Workforce &amp; Expenses'!P380</f>
        <v>6313704</v>
      </c>
      <c r="O124" s="157">
        <f>'Workforce &amp; Expenses'!S380</f>
        <v>4192638</v>
      </c>
      <c r="P124" s="157">
        <f t="shared" si="24"/>
        <v>1381697</v>
      </c>
      <c r="Q124" s="157">
        <f t="shared" si="25"/>
        <v>1451851</v>
      </c>
      <c r="R124" s="157">
        <f t="shared" si="11"/>
        <v>580833</v>
      </c>
      <c r="S124" s="157">
        <f t="shared" si="28"/>
        <v>0</v>
      </c>
      <c r="T124" s="157">
        <f>MAX(0,ROUND(T112*IFERROR(SUM($T$86:$T$97)/SUM($T$74:$T$85),1)+('Funding &amp; Cap'!$G$10-'Funding &amp; Cap'!$G$5)*'Funding &amp; Cap'!$B$6/12,0))</f>
        <v>6132663</v>
      </c>
      <c r="U124" s="157">
        <f>IF(MONTH(A124)=IF('Funding &amp; Cap'!$N$4="IPO in 2028",'Funding &amp; Cap'!$N$8,2),'Funding &amp; Cap'!$G$10,0)</f>
        <v>0</v>
      </c>
      <c r="V124" s="157">
        <f t="shared" si="27"/>
        <v>0</v>
      </c>
      <c r="W124" s="157">
        <f>IF(MONTH(A124)=12,MIN(AE123,'Funding &amp; Cap'!$G$9),0)</f>
        <v>0</v>
      </c>
      <c r="X124" s="157">
        <f t="shared" si="15"/>
        <v>31936020</v>
      </c>
      <c r="Y124" s="157">
        <f t="shared" si="16"/>
        <v>16169160</v>
      </c>
      <c r="Z124" s="157">
        <f t="shared" si="17"/>
        <v>9650666</v>
      </c>
      <c r="AA124" s="157">
        <f t="shared" si="18"/>
        <v>11301161</v>
      </c>
      <c r="AB124" s="157">
        <f t="shared" si="19"/>
        <v>18914343</v>
      </c>
      <c r="AC124" s="157">
        <f t="shared" si="20"/>
        <v>11064824</v>
      </c>
      <c r="AD124" s="157">
        <f>MIN(AE124,SUMIFS($W$2:$W$181,$A$2:$A$181,"&gt;"&amp;A124,$A$2:$A$181,"&lt;="&amp;EDATE(A124,12))+IF(AND(DATE(2033,12,1)&gt;A124,DATE(2033,12,1)&lt;=EDATE(A124,12)),'Funding &amp; Cap'!$B$200,0))</f>
        <v>15000000</v>
      </c>
      <c r="AE124" s="158">
        <f t="shared" si="21"/>
        <v>82000000</v>
      </c>
      <c r="AF124" s="158">
        <f t="shared" si="2"/>
        <v>348451366</v>
      </c>
      <c r="AG124" s="158">
        <f t="shared" si="7"/>
        <v>-6868169</v>
      </c>
      <c r="AH124" s="159">
        <f>'Revenue &amp; Demand'!I54</f>
        <v>4687</v>
      </c>
      <c r="AI124" s="158">
        <f>'Revenue &amp; Demand'!K54</f>
        <v>7030500</v>
      </c>
      <c r="AJ124" s="158">
        <f>'Manufacturing &amp; Production'!J328</f>
        <v>2195349</v>
      </c>
      <c r="AK124" s="160">
        <f t="shared" si="4"/>
        <v>46813</v>
      </c>
      <c r="AL124" s="159" t="str">
        <f t="shared" si="5"/>
        <v/>
      </c>
      <c r="AM124" s="159">
        <f t="shared" si="6"/>
        <v>9625</v>
      </c>
    </row>
    <row r="125">
      <c r="A125" s="154">
        <f t="shared" si="23"/>
        <v>46844</v>
      </c>
      <c r="B125" s="155">
        <f t="shared" si="1"/>
        <v>2028</v>
      </c>
      <c r="C125" s="156">
        <f>'Revenue &amp; Demand'!C55</f>
        <v>9772</v>
      </c>
      <c r="D125" s="156">
        <f>'Revenue &amp; Demand'!D55</f>
        <v>97</v>
      </c>
      <c r="E125" s="157">
        <f>'Revenue &amp; Demand'!F55</f>
        <v>14658000</v>
      </c>
      <c r="F125" s="157">
        <f>'Revenue &amp; Demand'!G55</f>
        <v>4281262</v>
      </c>
      <c r="G125" s="157">
        <f>'Revenue &amp; Demand'!H55</f>
        <v>205882</v>
      </c>
      <c r="H125" s="157">
        <f>'Manufacturing &amp; Production'!F329</f>
        <v>2749858</v>
      </c>
      <c r="I125" s="157">
        <f>'Manufacturing &amp; Production'!G329</f>
        <v>1172640</v>
      </c>
      <c r="J125" s="157">
        <f>'Workforce &amp; Expenses'!M381</f>
        <v>1536113</v>
      </c>
      <c r="K125" s="157">
        <f>'Manufacturing &amp; Production'!K329</f>
        <v>16471</v>
      </c>
      <c r="L125" s="157">
        <f>'Clinical Trials &amp; R&amp;D'!F329</f>
        <v>4531671</v>
      </c>
      <c r="M125" s="157">
        <f>'Clinical Trials &amp; R&amp;D'!I329</f>
        <v>4765615</v>
      </c>
      <c r="N125" s="157">
        <f>'Workforce &amp; Expenses'!P381</f>
        <v>6328737</v>
      </c>
      <c r="O125" s="157">
        <f>'Workforce &amp; Expenses'!S381</f>
        <v>4194070</v>
      </c>
      <c r="P125" s="157">
        <f t="shared" si="24"/>
        <v>1408703</v>
      </c>
      <c r="Q125" s="157">
        <f t="shared" si="25"/>
        <v>1451851</v>
      </c>
      <c r="R125" s="157">
        <f t="shared" si="11"/>
        <v>580833</v>
      </c>
      <c r="S125" s="157">
        <f t="shared" si="28"/>
        <v>0</v>
      </c>
      <c r="T125" s="157">
        <f>MAX(0,ROUND(T113*IFERROR(SUM($T$86:$T$97)/SUM($T$74:$T$85),1)+('Funding &amp; Cap'!$G$10-'Funding &amp; Cap'!$G$5)*'Funding &amp; Cap'!$B$6/12,0))</f>
        <v>2447915</v>
      </c>
      <c r="U125" s="157">
        <f>IF(MONTH(A125)=IF('Funding &amp; Cap'!$N$4="IPO in 2028",'Funding &amp; Cap'!$N$8,2),'Funding &amp; Cap'!$G$10,0)</f>
        <v>0</v>
      </c>
      <c r="V125" s="157">
        <f t="shared" si="27"/>
        <v>0</v>
      </c>
      <c r="W125" s="157">
        <f>IF(MONTH(A125)=12,MIN(AE124,'Funding &amp; Cap'!$G$9),0)</f>
        <v>0</v>
      </c>
      <c r="X125" s="157">
        <f t="shared" si="15"/>
        <v>37511813</v>
      </c>
      <c r="Y125" s="157">
        <f t="shared" si="16"/>
        <v>16948822</v>
      </c>
      <c r="Z125" s="157">
        <f t="shared" si="17"/>
        <v>11067228</v>
      </c>
      <c r="AA125" s="157">
        <f t="shared" si="18"/>
        <v>12082269</v>
      </c>
      <c r="AB125" s="157">
        <f t="shared" si="19"/>
        <v>19761639</v>
      </c>
      <c r="AC125" s="157">
        <f t="shared" si="20"/>
        <v>13883731</v>
      </c>
      <c r="AD125" s="157">
        <f>MIN(AE125,SUMIFS($W$2:$W$181,$A$2:$A$181,"&gt;"&amp;A125,$A$2:$A$181,"&lt;="&amp;EDATE(A125,12))+IF(AND(DATE(2033,12,1)&gt;A125,DATE(2033,12,1)&lt;=EDATE(A125,12)),'Funding &amp; Cap'!$B$200,0))</f>
        <v>15000000</v>
      </c>
      <c r="AE125" s="158">
        <f t="shared" si="21"/>
        <v>82000000</v>
      </c>
      <c r="AF125" s="158">
        <f t="shared" si="2"/>
        <v>340882128</v>
      </c>
      <c r="AG125" s="158">
        <f t="shared" si="7"/>
        <v>-7569238</v>
      </c>
      <c r="AH125" s="159">
        <f>'Revenue &amp; Demand'!I55</f>
        <v>4780</v>
      </c>
      <c r="AI125" s="158">
        <f>'Revenue &amp; Demand'!K55</f>
        <v>7170000</v>
      </c>
      <c r="AJ125" s="158">
        <f>'Manufacturing &amp; Production'!J329</f>
        <v>2235753</v>
      </c>
      <c r="AK125" s="160">
        <f t="shared" si="4"/>
        <v>46844</v>
      </c>
      <c r="AL125" s="159" t="str">
        <f t="shared" si="5"/>
        <v/>
      </c>
      <c r="AM125" s="159">
        <f t="shared" si="6"/>
        <v>9772</v>
      </c>
    </row>
    <row r="126">
      <c r="A126" s="154">
        <f t="shared" si="23"/>
        <v>46874</v>
      </c>
      <c r="B126" s="155">
        <f t="shared" si="1"/>
        <v>2028</v>
      </c>
      <c r="C126" s="156">
        <f>'Revenue &amp; Demand'!C56</f>
        <v>9922</v>
      </c>
      <c r="D126" s="156">
        <f>'Revenue &amp; Demand'!D56</f>
        <v>100</v>
      </c>
      <c r="E126" s="157">
        <f>'Revenue &amp; Demand'!F56</f>
        <v>14883000</v>
      </c>
      <c r="F126" s="157">
        <f>'Revenue &amp; Demand'!G56</f>
        <v>4114209</v>
      </c>
      <c r="G126" s="157">
        <f>'Revenue &amp; Demand'!H56</f>
        <v>205882</v>
      </c>
      <c r="H126" s="157">
        <f>'Manufacturing &amp; Production'!F330</f>
        <v>2801916</v>
      </c>
      <c r="I126" s="157">
        <f>'Manufacturing &amp; Production'!G330</f>
        <v>1190640</v>
      </c>
      <c r="J126" s="157">
        <f>'Workforce &amp; Expenses'!M382</f>
        <v>1564757</v>
      </c>
      <c r="K126" s="157">
        <f>'Manufacturing &amp; Production'!K330</f>
        <v>16471</v>
      </c>
      <c r="L126" s="157">
        <f>'Clinical Trials &amp; R&amp;D'!F330</f>
        <v>4572269</v>
      </c>
      <c r="M126" s="157">
        <f>'Clinical Trials &amp; R&amp;D'!I330</f>
        <v>4784181</v>
      </c>
      <c r="N126" s="157">
        <f>'Workforce &amp; Expenses'!P382</f>
        <v>6358982</v>
      </c>
      <c r="O126" s="157">
        <f>'Workforce &amp; Expenses'!S382</f>
        <v>4214704</v>
      </c>
      <c r="P126" s="157">
        <f t="shared" si="24"/>
        <v>1435744</v>
      </c>
      <c r="Q126" s="157">
        <f t="shared" si="25"/>
        <v>1451851</v>
      </c>
      <c r="R126" s="157">
        <f t="shared" si="11"/>
        <v>580833</v>
      </c>
      <c r="S126" s="157">
        <f t="shared" si="28"/>
        <v>0</v>
      </c>
      <c r="T126" s="157">
        <f>MAX(0,ROUND(T114*IFERROR(SUM($T$86:$T$97)/SUM($T$74:$T$85),1)+('Funding &amp; Cap'!$G$10-'Funding &amp; Cap'!$G$5)*'Funding &amp; Cap'!$B$6/12,0))</f>
        <v>2522460</v>
      </c>
      <c r="U126" s="157">
        <f>IF(MONTH(A126)=IF('Funding &amp; Cap'!$N$4="IPO in 2028",'Funding &amp; Cap'!$N$8,2),'Funding &amp; Cap'!$G$10,0)</f>
        <v>0</v>
      </c>
      <c r="V126" s="157">
        <f t="shared" si="27"/>
        <v>0</v>
      </c>
      <c r="W126" s="157">
        <f>IF(MONTH(A126)=12,MIN(AE125,'Funding &amp; Cap'!$G$9),0)</f>
        <v>0</v>
      </c>
      <c r="X126" s="157">
        <f t="shared" si="15"/>
        <v>38985111</v>
      </c>
      <c r="Y126" s="157">
        <f t="shared" si="16"/>
        <v>17606154</v>
      </c>
      <c r="Z126" s="157">
        <f t="shared" si="17"/>
        <v>11379482</v>
      </c>
      <c r="AA126" s="157">
        <f t="shared" si="18"/>
        <v>12848557</v>
      </c>
      <c r="AB126" s="157">
        <f t="shared" si="19"/>
        <v>20744293</v>
      </c>
      <c r="AC126" s="157">
        <f t="shared" si="20"/>
        <v>13824527</v>
      </c>
      <c r="AD126" s="157">
        <f>MIN(AE126,SUMIFS($W$2:$W$181,$A$2:$A$181,"&gt;"&amp;A126,$A$2:$A$181,"&lt;="&amp;EDATE(A126,12))+IF(AND(DATE(2033,12,1)&gt;A126,DATE(2033,12,1)&lt;=EDATE(A126,12)),'Funding &amp; Cap'!$B$200,0))</f>
        <v>15000000</v>
      </c>
      <c r="AE126" s="158">
        <f t="shared" si="21"/>
        <v>82000000</v>
      </c>
      <c r="AF126" s="158">
        <f t="shared" si="2"/>
        <v>335761402</v>
      </c>
      <c r="AG126" s="158">
        <f t="shared" si="7"/>
        <v>-5120726</v>
      </c>
      <c r="AH126" s="159">
        <f>'Revenue &amp; Demand'!I56</f>
        <v>4876</v>
      </c>
      <c r="AI126" s="158">
        <f>'Revenue &amp; Demand'!K56</f>
        <v>7314000</v>
      </c>
      <c r="AJ126" s="158">
        <f>'Manufacturing &amp; Production'!J330</f>
        <v>2277458</v>
      </c>
      <c r="AK126" s="160">
        <f t="shared" si="4"/>
        <v>46874</v>
      </c>
      <c r="AL126" s="159" t="str">
        <f t="shared" si="5"/>
        <v/>
      </c>
      <c r="AM126" s="159">
        <f t="shared" si="6"/>
        <v>9922</v>
      </c>
    </row>
    <row r="127">
      <c r="A127" s="154">
        <f t="shared" si="23"/>
        <v>46905</v>
      </c>
      <c r="B127" s="155">
        <f t="shared" si="1"/>
        <v>2028</v>
      </c>
      <c r="C127" s="156">
        <f>'Revenue &amp; Demand'!C57</f>
        <v>10074</v>
      </c>
      <c r="D127" s="156">
        <f>'Revenue &amp; Demand'!D57</f>
        <v>102</v>
      </c>
      <c r="E127" s="157">
        <f>'Revenue &amp; Demand'!F57</f>
        <v>15111000</v>
      </c>
      <c r="F127" s="157">
        <f>'Revenue &amp; Demand'!G57</f>
        <v>3775329</v>
      </c>
      <c r="G127" s="157">
        <f>'Revenue &amp; Demand'!H57</f>
        <v>1286765</v>
      </c>
      <c r="H127" s="157">
        <f>'Manufacturing &amp; Production'!F331</f>
        <v>2826172</v>
      </c>
      <c r="I127" s="157">
        <f>'Manufacturing &amp; Production'!G331</f>
        <v>1208880</v>
      </c>
      <c r="J127" s="157">
        <f>'Workforce &amp; Expenses'!M383</f>
        <v>1597715</v>
      </c>
      <c r="K127" s="157">
        <f>'Manufacturing &amp; Production'!K331</f>
        <v>102941</v>
      </c>
      <c r="L127" s="157">
        <f>'Clinical Trials &amp; R&amp;D'!F331</f>
        <v>4572269</v>
      </c>
      <c r="M127" s="157">
        <f>'Clinical Trials &amp; R&amp;D'!I331</f>
        <v>4802747</v>
      </c>
      <c r="N127" s="157">
        <f>'Workforce &amp; Expenses'!P383</f>
        <v>6388867</v>
      </c>
      <c r="O127" s="157">
        <f>'Workforce &amp; Expenses'!S383</f>
        <v>4233907</v>
      </c>
      <c r="P127" s="157">
        <f t="shared" si="24"/>
        <v>1462818</v>
      </c>
      <c r="Q127" s="157">
        <f t="shared" si="25"/>
        <v>1451851</v>
      </c>
      <c r="R127" s="157">
        <f t="shared" si="11"/>
        <v>580833</v>
      </c>
      <c r="S127" s="157">
        <f t="shared" si="28"/>
        <v>0</v>
      </c>
      <c r="T127" s="157">
        <f>MAX(0,ROUND(T115*IFERROR(SUM($T$86:$T$97)/SUM($T$74:$T$85),1)+('Funding &amp; Cap'!$G$10-'Funding &amp; Cap'!$G$5)*'Funding &amp; Cap'!$B$6/12,0))</f>
        <v>2598073</v>
      </c>
      <c r="U127" s="157">
        <f>IF(MONTH(A127)=IF('Funding &amp; Cap'!$N$4="IPO in 2028",'Funding &amp; Cap'!$N$8,2),'Funding &amp; Cap'!$G$10,0)</f>
        <v>0</v>
      </c>
      <c r="V127" s="157">
        <f t="shared" si="27"/>
        <v>0</v>
      </c>
      <c r="W127" s="157">
        <f>IF(MONTH(A127)=12,MIN(AE126,'Funding &amp; Cap'!$G$9),0)</f>
        <v>0</v>
      </c>
      <c r="X127" s="157">
        <f t="shared" si="15"/>
        <v>36163918</v>
      </c>
      <c r="Y127" s="157">
        <f t="shared" si="16"/>
        <v>18138633</v>
      </c>
      <c r="Z127" s="157">
        <f t="shared" si="17"/>
        <v>10583864</v>
      </c>
      <c r="AA127" s="157">
        <f t="shared" si="18"/>
        <v>13257683</v>
      </c>
      <c r="AB127" s="157">
        <f t="shared" si="19"/>
        <v>21656784</v>
      </c>
      <c r="AC127" s="157">
        <f t="shared" si="20"/>
        <v>10763794</v>
      </c>
      <c r="AD127" s="157">
        <f>MIN(AE127,SUMIFS($W$2:$W$181,$A$2:$A$181,"&gt;"&amp;A127,$A$2:$A$181,"&lt;="&amp;EDATE(A127,12))+IF(AND(DATE(2033,12,1)&gt;A127,DATE(2033,12,1)&lt;=EDATE(A127,12)),'Funding &amp; Cap'!$B$200,0))</f>
        <v>15000000</v>
      </c>
      <c r="AE127" s="158">
        <f t="shared" si="21"/>
        <v>82000000</v>
      </c>
      <c r="AF127" s="158">
        <f t="shared" si="2"/>
        <v>333507210</v>
      </c>
      <c r="AG127" s="158">
        <f t="shared" si="7"/>
        <v>-2254192</v>
      </c>
      <c r="AH127" s="159">
        <f>'Revenue &amp; Demand'!I57</f>
        <v>4973</v>
      </c>
      <c r="AI127" s="158">
        <f>'Revenue &amp; Demand'!K57</f>
        <v>7459500</v>
      </c>
      <c r="AJ127" s="158">
        <f>'Manufacturing &amp; Production'!J331</f>
        <v>2319598</v>
      </c>
      <c r="AK127" s="160">
        <f t="shared" si="4"/>
        <v>46905</v>
      </c>
      <c r="AL127" s="159" t="str">
        <f t="shared" si="5"/>
        <v/>
      </c>
      <c r="AM127" s="159">
        <f t="shared" si="6"/>
        <v>10074</v>
      </c>
    </row>
    <row r="128">
      <c r="A128" s="154">
        <f t="shared" si="23"/>
        <v>46935</v>
      </c>
      <c r="B128" s="155">
        <f t="shared" si="1"/>
        <v>2028</v>
      </c>
      <c r="C128" s="156">
        <f>'Revenue &amp; Demand'!C58</f>
        <v>10228</v>
      </c>
      <c r="D128" s="156">
        <f>'Revenue &amp; Demand'!D58</f>
        <v>103</v>
      </c>
      <c r="E128" s="157">
        <f>'Revenue &amp; Demand'!F58</f>
        <v>15342000</v>
      </c>
      <c r="F128" s="157">
        <f>'Revenue &amp; Demand'!G58</f>
        <v>3708057</v>
      </c>
      <c r="G128" s="157">
        <f>'Revenue &amp; Demand'!H58</f>
        <v>205882</v>
      </c>
      <c r="H128" s="157">
        <f>'Manufacturing &amp; Production'!F332</f>
        <v>2850597</v>
      </c>
      <c r="I128" s="157">
        <f>'Manufacturing &amp; Production'!G332</f>
        <v>1227360</v>
      </c>
      <c r="J128" s="157">
        <f>'Workforce &amp; Expenses'!M384</f>
        <v>1607263</v>
      </c>
      <c r="K128" s="157">
        <f>'Manufacturing &amp; Production'!K332</f>
        <v>16471</v>
      </c>
      <c r="L128" s="157">
        <f>'Clinical Trials &amp; R&amp;D'!F332</f>
        <v>4612866</v>
      </c>
      <c r="M128" s="157">
        <f>'Clinical Trials &amp; R&amp;D'!I332</f>
        <v>4802747</v>
      </c>
      <c r="N128" s="157">
        <f>'Workforce &amp; Expenses'!P384</f>
        <v>6419113</v>
      </c>
      <c r="O128" s="157">
        <f>'Workforce &amp; Expenses'!S384</f>
        <v>4236294</v>
      </c>
      <c r="P128" s="157">
        <f t="shared" si="24"/>
        <v>1489931</v>
      </c>
      <c r="Q128" s="157">
        <f t="shared" si="25"/>
        <v>1451851</v>
      </c>
      <c r="R128" s="157">
        <f t="shared" si="11"/>
        <v>580833</v>
      </c>
      <c r="S128" s="157">
        <f t="shared" si="28"/>
        <v>0</v>
      </c>
      <c r="T128" s="157">
        <f>MAX(0,ROUND(T116*IFERROR(SUM($T$86:$T$97)/SUM($T$74:$T$85),1)+('Funding &amp; Cap'!$G$10-'Funding &amp; Cap'!$G$5)*'Funding &amp; Cap'!$B$6/12,0))</f>
        <v>2535339</v>
      </c>
      <c r="U128" s="157">
        <f>IF(MONTH(A128)=IF('Funding &amp; Cap'!$N$4="IPO in 2028",'Funding &amp; Cap'!$N$8,2),'Funding &amp; Cap'!$G$10,0)</f>
        <v>0</v>
      </c>
      <c r="V128" s="157">
        <f t="shared" si="27"/>
        <v>0</v>
      </c>
      <c r="W128" s="157">
        <f>IF(MONTH(A128)=12,MIN(AE127,'Funding &amp; Cap'!$G$9),0)</f>
        <v>0</v>
      </c>
      <c r="X128" s="157">
        <f t="shared" si="15"/>
        <v>41374552</v>
      </c>
      <c r="Y128" s="157">
        <f t="shared" si="16"/>
        <v>18733582</v>
      </c>
      <c r="Z128" s="157">
        <f t="shared" si="17"/>
        <v>11829244</v>
      </c>
      <c r="AA128" s="157">
        <f t="shared" si="18"/>
        <v>14052602</v>
      </c>
      <c r="AB128" s="157">
        <f t="shared" si="19"/>
        <v>22443288</v>
      </c>
      <c r="AC128" s="157">
        <f t="shared" si="20"/>
        <v>13215527</v>
      </c>
      <c r="AD128" s="157">
        <f>MIN(AE128,SUMIFS($W$2:$W$181,$A$2:$A$181,"&gt;"&amp;A128,$A$2:$A$181,"&lt;="&amp;EDATE(A128,12))+IF(AND(DATE(2033,12,1)&gt;A128,DATE(2033,12,1)&lt;=EDATE(A128,12)),'Funding &amp; Cap'!$B$200,0))</f>
        <v>15000000</v>
      </c>
      <c r="AE128" s="158">
        <f t="shared" si="21"/>
        <v>82000000</v>
      </c>
      <c r="AF128" s="158">
        <f t="shared" si="2"/>
        <v>326102917</v>
      </c>
      <c r="AG128" s="158">
        <f t="shared" si="7"/>
        <v>-7404293</v>
      </c>
      <c r="AH128" s="159">
        <f>'Revenue &amp; Demand'!I58</f>
        <v>5073</v>
      </c>
      <c r="AI128" s="158">
        <f>'Revenue &amp; Demand'!K58</f>
        <v>7609500</v>
      </c>
      <c r="AJ128" s="158">
        <f>'Manufacturing &amp; Production'!J332</f>
        <v>2363042</v>
      </c>
      <c r="AK128" s="160">
        <f t="shared" si="4"/>
        <v>46935</v>
      </c>
      <c r="AL128" s="159" t="str">
        <f t="shared" si="5"/>
        <v/>
      </c>
      <c r="AM128" s="159">
        <f t="shared" si="6"/>
        <v>10228</v>
      </c>
    </row>
    <row r="129">
      <c r="A129" s="154">
        <f t="shared" si="23"/>
        <v>46966</v>
      </c>
      <c r="B129" s="155">
        <f t="shared" si="1"/>
        <v>2028</v>
      </c>
      <c r="C129" s="156">
        <f>'Revenue &amp; Demand'!C59</f>
        <v>10385</v>
      </c>
      <c r="D129" s="156">
        <f>'Revenue &amp; Demand'!D59</f>
        <v>106</v>
      </c>
      <c r="E129" s="157">
        <f>'Revenue &amp; Demand'!F59</f>
        <v>15577500</v>
      </c>
      <c r="F129" s="157">
        <f>'Revenue &amp; Demand'!G59</f>
        <v>3619961</v>
      </c>
      <c r="G129" s="157">
        <f>'Revenue &amp; Demand'!H59</f>
        <v>205882</v>
      </c>
      <c r="H129" s="157">
        <f>'Manufacturing &amp; Production'!F333</f>
        <v>2903248</v>
      </c>
      <c r="I129" s="157">
        <f>'Manufacturing &amp; Production'!G333</f>
        <v>1246200</v>
      </c>
      <c r="J129" s="157">
        <f>'Workforce &amp; Expenses'!M385</f>
        <v>1635908</v>
      </c>
      <c r="K129" s="157">
        <f>'Manufacturing &amp; Production'!K333</f>
        <v>16471</v>
      </c>
      <c r="L129" s="157">
        <f>'Clinical Trials &amp; R&amp;D'!F333</f>
        <v>4612866</v>
      </c>
      <c r="M129" s="157">
        <f>'Clinical Trials &amp; R&amp;D'!I333</f>
        <v>4821313</v>
      </c>
      <c r="N129" s="157">
        <f>'Workforce &amp; Expenses'!P385</f>
        <v>6448998</v>
      </c>
      <c r="O129" s="157">
        <f>'Workforce &amp; Expenses'!S385</f>
        <v>4255973</v>
      </c>
      <c r="P129" s="157">
        <f t="shared" si="24"/>
        <v>1517075</v>
      </c>
      <c r="Q129" s="157">
        <f t="shared" si="25"/>
        <v>1451851</v>
      </c>
      <c r="R129" s="157">
        <f t="shared" si="11"/>
        <v>580833</v>
      </c>
      <c r="S129" s="157">
        <f t="shared" si="28"/>
        <v>0</v>
      </c>
      <c r="T129" s="157">
        <f>MAX(0,ROUND(T117*IFERROR(SUM($T$86:$T$97)/SUM($T$74:$T$85),1)+('Funding &amp; Cap'!$G$10-'Funding &amp; Cap'!$G$5)*'Funding &amp; Cap'!$B$6/12,0))</f>
        <v>2611487</v>
      </c>
      <c r="U129" s="157">
        <f>IF(MONTH(A129)=IF('Funding &amp; Cap'!$N$4="IPO in 2028",'Funding &amp; Cap'!$N$8,2),'Funding &amp; Cap'!$G$10,0)</f>
        <v>0</v>
      </c>
      <c r="V129" s="157">
        <f t="shared" si="27"/>
        <v>0</v>
      </c>
      <c r="W129" s="157">
        <f>IF(MONTH(A129)=12,MIN(AE128,'Funding &amp; Cap'!$G$9),0)</f>
        <v>0</v>
      </c>
      <c r="X129" s="157">
        <f t="shared" si="15"/>
        <v>42587140</v>
      </c>
      <c r="Y129" s="157">
        <f t="shared" si="16"/>
        <v>19306801</v>
      </c>
      <c r="Z129" s="157">
        <f t="shared" si="17"/>
        <v>12078038</v>
      </c>
      <c r="AA129" s="157">
        <f t="shared" si="18"/>
        <v>14541428</v>
      </c>
      <c r="AB129" s="157">
        <f t="shared" si="19"/>
        <v>23008518</v>
      </c>
      <c r="AC129" s="157">
        <f t="shared" si="20"/>
        <v>12996887</v>
      </c>
      <c r="AD129" s="157">
        <f>MIN(AE129,SUMIFS($W$2:$W$181,$A$2:$A$181,"&gt;"&amp;A129,$A$2:$A$181,"&lt;="&amp;EDATE(A129,12))+IF(AND(DATE(2033,12,1)&gt;A129,DATE(2033,12,1)&lt;=EDATE(A129,12)),'Funding &amp; Cap'!$B$200,0))</f>
        <v>15000000</v>
      </c>
      <c r="AE129" s="158">
        <f t="shared" si="21"/>
        <v>82000000</v>
      </c>
      <c r="AF129" s="158">
        <f t="shared" si="2"/>
        <v>320527859</v>
      </c>
      <c r="AG129" s="158">
        <f t="shared" si="7"/>
        <v>-5575058</v>
      </c>
      <c r="AH129" s="159">
        <f>'Revenue &amp; Demand'!I59</f>
        <v>5174</v>
      </c>
      <c r="AI129" s="158">
        <f>'Revenue &amp; Demand'!K59</f>
        <v>7761000</v>
      </c>
      <c r="AJ129" s="158">
        <f>'Manufacturing &amp; Production'!J333</f>
        <v>2406919</v>
      </c>
      <c r="AK129" s="160">
        <f t="shared" si="4"/>
        <v>46966</v>
      </c>
      <c r="AL129" s="159" t="str">
        <f t="shared" si="5"/>
        <v/>
      </c>
      <c r="AM129" s="159">
        <f t="shared" si="6"/>
        <v>10385</v>
      </c>
    </row>
    <row r="130">
      <c r="A130" s="154">
        <f t="shared" si="23"/>
        <v>46997</v>
      </c>
      <c r="B130" s="155">
        <f t="shared" si="1"/>
        <v>2028</v>
      </c>
      <c r="C130" s="156">
        <f>'Revenue &amp; Demand'!C60</f>
        <v>10544</v>
      </c>
      <c r="D130" s="156">
        <f>'Revenue &amp; Demand'!D60</f>
        <v>108</v>
      </c>
      <c r="E130" s="157">
        <f>'Revenue &amp; Demand'!F60</f>
        <v>15816000</v>
      </c>
      <c r="F130" s="157">
        <f>'Revenue &amp; Demand'!G60</f>
        <v>3655385</v>
      </c>
      <c r="G130" s="157">
        <f>'Revenue &amp; Demand'!H60</f>
        <v>1286765</v>
      </c>
      <c r="H130" s="157">
        <f>'Manufacturing &amp; Production'!F334</f>
        <v>2928096</v>
      </c>
      <c r="I130" s="157">
        <f>'Manufacturing &amp; Production'!G334</f>
        <v>1265280</v>
      </c>
      <c r="J130" s="157">
        <f>'Workforce &amp; Expenses'!M386</f>
        <v>1655004</v>
      </c>
      <c r="K130" s="157">
        <f>'Manufacturing &amp; Production'!K334</f>
        <v>102941</v>
      </c>
      <c r="L130" s="157">
        <f>'Clinical Trials &amp; R&amp;D'!F334</f>
        <v>4653463</v>
      </c>
      <c r="M130" s="157">
        <f>'Clinical Trials &amp; R&amp;D'!I334</f>
        <v>4839878</v>
      </c>
      <c r="N130" s="157">
        <f>'Workforce &amp; Expenses'!P386</f>
        <v>6479243</v>
      </c>
      <c r="O130" s="157">
        <f>'Workforce &amp; Expenses'!S386</f>
        <v>4258837</v>
      </c>
      <c r="P130" s="157">
        <f t="shared" si="24"/>
        <v>1544256</v>
      </c>
      <c r="Q130" s="157">
        <f t="shared" si="25"/>
        <v>1451851</v>
      </c>
      <c r="R130" s="157">
        <f t="shared" si="11"/>
        <v>580833</v>
      </c>
      <c r="S130" s="157">
        <f t="shared" si="28"/>
        <v>0</v>
      </c>
      <c r="T130" s="157">
        <f>MAX(0,ROUND(T118*IFERROR(SUM($T$86:$T$97)/SUM($T$74:$T$85),1)+('Funding &amp; Cap'!$G$10-'Funding &amp; Cap'!$G$5)*'Funding &amp; Cap'!$B$6/12,0))</f>
        <v>6313924</v>
      </c>
      <c r="U130" s="157">
        <f>IF(MONTH(A130)=IF('Funding &amp; Cap'!$N$4="IPO in 2028",'Funding &amp; Cap'!$N$8,2),'Funding &amp; Cap'!$G$10,0)</f>
        <v>0</v>
      </c>
      <c r="V130" s="157">
        <f t="shared" si="27"/>
        <v>0</v>
      </c>
      <c r="W130" s="157">
        <f>IF(MONTH(A130)=12,MIN(AE129,'Funding &amp; Cap'!$G$9),0)</f>
        <v>0</v>
      </c>
      <c r="X130" s="157">
        <f t="shared" si="15"/>
        <v>40077526</v>
      </c>
      <c r="Y130" s="157">
        <f t="shared" si="16"/>
        <v>19917373</v>
      </c>
      <c r="Z130" s="157">
        <f t="shared" si="17"/>
        <v>11469739</v>
      </c>
      <c r="AA130" s="157">
        <f t="shared" si="18"/>
        <v>14620773</v>
      </c>
      <c r="AB130" s="157">
        <f t="shared" si="19"/>
        <v>23363738</v>
      </c>
      <c r="AC130" s="157">
        <f t="shared" si="20"/>
        <v>10701740</v>
      </c>
      <c r="AD130" s="157">
        <f>MIN(AE130,SUMIFS($W$2:$W$181,$A$2:$A$181,"&gt;"&amp;A130,$A$2:$A$181,"&lt;="&amp;EDATE(A130,12))+IF(AND(DATE(2033,12,1)&gt;A130,DATE(2033,12,1)&lt;=EDATE(A130,12)),'Funding &amp; Cap'!$B$200,0))</f>
        <v>15000000</v>
      </c>
      <c r="AE130" s="158">
        <f t="shared" si="21"/>
        <v>82000000</v>
      </c>
      <c r="AF130" s="158">
        <f t="shared" si="2"/>
        <v>314320167</v>
      </c>
      <c r="AG130" s="158">
        <f t="shared" si="7"/>
        <v>-6207692</v>
      </c>
      <c r="AH130" s="159">
        <f>'Revenue &amp; Demand'!I60</f>
        <v>5278</v>
      </c>
      <c r="AI130" s="158">
        <f>'Revenue &amp; Demand'!K60</f>
        <v>7917000</v>
      </c>
      <c r="AJ130" s="158">
        <f>'Manufacturing &amp; Production'!J334</f>
        <v>2452102</v>
      </c>
      <c r="AK130" s="160">
        <f t="shared" si="4"/>
        <v>46997</v>
      </c>
      <c r="AL130" s="159" t="str">
        <f t="shared" si="5"/>
        <v/>
      </c>
      <c r="AM130" s="159">
        <f t="shared" si="6"/>
        <v>10544</v>
      </c>
    </row>
    <row r="131">
      <c r="A131" s="154">
        <f t="shared" si="23"/>
        <v>47027</v>
      </c>
      <c r="B131" s="155">
        <f t="shared" si="1"/>
        <v>2028</v>
      </c>
      <c r="C131" s="156">
        <f>'Revenue &amp; Demand'!C61</f>
        <v>10705</v>
      </c>
      <c r="D131" s="156">
        <f>'Revenue &amp; Demand'!D61</f>
        <v>108</v>
      </c>
      <c r="E131" s="157">
        <f>'Revenue &amp; Demand'!F61</f>
        <v>16057500</v>
      </c>
      <c r="F131" s="157">
        <f>'Revenue &amp; Demand'!G61</f>
        <v>3688259</v>
      </c>
      <c r="G131" s="157">
        <f>'Revenue &amp; Demand'!H61</f>
        <v>205882</v>
      </c>
      <c r="H131" s="157">
        <f>'Manufacturing &amp; Production'!F335</f>
        <v>2953113</v>
      </c>
      <c r="I131" s="157">
        <f>'Manufacturing &amp; Production'!G335</f>
        <v>1284600</v>
      </c>
      <c r="J131" s="157">
        <f>'Workforce &amp; Expenses'!M387</f>
        <v>1668867</v>
      </c>
      <c r="K131" s="157">
        <f>'Manufacturing &amp; Production'!K335</f>
        <v>16471</v>
      </c>
      <c r="L131" s="157">
        <f>'Clinical Trials &amp; R&amp;D'!F335</f>
        <v>4653463</v>
      </c>
      <c r="M131" s="157">
        <f>'Clinical Trials &amp; R&amp;D'!I335</f>
        <v>4858444</v>
      </c>
      <c r="N131" s="157">
        <f>'Workforce &amp; Expenses'!P387</f>
        <v>6494276</v>
      </c>
      <c r="O131" s="157">
        <f>'Workforce &amp; Expenses'!S387</f>
        <v>4277562</v>
      </c>
      <c r="P131" s="157">
        <f t="shared" si="24"/>
        <v>1561062</v>
      </c>
      <c r="Q131" s="157">
        <f t="shared" si="25"/>
        <v>1451851</v>
      </c>
      <c r="R131" s="157">
        <f t="shared" si="11"/>
        <v>580833</v>
      </c>
      <c r="S131" s="157">
        <f t="shared" si="28"/>
        <v>0</v>
      </c>
      <c r="T131" s="157">
        <f>MAX(0,ROUND(T119*IFERROR(SUM($T$86:$T$97)/SUM($T$74:$T$85),1)+('Funding &amp; Cap'!$G$10-'Funding &amp; Cap'!$G$5)*'Funding &amp; Cap'!$B$6/12,0))</f>
        <v>2670841</v>
      </c>
      <c r="U131" s="157">
        <f>IF(MONTH(A131)=IF('Funding &amp; Cap'!$N$4="IPO in 2028",'Funding &amp; Cap'!$N$8,2),'Funding &amp; Cap'!$G$10,0)</f>
        <v>0</v>
      </c>
      <c r="V131" s="157">
        <f t="shared" si="27"/>
        <v>0</v>
      </c>
      <c r="W131" s="157">
        <f>IF(MONTH(A131)=12,MIN(AE130,'Funding &amp; Cap'!$G$9),0)</f>
        <v>0</v>
      </c>
      <c r="X131" s="157">
        <f t="shared" si="15"/>
        <v>41927644</v>
      </c>
      <c r="Y131" s="157">
        <f t="shared" si="16"/>
        <v>18751238</v>
      </c>
      <c r="Z131" s="157">
        <f t="shared" si="17"/>
        <v>11753340</v>
      </c>
      <c r="AA131" s="157">
        <f t="shared" si="18"/>
        <v>14358097</v>
      </c>
      <c r="AB131" s="157">
        <f t="shared" si="19"/>
        <v>23105331</v>
      </c>
      <c r="AC131" s="157">
        <f t="shared" si="20"/>
        <v>12791187</v>
      </c>
      <c r="AD131" s="157">
        <f>MIN(AE131,SUMIFS($W$2:$W$181,$A$2:$A$181,"&gt;"&amp;A131,$A$2:$A$181,"&lt;="&amp;EDATE(A131,12))+IF(AND(DATE(2033,12,1)&gt;A131,DATE(2033,12,1)&lt;=EDATE(A131,12)),'Funding &amp; Cap'!$B$200,0))</f>
        <v>15000000</v>
      </c>
      <c r="AE131" s="158">
        <f t="shared" si="21"/>
        <v>82000000</v>
      </c>
      <c r="AF131" s="158">
        <f t="shared" si="2"/>
        <v>310990901</v>
      </c>
      <c r="AG131" s="158">
        <f t="shared" si="7"/>
        <v>-3329266</v>
      </c>
      <c r="AH131" s="159">
        <f>'Revenue &amp; Demand'!I61</f>
        <v>5383</v>
      </c>
      <c r="AI131" s="158">
        <f>'Revenue &amp; Demand'!K61</f>
        <v>8074500</v>
      </c>
      <c r="AJ131" s="158">
        <f>'Manufacturing &amp; Production'!J335</f>
        <v>2497717</v>
      </c>
      <c r="AK131" s="160">
        <f t="shared" si="4"/>
        <v>47027</v>
      </c>
      <c r="AL131" s="159" t="str">
        <f t="shared" si="5"/>
        <v/>
      </c>
      <c r="AM131" s="159">
        <f t="shared" si="6"/>
        <v>10705</v>
      </c>
    </row>
    <row r="132">
      <c r="A132" s="154">
        <f t="shared" si="23"/>
        <v>47058</v>
      </c>
      <c r="B132" s="155">
        <f t="shared" si="1"/>
        <v>2028</v>
      </c>
      <c r="C132" s="156">
        <f>'Revenue &amp; Demand'!C62</f>
        <v>10869</v>
      </c>
      <c r="D132" s="156">
        <f>'Revenue &amp; Demand'!D62</f>
        <v>110</v>
      </c>
      <c r="E132" s="157">
        <f>'Revenue &amp; Demand'!F62</f>
        <v>16303500</v>
      </c>
      <c r="F132" s="157">
        <f>'Revenue &amp; Demand'!G62</f>
        <v>3814469</v>
      </c>
      <c r="G132" s="157">
        <f>'Revenue &amp; Demand'!H62</f>
        <v>205882</v>
      </c>
      <c r="H132" s="157">
        <f>'Manufacturing &amp; Production'!F336</f>
        <v>3006357</v>
      </c>
      <c r="I132" s="157">
        <f>'Manufacturing &amp; Production'!G336</f>
        <v>1304280</v>
      </c>
      <c r="J132" s="157">
        <f>'Workforce &amp; Expenses'!M388</f>
        <v>1687963</v>
      </c>
      <c r="K132" s="157">
        <f>'Manufacturing &amp; Production'!K336</f>
        <v>16471</v>
      </c>
      <c r="L132" s="157">
        <f>'Clinical Trials &amp; R&amp;D'!F336</f>
        <v>4694060</v>
      </c>
      <c r="M132" s="157">
        <f>'Clinical Trials &amp; R&amp;D'!I336</f>
        <v>4858444</v>
      </c>
      <c r="N132" s="157">
        <f>'Workforce &amp; Expenses'!P388</f>
        <v>6524521</v>
      </c>
      <c r="O132" s="157">
        <f>'Workforce &amp; Expenses'!S388</f>
        <v>4280904</v>
      </c>
      <c r="P132" s="157">
        <f t="shared" si="24"/>
        <v>1587082</v>
      </c>
      <c r="Q132" s="157">
        <f t="shared" si="25"/>
        <v>1451851</v>
      </c>
      <c r="R132" s="157">
        <f t="shared" si="11"/>
        <v>580833</v>
      </c>
      <c r="S132" s="157">
        <f t="shared" si="28"/>
        <v>0</v>
      </c>
      <c r="T132" s="157">
        <f>MAX(0,ROUND(T120*IFERROR(SUM($T$86:$T$97)/SUM($T$74:$T$85),1)+('Funding &amp; Cap'!$G$10-'Funding &amp; Cap'!$G$5)*'Funding &amp; Cap'!$B$6/12,0))</f>
        <v>2700516</v>
      </c>
      <c r="U132" s="157">
        <f>IF(MONTH(A132)=IF('Funding &amp; Cap'!$N$4="IPO in 2028",'Funding &amp; Cap'!$N$8,2),'Funding &amp; Cap'!$G$10,0)</f>
        <v>0</v>
      </c>
      <c r="V132" s="157">
        <f t="shared" si="27"/>
        <v>0</v>
      </c>
      <c r="W132" s="157">
        <f>IF(MONTH(A132)=12,MIN(AE131,'Funding &amp; Cap'!$G$9),0)</f>
        <v>0</v>
      </c>
      <c r="X132" s="157">
        <f t="shared" si="15"/>
        <v>43447938</v>
      </c>
      <c r="Y132" s="157">
        <f t="shared" si="16"/>
        <v>19596681</v>
      </c>
      <c r="Z132" s="157">
        <f t="shared" si="17"/>
        <v>12130727</v>
      </c>
      <c r="AA132" s="157">
        <f t="shared" si="18"/>
        <v>14587877</v>
      </c>
      <c r="AB132" s="157">
        <f t="shared" si="19"/>
        <v>23180985</v>
      </c>
      <c r="AC132" s="157">
        <f t="shared" si="20"/>
        <v>12851905</v>
      </c>
      <c r="AD132" s="157">
        <f>MIN(AE132,SUMIFS($W$2:$W$181,$A$2:$A$181,"&gt;"&amp;A132,$A$2:$A$181,"&lt;="&amp;EDATE(A132,12))+IF(AND(DATE(2033,12,1)&gt;A132,DATE(2033,12,1)&lt;=EDATE(A132,12)),'Funding &amp; Cap'!$B$200,0))</f>
        <v>15000000</v>
      </c>
      <c r="AE132" s="158">
        <f t="shared" si="21"/>
        <v>82000000</v>
      </c>
      <c r="AF132" s="158">
        <f t="shared" si="2"/>
        <v>304975294</v>
      </c>
      <c r="AG132" s="158">
        <f t="shared" si="7"/>
        <v>-6015607</v>
      </c>
      <c r="AH132" s="159">
        <f>'Revenue &amp; Demand'!I62</f>
        <v>5491</v>
      </c>
      <c r="AI132" s="158">
        <f>'Revenue &amp; Demand'!K62</f>
        <v>8236500</v>
      </c>
      <c r="AJ132" s="158">
        <f>'Manufacturing &amp; Production'!J336</f>
        <v>2544637</v>
      </c>
      <c r="AK132" s="160">
        <f t="shared" si="4"/>
        <v>47058</v>
      </c>
      <c r="AL132" s="159" t="str">
        <f t="shared" si="5"/>
        <v/>
      </c>
      <c r="AM132" s="159">
        <f t="shared" si="6"/>
        <v>10869</v>
      </c>
    </row>
    <row r="133">
      <c r="A133" s="154">
        <f t="shared" si="23"/>
        <v>47088</v>
      </c>
      <c r="B133" s="155">
        <f t="shared" si="1"/>
        <v>2028</v>
      </c>
      <c r="C133" s="156">
        <f>'Revenue &amp; Demand'!C63</f>
        <v>11035</v>
      </c>
      <c r="D133" s="156">
        <f>'Revenue &amp; Demand'!D63</f>
        <v>112</v>
      </c>
      <c r="E133" s="157">
        <f>'Revenue &amp; Demand'!F63</f>
        <v>16552500</v>
      </c>
      <c r="F133" s="157">
        <f>'Revenue &amp; Demand'!G63</f>
        <v>3938718</v>
      </c>
      <c r="G133" s="157">
        <f>'Revenue &amp; Demand'!H63</f>
        <v>1492649</v>
      </c>
      <c r="H133" s="157">
        <f>'Manufacturing &amp; Production'!F337</f>
        <v>3031797</v>
      </c>
      <c r="I133" s="157">
        <f>'Manufacturing &amp; Production'!G337</f>
        <v>1324200</v>
      </c>
      <c r="J133" s="157">
        <f>'Workforce &amp; Expenses'!M389</f>
        <v>1707059</v>
      </c>
      <c r="K133" s="157">
        <f>'Manufacturing &amp; Production'!K337</f>
        <v>119412</v>
      </c>
      <c r="L133" s="157">
        <f>'Clinical Trials &amp; R&amp;D'!F337</f>
        <v>4694060</v>
      </c>
      <c r="M133" s="157">
        <f>'Clinical Trials &amp; R&amp;D'!I337</f>
        <v>4877010</v>
      </c>
      <c r="N133" s="157">
        <f>'Workforce &amp; Expenses'!P389</f>
        <v>6554586</v>
      </c>
      <c r="O133" s="157">
        <f>'Workforce &amp; Expenses'!S389</f>
        <v>4299629</v>
      </c>
      <c r="P133" s="157">
        <f t="shared" si="24"/>
        <v>1613093</v>
      </c>
      <c r="Q133" s="157">
        <f t="shared" si="25"/>
        <v>1451861</v>
      </c>
      <c r="R133" s="157">
        <f t="shared" si="11"/>
        <v>474583</v>
      </c>
      <c r="S133" s="157">
        <f>ROUND(0.25*MAX(0,SUM(E122:G133)+SUM(AI122:AI133)-SUM(H122:R133)-SUM(AJ122:AJ133)),0)</f>
        <v>0</v>
      </c>
      <c r="T133" s="157">
        <f>MAX(0,ROUND(T121*IFERROR(SUM($T$86:$T$97)/SUM($T$74:$T$85),1)+('Funding &amp; Cap'!$G$10-'Funding &amp; Cap'!$G$5)*'Funding &amp; Cap'!$B$6/12,0))</f>
        <v>2730192</v>
      </c>
      <c r="U133" s="157">
        <f>IF(MONTH(A133)=IF('Funding &amp; Cap'!$N$4="IPO in 2028",'Funding &amp; Cap'!$N$8,2),'Funding &amp; Cap'!$G$10,0)</f>
        <v>0</v>
      </c>
      <c r="V133" s="157">
        <f t="shared" si="27"/>
        <v>0</v>
      </c>
      <c r="W133" s="157">
        <f>IF(MONTH(A133)=12,MIN(AE132,'Funding &amp; Cap'!$G$9),0)</f>
        <v>15000000</v>
      </c>
      <c r="X133" s="157">
        <f t="shared" si="15"/>
        <v>41339674</v>
      </c>
      <c r="Y133" s="157">
        <f t="shared" si="16"/>
        <v>20397333</v>
      </c>
      <c r="Z133" s="157">
        <f t="shared" si="17"/>
        <v>11696683</v>
      </c>
      <c r="AA133" s="157">
        <f t="shared" si="18"/>
        <v>14620660</v>
      </c>
      <c r="AB133" s="157">
        <f t="shared" si="19"/>
        <v>23284199</v>
      </c>
      <c r="AC133" s="157">
        <f t="shared" si="20"/>
        <v>10755310</v>
      </c>
      <c r="AD133" s="157">
        <f>MIN(AE133,SUMIFS($W$2:$W$181,$A$2:$A$181,"&gt;"&amp;A133,$A$2:$A$181,"&lt;="&amp;EDATE(A133,12))+IF(AND(DATE(2033,12,1)&gt;A133,DATE(2033,12,1)&lt;=EDATE(A133,12)),'Funding &amp; Cap'!$B$200,0))</f>
        <v>15000000</v>
      </c>
      <c r="AE133" s="158">
        <f t="shared" si="21"/>
        <v>67000000</v>
      </c>
      <c r="AF133" s="158">
        <f t="shared" si="2"/>
        <v>287736765</v>
      </c>
      <c r="AG133" s="158">
        <f t="shared" si="7"/>
        <v>-17238529</v>
      </c>
      <c r="AH133" s="159">
        <f>'Revenue &amp; Demand'!I63</f>
        <v>5601</v>
      </c>
      <c r="AI133" s="158">
        <f>'Revenue &amp; Demand'!K63</f>
        <v>8401500</v>
      </c>
      <c r="AJ133" s="158">
        <f>'Manufacturing &amp; Production'!J337</f>
        <v>2592426</v>
      </c>
      <c r="AK133" s="160">
        <f t="shared" si="4"/>
        <v>47088</v>
      </c>
      <c r="AL133" s="159" t="str">
        <f t="shared" si="5"/>
        <v/>
      </c>
      <c r="AM133" s="159">
        <f t="shared" si="6"/>
        <v>11035</v>
      </c>
    </row>
    <row r="134">
      <c r="A134" s="154">
        <f t="shared" si="23"/>
        <v>47119</v>
      </c>
      <c r="B134" s="155">
        <f t="shared" si="1"/>
        <v>2029</v>
      </c>
      <c r="C134" s="156">
        <f>'Revenue &amp; Demand'!C64</f>
        <v>11164</v>
      </c>
      <c r="D134" s="156">
        <f>'Revenue &amp; Demand'!D64</f>
        <v>103</v>
      </c>
      <c r="E134" s="157">
        <f>'Revenue &amp; Demand'!F64</f>
        <v>16746000</v>
      </c>
      <c r="F134" s="157">
        <f>'Revenue &amp; Demand'!G64</f>
        <v>4943948</v>
      </c>
      <c r="G134" s="157">
        <f>'Revenue &amp; Demand'!H64</f>
        <v>205882</v>
      </c>
      <c r="H134" s="157">
        <f>'Manufacturing &amp; Production'!F338</f>
        <v>3145730</v>
      </c>
      <c r="I134" s="157">
        <f>'Manufacturing &amp; Production'!G338</f>
        <v>1339680</v>
      </c>
      <c r="J134" s="157">
        <f>'Workforce &amp; Expenses'!M390</f>
        <v>1669760</v>
      </c>
      <c r="K134" s="157">
        <f>'Manufacturing &amp; Production'!K338</f>
        <v>16471</v>
      </c>
      <c r="L134" s="157">
        <f>'Clinical Trials &amp; R&amp;D'!F338</f>
        <v>4834880</v>
      </c>
      <c r="M134" s="157">
        <f>'Clinical Trials &amp; R&amp;D'!I338</f>
        <v>5178876</v>
      </c>
      <c r="N134" s="157">
        <f>'Workforce &amp; Expenses'!P390</f>
        <v>8104856</v>
      </c>
      <c r="O134" s="157">
        <f>'Workforce &amp; Expenses'!S390</f>
        <v>4566975</v>
      </c>
      <c r="P134" s="157">
        <f t="shared" si="24"/>
        <v>1593346</v>
      </c>
      <c r="Q134" s="157">
        <f t="shared" si="25"/>
        <v>1935801</v>
      </c>
      <c r="R134" s="157">
        <f t="shared" si="11"/>
        <v>474583</v>
      </c>
      <c r="S134" s="157">
        <f t="shared" ref="S134:S144" si="29">0</f>
        <v>0</v>
      </c>
      <c r="T134" s="157">
        <f>MAX(0,ROUND(T122*IFERROR(SUM($T$86:$T$97)/SUM($T$74:$T$85),1)+('Funding &amp; Cap'!$H$10-'Funding &amp; Cap'!$H$5)*'Funding &amp; Cap'!$B$6/12,0))</f>
        <v>3147319</v>
      </c>
      <c r="U134" s="157">
        <f>IF(MONTH(A134)=IF('Funding &amp; Cap'!$N$4="IPO in 2029",'Funding &amp; Cap'!$N$8,2),'Funding &amp; Cap'!$H$10,0)</f>
        <v>0</v>
      </c>
      <c r="V134" s="157">
        <f t="shared" si="27"/>
        <v>0</v>
      </c>
      <c r="W134" s="157">
        <f>IF(MONTH(A134)=12,MIN(AE133,'Funding &amp; Cap'!$H$9),0)</f>
        <v>0</v>
      </c>
      <c r="X134" s="157">
        <f t="shared" si="15"/>
        <v>38173374</v>
      </c>
      <c r="Y134" s="157">
        <f t="shared" si="16"/>
        <v>17223040</v>
      </c>
      <c r="Z134" s="157">
        <f t="shared" si="17"/>
        <v>11412486</v>
      </c>
      <c r="AA134" s="157">
        <f t="shared" si="18"/>
        <v>12154015</v>
      </c>
      <c r="AB134" s="157">
        <f t="shared" si="19"/>
        <v>20225644</v>
      </c>
      <c r="AC134" s="157">
        <f t="shared" si="20"/>
        <v>15222137</v>
      </c>
      <c r="AD134" s="157">
        <f>MIN(AE134,SUMIFS($W$2:$W$181,$A$2:$A$181,"&gt;"&amp;A134,$A$2:$A$181,"&lt;="&amp;EDATE(A134,12))+IF(AND(DATE(2033,12,1)&gt;A134,DATE(2033,12,1)&lt;=EDATE(A134,12)),'Funding &amp; Cap'!$B$200,0))</f>
        <v>15000000</v>
      </c>
      <c r="AE134" s="158">
        <f t="shared" si="21"/>
        <v>67000000</v>
      </c>
      <c r="AF134" s="158">
        <f t="shared" si="2"/>
        <v>288569067</v>
      </c>
      <c r="AG134" s="158">
        <f t="shared" si="7"/>
        <v>832302</v>
      </c>
      <c r="AH134" s="159">
        <f>'Revenue &amp; Demand'!I64</f>
        <v>5713</v>
      </c>
      <c r="AI134" s="158">
        <f>'Revenue &amp; Demand'!K64</f>
        <v>8569500</v>
      </c>
      <c r="AJ134" s="158">
        <f>'Manufacturing &amp; Production'!J338</f>
        <v>2720315</v>
      </c>
      <c r="AK134" s="160">
        <f t="shared" si="4"/>
        <v>47119</v>
      </c>
      <c r="AL134" s="159" t="str">
        <f t="shared" si="5"/>
        <v/>
      </c>
      <c r="AM134" s="159">
        <f t="shared" si="6"/>
        <v>11164</v>
      </c>
    </row>
    <row r="135">
      <c r="A135" s="154">
        <f t="shared" si="23"/>
        <v>47150</v>
      </c>
      <c r="B135" s="155">
        <f t="shared" si="1"/>
        <v>2029</v>
      </c>
      <c r="C135" s="156">
        <f>'Revenue &amp; Demand'!C65</f>
        <v>11295</v>
      </c>
      <c r="D135" s="156">
        <f>'Revenue &amp; Demand'!D65</f>
        <v>105</v>
      </c>
      <c r="E135" s="157">
        <f>'Revenue &amp; Demand'!F65</f>
        <v>16942500</v>
      </c>
      <c r="F135" s="157">
        <f>'Revenue &amp; Demand'!G65</f>
        <v>5003054</v>
      </c>
      <c r="G135" s="157">
        <f>'Revenue &amp; Demand'!H65</f>
        <v>205882</v>
      </c>
      <c r="H135" s="157">
        <f>'Manufacturing &amp; Production'!F339</f>
        <v>3197692</v>
      </c>
      <c r="I135" s="157">
        <f>'Manufacturing &amp; Production'!G339</f>
        <v>1355400</v>
      </c>
      <c r="J135" s="157">
        <f>'Workforce &amp; Expenses'!M391</f>
        <v>1703707</v>
      </c>
      <c r="K135" s="157">
        <f>'Manufacturing &amp; Production'!K339</f>
        <v>16471</v>
      </c>
      <c r="L135" s="157">
        <f>'Clinical Trials &amp; R&amp;D'!F339</f>
        <v>4856552</v>
      </c>
      <c r="M135" s="157">
        <f>'Clinical Trials &amp; R&amp;D'!I339</f>
        <v>5197999</v>
      </c>
      <c r="N135" s="157">
        <f>'Workforce &amp; Expenses'!P391</f>
        <v>8120514</v>
      </c>
      <c r="O135" s="157">
        <f>'Workforce &amp; Expenses'!S391</f>
        <v>4570417</v>
      </c>
      <c r="P135" s="157">
        <f t="shared" si="24"/>
        <v>1625669</v>
      </c>
      <c r="Q135" s="157">
        <f t="shared" si="25"/>
        <v>1935801</v>
      </c>
      <c r="R135" s="157">
        <f t="shared" si="11"/>
        <v>474583</v>
      </c>
      <c r="S135" s="157">
        <f t="shared" si="29"/>
        <v>0</v>
      </c>
      <c r="T135" s="157">
        <f>MAX(0,ROUND(T123*IFERROR(SUM($T$86:$T$97)/SUM($T$74:$T$85),1)+('Funding &amp; Cap'!$H$10-'Funding &amp; Cap'!$H$5)*'Funding &amp; Cap'!$B$6/12,0))</f>
        <v>3244575</v>
      </c>
      <c r="U135" s="157">
        <f>IF(MONTH(A135)=IF('Funding &amp; Cap'!$N$4="IPO in 2029",'Funding &amp; Cap'!$N$8,2),'Funding &amp; Cap'!$H$10,0)</f>
        <v>0</v>
      </c>
      <c r="V135" s="157">
        <f t="shared" si="27"/>
        <v>0</v>
      </c>
      <c r="W135" s="157">
        <f>IF(MONTH(A135)=12,MIN(AE134,'Funding &amp; Cap'!$H$9),0)</f>
        <v>0</v>
      </c>
      <c r="X135" s="157">
        <f t="shared" si="15"/>
        <v>40657014</v>
      </c>
      <c r="Y135" s="157">
        <f t="shared" si="16"/>
        <v>18775822</v>
      </c>
      <c r="Z135" s="157">
        <f t="shared" si="17"/>
        <v>12005215</v>
      </c>
      <c r="AA135" s="157">
        <f t="shared" si="18"/>
        <v>12766748</v>
      </c>
      <c r="AB135" s="157">
        <f t="shared" si="19"/>
        <v>20936528</v>
      </c>
      <c r="AC135" s="157">
        <f t="shared" si="20"/>
        <v>15421411</v>
      </c>
      <c r="AD135" s="157">
        <f>MIN(AE135,SUMIFS($W$2:$W$181,$A$2:$A$181,"&gt;"&amp;A135,$A$2:$A$181,"&lt;="&amp;EDATE(A135,12))+IF(AND(DATE(2033,12,1)&gt;A135,DATE(2033,12,1)&lt;=EDATE(A135,12)),'Funding &amp; Cap'!$B$200,0))</f>
        <v>15000000</v>
      </c>
      <c r="AE135" s="158">
        <f t="shared" si="21"/>
        <v>67000000</v>
      </c>
      <c r="AF135" s="158">
        <f t="shared" si="2"/>
        <v>280845506</v>
      </c>
      <c r="AG135" s="158">
        <f t="shared" si="7"/>
        <v>-7723561</v>
      </c>
      <c r="AH135" s="159">
        <f>'Revenue &amp; Demand'!I65</f>
        <v>5827</v>
      </c>
      <c r="AI135" s="158">
        <f>'Revenue &amp; Demand'!K65</f>
        <v>8740500</v>
      </c>
      <c r="AJ135" s="158">
        <f>'Manufacturing &amp; Production'!J339</f>
        <v>2771327</v>
      </c>
      <c r="AK135" s="160">
        <f t="shared" si="4"/>
        <v>47150</v>
      </c>
      <c r="AL135" s="159" t="str">
        <f t="shared" si="5"/>
        <v/>
      </c>
      <c r="AM135" s="159">
        <f t="shared" si="6"/>
        <v>11295</v>
      </c>
    </row>
    <row r="136">
      <c r="A136" s="154">
        <f t="shared" si="23"/>
        <v>47178</v>
      </c>
      <c r="B136" s="155">
        <f t="shared" si="1"/>
        <v>2029</v>
      </c>
      <c r="C136" s="156">
        <f>'Revenue &amp; Demand'!C66</f>
        <v>11427</v>
      </c>
      <c r="D136" s="156">
        <f>'Revenue &amp; Demand'!D66</f>
        <v>108</v>
      </c>
      <c r="E136" s="157">
        <f>'Revenue &amp; Demand'!F66</f>
        <v>17140500</v>
      </c>
      <c r="F136" s="157">
        <f>'Revenue &amp; Demand'!G66</f>
        <v>4817872</v>
      </c>
      <c r="G136" s="157">
        <f>'Revenue &amp; Demand'!H66</f>
        <v>1286765</v>
      </c>
      <c r="H136" s="157">
        <f>'Manufacturing &amp; Production'!F340</f>
        <v>3220931</v>
      </c>
      <c r="I136" s="157">
        <f>'Manufacturing &amp; Production'!G340</f>
        <v>1371240</v>
      </c>
      <c r="J136" s="157">
        <f>'Workforce &amp; Expenses'!M392</f>
        <v>1733211</v>
      </c>
      <c r="K136" s="157">
        <f>'Manufacturing &amp; Production'!K340</f>
        <v>102941</v>
      </c>
      <c r="L136" s="157">
        <f>'Clinical Trials &amp; R&amp;D'!F340</f>
        <v>4856552</v>
      </c>
      <c r="M136" s="157">
        <f>'Clinical Trials &amp; R&amp;D'!I340</f>
        <v>5217121</v>
      </c>
      <c r="N136" s="157">
        <f>'Workforce &amp; Expenses'!P392</f>
        <v>8151650</v>
      </c>
      <c r="O136" s="157">
        <f>'Workforce &amp; Expenses'!S392</f>
        <v>4589704</v>
      </c>
      <c r="P136" s="157">
        <f t="shared" si="24"/>
        <v>1658036</v>
      </c>
      <c r="Q136" s="157">
        <f t="shared" si="25"/>
        <v>1935801</v>
      </c>
      <c r="R136" s="157">
        <f t="shared" si="11"/>
        <v>474583</v>
      </c>
      <c r="S136" s="157">
        <f t="shared" si="29"/>
        <v>0</v>
      </c>
      <c r="T136" s="157">
        <f>MAX(0,ROUND(T124*IFERROR(SUM($T$86:$T$97)/SUM($T$74:$T$85),1)+('Funding &amp; Cap'!$H$10-'Funding &amp; Cap'!$H$5)*'Funding &amp; Cap'!$B$6/12,0))</f>
        <v>8176884</v>
      </c>
      <c r="U136" s="157">
        <f>IF(MONTH(A136)=IF('Funding &amp; Cap'!$N$4="IPO in 2029",'Funding &amp; Cap'!$N$8,2),'Funding &amp; Cap'!$H$10,0)</f>
        <v>0</v>
      </c>
      <c r="V136" s="157">
        <f t="shared" si="27"/>
        <v>0</v>
      </c>
      <c r="W136" s="157">
        <f>IF(MONTH(A136)=12,MIN(AE135,'Funding &amp; Cap'!$H$9),0)</f>
        <v>0</v>
      </c>
      <c r="X136" s="157">
        <f t="shared" si="15"/>
        <v>37988188</v>
      </c>
      <c r="Y136" s="157">
        <f t="shared" si="16"/>
        <v>19733492</v>
      </c>
      <c r="Z136" s="157">
        <f t="shared" si="17"/>
        <v>11212730</v>
      </c>
      <c r="AA136" s="157">
        <f t="shared" si="18"/>
        <v>13268029</v>
      </c>
      <c r="AB136" s="157">
        <f t="shared" si="19"/>
        <v>21810961</v>
      </c>
      <c r="AC136" s="157">
        <f t="shared" si="20"/>
        <v>12128367</v>
      </c>
      <c r="AD136" s="157">
        <f>MIN(AE136,SUMIFS($W$2:$W$181,$A$2:$A$181,"&gt;"&amp;A136,$A$2:$A$181,"&lt;="&amp;EDATE(A136,12))+IF(AND(DATE(2033,12,1)&gt;A136,DATE(2033,12,1)&lt;=EDATE(A136,12)),'Funding &amp; Cap'!$B$200,0))</f>
        <v>15000000</v>
      </c>
      <c r="AE136" s="158">
        <f t="shared" si="21"/>
        <v>67000000</v>
      </c>
      <c r="AF136" s="158">
        <f t="shared" si="2"/>
        <v>272874456</v>
      </c>
      <c r="AG136" s="158">
        <f t="shared" si="7"/>
        <v>-7971050</v>
      </c>
      <c r="AH136" s="159">
        <f>'Revenue &amp; Demand'!I66</f>
        <v>5944</v>
      </c>
      <c r="AI136" s="158">
        <f>'Revenue &amp; Demand'!K66</f>
        <v>8916000</v>
      </c>
      <c r="AJ136" s="158">
        <f>'Manufacturing &amp; Production'!J340</f>
        <v>2823681</v>
      </c>
      <c r="AK136" s="160">
        <f t="shared" si="4"/>
        <v>47178</v>
      </c>
      <c r="AL136" s="159" t="str">
        <f t="shared" si="5"/>
        <v/>
      </c>
      <c r="AM136" s="159">
        <f t="shared" si="6"/>
        <v>11427</v>
      </c>
    </row>
    <row r="137">
      <c r="A137" s="154">
        <f t="shared" si="23"/>
        <v>47209</v>
      </c>
      <c r="B137" s="155">
        <f t="shared" si="1"/>
        <v>2029</v>
      </c>
      <c r="C137" s="156">
        <f>'Revenue &amp; Demand'!C67</f>
        <v>11561</v>
      </c>
      <c r="D137" s="156">
        <f>'Revenue &amp; Demand'!D67</f>
        <v>109</v>
      </c>
      <c r="E137" s="157">
        <f>'Revenue &amp; Demand'!F67</f>
        <v>17341500</v>
      </c>
      <c r="F137" s="157">
        <f>'Revenue &amp; Demand'!G67</f>
        <v>4810903</v>
      </c>
      <c r="G137" s="157">
        <f>'Revenue &amp; Demand'!H67</f>
        <v>205882</v>
      </c>
      <c r="H137" s="157">
        <f>'Manufacturing &amp; Production'!F341</f>
        <v>3256073</v>
      </c>
      <c r="I137" s="157">
        <f>'Manufacturing &amp; Production'!G341</f>
        <v>1387320</v>
      </c>
      <c r="J137" s="157">
        <f>'Workforce &amp; Expenses'!M393</f>
        <v>1743045</v>
      </c>
      <c r="K137" s="157">
        <f>'Manufacturing &amp; Production'!K341</f>
        <v>16471</v>
      </c>
      <c r="L137" s="157">
        <f>'Clinical Trials &amp; R&amp;D'!F341</f>
        <v>4878224</v>
      </c>
      <c r="M137" s="157">
        <f>'Clinical Trials &amp; R&amp;D'!I341</f>
        <v>5236244</v>
      </c>
      <c r="N137" s="157">
        <f>'Workforce &amp; Expenses'!P393</f>
        <v>8182607</v>
      </c>
      <c r="O137" s="157">
        <f>'Workforce &amp; Expenses'!S393</f>
        <v>4592654</v>
      </c>
      <c r="P137" s="157">
        <f t="shared" si="24"/>
        <v>1690444</v>
      </c>
      <c r="Q137" s="157">
        <f t="shared" si="25"/>
        <v>1935801</v>
      </c>
      <c r="R137" s="157">
        <f t="shared" si="11"/>
        <v>474583</v>
      </c>
      <c r="S137" s="157">
        <f t="shared" si="29"/>
        <v>0</v>
      </c>
      <c r="T137" s="157">
        <f>MAX(0,ROUND(T125*IFERROR(SUM($T$86:$T$97)/SUM($T$74:$T$85),1)+('Funding &amp; Cap'!$H$10-'Funding &amp; Cap'!$H$5)*'Funding &amp; Cap'!$B$6/12,0))</f>
        <v>3263887</v>
      </c>
      <c r="U137" s="157">
        <f>IF(MONTH(A137)=IF('Funding &amp; Cap'!$N$4="IPO in 2029",'Funding &amp; Cap'!$N$8,2),'Funding &amp; Cap'!$H$10,0)</f>
        <v>0</v>
      </c>
      <c r="V137" s="157">
        <f t="shared" si="27"/>
        <v>0</v>
      </c>
      <c r="W137" s="157">
        <f>IF(MONTH(A137)=12,MIN(AE136,'Funding &amp; Cap'!$H$9),0)</f>
        <v>0</v>
      </c>
      <c r="X137" s="157">
        <f t="shared" si="15"/>
        <v>44835437</v>
      </c>
      <c r="Y137" s="157">
        <f t="shared" si="16"/>
        <v>20697532</v>
      </c>
      <c r="Z137" s="157">
        <f t="shared" si="17"/>
        <v>12924648</v>
      </c>
      <c r="AA137" s="157">
        <f t="shared" si="18"/>
        <v>14217310</v>
      </c>
      <c r="AB137" s="157">
        <f t="shared" si="19"/>
        <v>22822222</v>
      </c>
      <c r="AC137" s="157">
        <f t="shared" si="20"/>
        <v>15522500</v>
      </c>
      <c r="AD137" s="157">
        <f>MIN(AE137,SUMIFS($W$2:$W$181,$A$2:$A$181,"&gt;"&amp;A137,$A$2:$A$181,"&lt;="&amp;EDATE(A137,12))+IF(AND(DATE(2033,12,1)&gt;A137,DATE(2033,12,1)&lt;=EDATE(A137,12)),'Funding &amp; Cap'!$B$200,0))</f>
        <v>15000000</v>
      </c>
      <c r="AE137" s="158">
        <f t="shared" si="21"/>
        <v>67000000</v>
      </c>
      <c r="AF137" s="158">
        <f t="shared" si="2"/>
        <v>264250672</v>
      </c>
      <c r="AG137" s="158">
        <f t="shared" si="7"/>
        <v>-8623784</v>
      </c>
      <c r="AH137" s="159">
        <f>'Revenue &amp; Demand'!I67</f>
        <v>6063</v>
      </c>
      <c r="AI137" s="158">
        <f>'Revenue &amp; Demand'!K67</f>
        <v>9094500</v>
      </c>
      <c r="AJ137" s="158">
        <f>'Manufacturing &amp; Production'!J341</f>
        <v>2876929</v>
      </c>
      <c r="AK137" s="160">
        <f t="shared" si="4"/>
        <v>47209</v>
      </c>
      <c r="AL137" s="159" t="str">
        <f t="shared" si="5"/>
        <v/>
      </c>
      <c r="AM137" s="159">
        <f t="shared" si="6"/>
        <v>11561</v>
      </c>
    </row>
    <row r="138">
      <c r="A138" s="154">
        <f t="shared" si="23"/>
        <v>47239</v>
      </c>
      <c r="B138" s="155">
        <f t="shared" si="1"/>
        <v>2029</v>
      </c>
      <c r="C138" s="156">
        <f>'Revenue &amp; Demand'!C68</f>
        <v>11697</v>
      </c>
      <c r="D138" s="156">
        <f>'Revenue &amp; Demand'!D68</f>
        <v>112</v>
      </c>
      <c r="E138" s="157">
        <f>'Revenue &amp; Demand'!F68</f>
        <v>17545500</v>
      </c>
      <c r="F138" s="157">
        <f>'Revenue &amp; Demand'!G68</f>
        <v>4607914</v>
      </c>
      <c r="G138" s="157">
        <f>'Revenue &amp; Demand'!H68</f>
        <v>205882</v>
      </c>
      <c r="H138" s="157">
        <f>'Manufacturing &amp; Production'!F342</f>
        <v>3296744</v>
      </c>
      <c r="I138" s="157">
        <f>'Manufacturing &amp; Production'!G342</f>
        <v>1403640</v>
      </c>
      <c r="J138" s="157">
        <f>'Workforce &amp; Expenses'!M394</f>
        <v>1772549</v>
      </c>
      <c r="K138" s="157">
        <f>'Manufacturing &amp; Production'!K342</f>
        <v>16471</v>
      </c>
      <c r="L138" s="157">
        <f>'Clinical Trials &amp; R&amp;D'!F342</f>
        <v>4878224</v>
      </c>
      <c r="M138" s="157">
        <f>'Clinical Trials &amp; R&amp;D'!I342</f>
        <v>5255367</v>
      </c>
      <c r="N138" s="157">
        <f>'Workforce &amp; Expenses'!P394</f>
        <v>8198265</v>
      </c>
      <c r="O138" s="157">
        <f>'Workforce &amp; Expenses'!S394</f>
        <v>4611941</v>
      </c>
      <c r="P138" s="157">
        <f t="shared" si="24"/>
        <v>1722893</v>
      </c>
      <c r="Q138" s="157">
        <f t="shared" si="25"/>
        <v>1935801</v>
      </c>
      <c r="R138" s="157">
        <f t="shared" si="11"/>
        <v>474583</v>
      </c>
      <c r="S138" s="157">
        <f t="shared" si="29"/>
        <v>0</v>
      </c>
      <c r="T138" s="157">
        <f>MAX(0,ROUND(T126*IFERROR(SUM($T$86:$T$97)/SUM($T$74:$T$85),1)+('Funding &amp; Cap'!$H$10-'Funding &amp; Cap'!$H$5)*'Funding &amp; Cap'!$B$6/12,0))</f>
        <v>3363280</v>
      </c>
      <c r="U138" s="157">
        <f>IF(MONTH(A138)=IF('Funding &amp; Cap'!$N$4="IPO in 2029",'Funding &amp; Cap'!$N$8,2),'Funding &amp; Cap'!$H$10,0)</f>
        <v>0</v>
      </c>
      <c r="V138" s="157">
        <f t="shared" si="27"/>
        <v>0</v>
      </c>
      <c r="W138" s="157">
        <f>IF(MONTH(A138)=12,MIN(AE137,'Funding &amp; Cap'!$H$9),0)</f>
        <v>0</v>
      </c>
      <c r="X138" s="157">
        <f t="shared" si="15"/>
        <v>46509835</v>
      </c>
      <c r="Y138" s="157">
        <f t="shared" si="16"/>
        <v>21429079</v>
      </c>
      <c r="Z138" s="157">
        <f t="shared" si="17"/>
        <v>13249805</v>
      </c>
      <c r="AA138" s="157">
        <f t="shared" si="18"/>
        <v>15072101</v>
      </c>
      <c r="AB138" s="157">
        <f t="shared" si="19"/>
        <v>23881064</v>
      </c>
      <c r="AC138" s="157">
        <f t="shared" si="20"/>
        <v>15404410</v>
      </c>
      <c r="AD138" s="157">
        <f>MIN(AE138,SUMIFS($W$2:$W$181,$A$2:$A$181,"&gt;"&amp;A138,$A$2:$A$181,"&lt;="&amp;EDATE(A138,12))+IF(AND(DATE(2033,12,1)&gt;A138,DATE(2033,12,1)&lt;=EDATE(A138,12)),'Funding &amp; Cap'!$B$200,0))</f>
        <v>15000000</v>
      </c>
      <c r="AE138" s="158">
        <f t="shared" si="21"/>
        <v>67000000</v>
      </c>
      <c r="AF138" s="158">
        <f t="shared" si="2"/>
        <v>258748271</v>
      </c>
      <c r="AG138" s="158">
        <f t="shared" si="7"/>
        <v>-5502401</v>
      </c>
      <c r="AH138" s="159">
        <f>'Revenue &amp; Demand'!I68</f>
        <v>6184</v>
      </c>
      <c r="AI138" s="158">
        <f>'Revenue &amp; Demand'!K68</f>
        <v>9276000</v>
      </c>
      <c r="AJ138" s="158">
        <f>'Manufacturing &amp; Production'!J342</f>
        <v>2931074</v>
      </c>
      <c r="AK138" s="160">
        <f t="shared" si="4"/>
        <v>47239</v>
      </c>
      <c r="AL138" s="159" t="str">
        <f t="shared" si="5"/>
        <v/>
      </c>
      <c r="AM138" s="159">
        <f t="shared" si="6"/>
        <v>11697</v>
      </c>
    </row>
    <row r="139">
      <c r="A139" s="154">
        <f t="shared" si="23"/>
        <v>47270</v>
      </c>
      <c r="B139" s="155">
        <f t="shared" si="1"/>
        <v>2029</v>
      </c>
      <c r="C139" s="156">
        <f>'Revenue &amp; Demand'!C69</f>
        <v>11834</v>
      </c>
      <c r="D139" s="156">
        <f>'Revenue &amp; Demand'!D69</f>
        <v>114</v>
      </c>
      <c r="E139" s="157">
        <f>'Revenue &amp; Demand'!F69</f>
        <v>17751000</v>
      </c>
      <c r="F139" s="157">
        <f>'Revenue &amp; Demand'!G69</f>
        <v>4219485</v>
      </c>
      <c r="G139" s="157">
        <f>'Revenue &amp; Demand'!H69</f>
        <v>1286765</v>
      </c>
      <c r="H139" s="157">
        <f>'Manufacturing &amp; Production'!F343</f>
        <v>3332148</v>
      </c>
      <c r="I139" s="157">
        <f>'Manufacturing &amp; Production'!G343</f>
        <v>1420080</v>
      </c>
      <c r="J139" s="157">
        <f>'Workforce &amp; Expenses'!M395</f>
        <v>1806496</v>
      </c>
      <c r="K139" s="157">
        <f>'Manufacturing &amp; Production'!K343</f>
        <v>102941</v>
      </c>
      <c r="L139" s="157">
        <f>'Clinical Trials &amp; R&amp;D'!F343</f>
        <v>4899897</v>
      </c>
      <c r="M139" s="157">
        <f>'Clinical Trials &amp; R&amp;D'!I343</f>
        <v>5274489</v>
      </c>
      <c r="N139" s="157">
        <f>'Workforce &amp; Expenses'!P395</f>
        <v>8229401</v>
      </c>
      <c r="O139" s="157">
        <f>'Workforce &amp; Expenses'!S395</f>
        <v>4615383</v>
      </c>
      <c r="P139" s="157">
        <f t="shared" si="24"/>
        <v>1755382</v>
      </c>
      <c r="Q139" s="157">
        <f t="shared" si="25"/>
        <v>1935801</v>
      </c>
      <c r="R139" s="157">
        <f t="shared" si="11"/>
        <v>474583</v>
      </c>
      <c r="S139" s="157">
        <f t="shared" si="29"/>
        <v>0</v>
      </c>
      <c r="T139" s="157">
        <f>MAX(0,ROUND(T127*IFERROR(SUM($T$86:$T$97)/SUM($T$74:$T$85),1)+('Funding &amp; Cap'!$H$10-'Funding &amp; Cap'!$H$5)*'Funding &amp; Cap'!$B$6/12,0))</f>
        <v>3464097</v>
      </c>
      <c r="U139" s="157">
        <f>IF(MONTH(A139)=IF('Funding &amp; Cap'!$N$4="IPO in 2029",'Funding &amp; Cap'!$N$8,2),'Funding &amp; Cap'!$H$10,0)</f>
        <v>0</v>
      </c>
      <c r="V139" s="157">
        <f t="shared" si="27"/>
        <v>0</v>
      </c>
      <c r="W139" s="157">
        <f>IF(MONTH(A139)=12,MIN(AE138,'Funding &amp; Cap'!$H$9),0)</f>
        <v>0</v>
      </c>
      <c r="X139" s="157">
        <f t="shared" si="15"/>
        <v>42821035</v>
      </c>
      <c r="Y139" s="157">
        <f t="shared" si="16"/>
        <v>22089499</v>
      </c>
      <c r="Z139" s="157">
        <f t="shared" si="17"/>
        <v>12201974</v>
      </c>
      <c r="AA139" s="157">
        <f t="shared" si="18"/>
        <v>15543261</v>
      </c>
      <c r="AB139" s="157">
        <f t="shared" si="19"/>
        <v>24928814</v>
      </c>
      <c r="AC139" s="157">
        <f t="shared" si="20"/>
        <v>11708226</v>
      </c>
      <c r="AD139" s="157">
        <f>MIN(AE139,SUMIFS($W$2:$W$181,$A$2:$A$181,"&gt;"&amp;A139,$A$2:$A$181,"&lt;="&amp;EDATE(A139,12))+IF(AND(DATE(2033,12,1)&gt;A139,DATE(2033,12,1)&lt;=EDATE(A139,12)),'Funding &amp; Cap'!$B$200,0))</f>
        <v>15000000</v>
      </c>
      <c r="AE139" s="158">
        <f t="shared" si="21"/>
        <v>67000000</v>
      </c>
      <c r="AF139" s="158">
        <f t="shared" si="2"/>
        <v>256760383</v>
      </c>
      <c r="AG139" s="158">
        <f t="shared" si="7"/>
        <v>-1987888</v>
      </c>
      <c r="AH139" s="159">
        <f>'Revenue &amp; Demand'!I69</f>
        <v>6308</v>
      </c>
      <c r="AI139" s="158">
        <f>'Revenue &amp; Demand'!K69</f>
        <v>9462000</v>
      </c>
      <c r="AJ139" s="158">
        <f>'Manufacturing &amp; Production'!J343</f>
        <v>2986560</v>
      </c>
      <c r="AK139" s="160">
        <f t="shared" si="4"/>
        <v>47270</v>
      </c>
      <c r="AL139" s="159" t="str">
        <f t="shared" si="5"/>
        <v/>
      </c>
      <c r="AM139" s="159">
        <f t="shared" si="6"/>
        <v>11834</v>
      </c>
    </row>
    <row r="140">
      <c r="A140" s="154">
        <f t="shared" si="23"/>
        <v>47300</v>
      </c>
      <c r="B140" s="155">
        <f t="shared" si="1"/>
        <v>2029</v>
      </c>
      <c r="C140" s="156">
        <f>'Revenue &amp; Demand'!C70</f>
        <v>11972</v>
      </c>
      <c r="D140" s="156">
        <f>'Revenue &amp; Demand'!D70</f>
        <v>115</v>
      </c>
      <c r="E140" s="157">
        <f>'Revenue &amp; Demand'!F70</f>
        <v>17958000</v>
      </c>
      <c r="F140" s="157">
        <f>'Revenue &amp; Demand'!G70</f>
        <v>4140064</v>
      </c>
      <c r="G140" s="157">
        <f>'Revenue &amp; Demand'!H70</f>
        <v>205882</v>
      </c>
      <c r="H140" s="157">
        <f>'Manufacturing &amp; Production'!F344</f>
        <v>3355910</v>
      </c>
      <c r="I140" s="157">
        <f>'Manufacturing &amp; Production'!G344</f>
        <v>1436640</v>
      </c>
      <c r="J140" s="157">
        <f>'Workforce &amp; Expenses'!M396</f>
        <v>1816330</v>
      </c>
      <c r="K140" s="157">
        <f>'Manufacturing &amp; Production'!K344</f>
        <v>16471</v>
      </c>
      <c r="L140" s="157">
        <f>'Clinical Trials &amp; R&amp;D'!F344</f>
        <v>4899897</v>
      </c>
      <c r="M140" s="157">
        <f>'Clinical Trials &amp; R&amp;D'!I344</f>
        <v>5293612</v>
      </c>
      <c r="N140" s="157">
        <f>'Workforce &amp; Expenses'!P396</f>
        <v>8260358</v>
      </c>
      <c r="O140" s="157">
        <f>'Workforce &amp; Expenses'!S396</f>
        <v>4634669</v>
      </c>
      <c r="P140" s="157">
        <f t="shared" si="24"/>
        <v>1787917</v>
      </c>
      <c r="Q140" s="157">
        <f t="shared" si="25"/>
        <v>1935801</v>
      </c>
      <c r="R140" s="157">
        <f t="shared" si="11"/>
        <v>474583</v>
      </c>
      <c r="S140" s="157">
        <f t="shared" si="29"/>
        <v>0</v>
      </c>
      <c r="T140" s="157">
        <f>MAX(0,ROUND(T128*IFERROR(SUM($T$86:$T$97)/SUM($T$74:$T$85),1)+('Funding &amp; Cap'!$H$10-'Funding &amp; Cap'!$H$5)*'Funding &amp; Cap'!$B$6/12,0))</f>
        <v>3380452</v>
      </c>
      <c r="U140" s="157">
        <f>IF(MONTH(A140)=IF('Funding &amp; Cap'!$N$4="IPO in 2029",'Funding &amp; Cap'!$N$8,2),'Funding &amp; Cap'!$H$10,0)</f>
        <v>0</v>
      </c>
      <c r="V140" s="157">
        <f t="shared" si="27"/>
        <v>0</v>
      </c>
      <c r="W140" s="157">
        <f>IF(MONTH(A140)=12,MIN(AE139,'Funding &amp; Cap'!$H$9),0)</f>
        <v>0</v>
      </c>
      <c r="X140" s="157">
        <f t="shared" si="15"/>
        <v>49212729</v>
      </c>
      <c r="Y140" s="157">
        <f t="shared" si="16"/>
        <v>22789451</v>
      </c>
      <c r="Z140" s="157">
        <f t="shared" si="17"/>
        <v>13701685</v>
      </c>
      <c r="AA140" s="157">
        <f t="shared" si="18"/>
        <v>16477781</v>
      </c>
      <c r="AB140" s="157">
        <f t="shared" si="19"/>
        <v>25817455</v>
      </c>
      <c r="AC140" s="157">
        <f t="shared" si="20"/>
        <v>14674211</v>
      </c>
      <c r="AD140" s="157">
        <f>MIN(AE140,SUMIFS($W$2:$W$181,$A$2:$A$181,"&gt;"&amp;A140,$A$2:$A$181,"&lt;="&amp;EDATE(A140,12))+IF(AND(DATE(2033,12,1)&gt;A140,DATE(2033,12,1)&lt;=EDATE(A140,12)),'Funding &amp; Cap'!$B$200,0))</f>
        <v>15000000</v>
      </c>
      <c r="AE140" s="158">
        <f t="shared" si="21"/>
        <v>67000000</v>
      </c>
      <c r="AF140" s="158">
        <f t="shared" si="2"/>
        <v>248301254</v>
      </c>
      <c r="AG140" s="158">
        <f t="shared" si="7"/>
        <v>-8459129</v>
      </c>
      <c r="AH140" s="159">
        <f>'Revenue &amp; Demand'!I70</f>
        <v>6434</v>
      </c>
      <c r="AI140" s="158">
        <f>'Revenue &amp; Demand'!K70</f>
        <v>9651000</v>
      </c>
      <c r="AJ140" s="158">
        <f>'Manufacturing &amp; Production'!J344</f>
        <v>3042942</v>
      </c>
      <c r="AK140" s="160">
        <f t="shared" si="4"/>
        <v>47300</v>
      </c>
      <c r="AL140" s="159" t="str">
        <f t="shared" si="5"/>
        <v/>
      </c>
      <c r="AM140" s="159">
        <f t="shared" si="6"/>
        <v>11972</v>
      </c>
    </row>
    <row r="141">
      <c r="A141" s="154">
        <f t="shared" si="23"/>
        <v>47331</v>
      </c>
      <c r="B141" s="155">
        <f t="shared" si="1"/>
        <v>2029</v>
      </c>
      <c r="C141" s="156">
        <f>'Revenue &amp; Demand'!C71</f>
        <v>12113</v>
      </c>
      <c r="D141" s="156">
        <f>'Revenue &amp; Demand'!D71</f>
        <v>118</v>
      </c>
      <c r="E141" s="157">
        <f>'Revenue &amp; Demand'!F71</f>
        <v>18169500</v>
      </c>
      <c r="F141" s="157">
        <f>'Revenue &amp; Demand'!G71</f>
        <v>4029768</v>
      </c>
      <c r="G141" s="157">
        <f>'Revenue &amp; Demand'!H71</f>
        <v>205882</v>
      </c>
      <c r="H141" s="157">
        <f>'Manufacturing &amp; Production'!F345</f>
        <v>3397018</v>
      </c>
      <c r="I141" s="157">
        <f>'Manufacturing &amp; Production'!G345</f>
        <v>1453560</v>
      </c>
      <c r="J141" s="157">
        <f>'Workforce &amp; Expenses'!M397</f>
        <v>1845834</v>
      </c>
      <c r="K141" s="157">
        <f>'Manufacturing &amp; Production'!K345</f>
        <v>16471</v>
      </c>
      <c r="L141" s="157">
        <f>'Clinical Trials &amp; R&amp;D'!F345</f>
        <v>4899897</v>
      </c>
      <c r="M141" s="157">
        <f>'Clinical Trials &amp; R&amp;D'!I345</f>
        <v>5312735</v>
      </c>
      <c r="N141" s="157">
        <f>'Workforce &amp; Expenses'!P397</f>
        <v>8276016</v>
      </c>
      <c r="O141" s="157">
        <f>'Workforce &amp; Expenses'!S397</f>
        <v>4636636</v>
      </c>
      <c r="P141" s="157">
        <f t="shared" si="24"/>
        <v>1820490</v>
      </c>
      <c r="Q141" s="157">
        <f t="shared" si="25"/>
        <v>1935801</v>
      </c>
      <c r="R141" s="157">
        <f t="shared" si="11"/>
        <v>474583</v>
      </c>
      <c r="S141" s="157">
        <f t="shared" si="29"/>
        <v>0</v>
      </c>
      <c r="T141" s="157">
        <f>MAX(0,ROUND(T129*IFERROR(SUM($T$86:$T$97)/SUM($T$74:$T$85),1)+('Funding &amp; Cap'!$H$10-'Funding &amp; Cap'!$H$5)*'Funding &amp; Cap'!$B$6/12,0))</f>
        <v>3481983</v>
      </c>
      <c r="U141" s="157">
        <f>IF(MONTH(A141)=IF('Funding &amp; Cap'!$N$4="IPO in 2029",'Funding &amp; Cap'!$N$8,2),'Funding &amp; Cap'!$H$10,0)</f>
        <v>0</v>
      </c>
      <c r="V141" s="157">
        <f t="shared" si="27"/>
        <v>0</v>
      </c>
      <c r="W141" s="157">
        <f>IF(MONTH(A141)=12,MIN(AE140,'Funding &amp; Cap'!$H$9),0)</f>
        <v>0</v>
      </c>
      <c r="X141" s="157">
        <f t="shared" si="15"/>
        <v>50557324</v>
      </c>
      <c r="Y141" s="157">
        <f t="shared" si="16"/>
        <v>23413033</v>
      </c>
      <c r="Z141" s="157">
        <f t="shared" si="17"/>
        <v>13946579</v>
      </c>
      <c r="AA141" s="157">
        <f t="shared" si="18"/>
        <v>17016951</v>
      </c>
      <c r="AB141" s="157">
        <f t="shared" si="19"/>
        <v>26420108</v>
      </c>
      <c r="AC141" s="157">
        <f t="shared" si="20"/>
        <v>14389055</v>
      </c>
      <c r="AD141" s="157">
        <f>MIN(AE141,SUMIFS($W$2:$W$181,$A$2:$A$181,"&gt;"&amp;A141,$A$2:$A$181,"&lt;="&amp;EDATE(A141,12))+IF(AND(DATE(2033,12,1)&gt;A141,DATE(2033,12,1)&lt;=EDATE(A141,12)),'Funding &amp; Cap'!$B$200,0))</f>
        <v>15000000</v>
      </c>
      <c r="AE141" s="158">
        <f t="shared" si="21"/>
        <v>67000000</v>
      </c>
      <c r="AF141" s="158">
        <f t="shared" si="2"/>
        <v>242298049</v>
      </c>
      <c r="AG141" s="158">
        <f t="shared" si="7"/>
        <v>-6003205</v>
      </c>
      <c r="AH141" s="159">
        <f>'Revenue &amp; Demand'!I71</f>
        <v>6562</v>
      </c>
      <c r="AI141" s="158">
        <f>'Revenue &amp; Demand'!K71</f>
        <v>9843000</v>
      </c>
      <c r="AJ141" s="158">
        <f>'Manufacturing &amp; Production'!J345</f>
        <v>3100218</v>
      </c>
      <c r="AK141" s="160">
        <f t="shared" si="4"/>
        <v>47331</v>
      </c>
      <c r="AL141" s="159" t="str">
        <f t="shared" si="5"/>
        <v/>
      </c>
      <c r="AM141" s="159">
        <f t="shared" si="6"/>
        <v>12113</v>
      </c>
    </row>
    <row r="142">
      <c r="A142" s="154">
        <f t="shared" si="23"/>
        <v>47362</v>
      </c>
      <c r="B142" s="155">
        <f t="shared" si="1"/>
        <v>2029</v>
      </c>
      <c r="C142" s="156">
        <f>'Revenue &amp; Demand'!C72</f>
        <v>12255</v>
      </c>
      <c r="D142" s="156">
        <f>'Revenue &amp; Demand'!D72</f>
        <v>120</v>
      </c>
      <c r="E142" s="157">
        <f>'Revenue &amp; Demand'!F72</f>
        <v>18382500</v>
      </c>
      <c r="F142" s="157">
        <f>'Revenue &amp; Demand'!G72</f>
        <v>4061539</v>
      </c>
      <c r="G142" s="157">
        <f>'Revenue &amp; Demand'!H72</f>
        <v>1286765</v>
      </c>
      <c r="H142" s="157">
        <f>'Manufacturing &amp; Production'!F346</f>
        <v>3432856</v>
      </c>
      <c r="I142" s="157">
        <f>'Manufacturing &amp; Production'!G346</f>
        <v>1470600</v>
      </c>
      <c r="J142" s="157">
        <f>'Workforce &amp; Expenses'!M398</f>
        <v>1865503</v>
      </c>
      <c r="K142" s="157">
        <f>'Manufacturing &amp; Production'!K346</f>
        <v>102941</v>
      </c>
      <c r="L142" s="157">
        <f>'Clinical Trials &amp; R&amp;D'!F346</f>
        <v>4921569</v>
      </c>
      <c r="M142" s="157">
        <f>'Clinical Trials &amp; R&amp;D'!I346</f>
        <v>5331858</v>
      </c>
      <c r="N142" s="157">
        <f>'Workforce &amp; Expenses'!P398</f>
        <v>8307332</v>
      </c>
      <c r="O142" s="157">
        <f>'Workforce &amp; Expenses'!S398</f>
        <v>4656906</v>
      </c>
      <c r="P142" s="157">
        <f t="shared" si="24"/>
        <v>1853107</v>
      </c>
      <c r="Q142" s="157">
        <f t="shared" si="25"/>
        <v>1935801</v>
      </c>
      <c r="R142" s="157">
        <f t="shared" si="11"/>
        <v>474583</v>
      </c>
      <c r="S142" s="157">
        <f t="shared" si="29"/>
        <v>0</v>
      </c>
      <c r="T142" s="157">
        <f>MAX(0,ROUND(T130*IFERROR(SUM($T$86:$T$97)/SUM($T$74:$T$85),1)+('Funding &amp; Cap'!$H$10-'Funding &amp; Cap'!$H$5)*'Funding &amp; Cap'!$B$6/12,0))</f>
        <v>8418565</v>
      </c>
      <c r="U142" s="157">
        <f>IF(MONTH(A142)=IF('Funding &amp; Cap'!$N$4="IPO in 2029",'Funding &amp; Cap'!$N$8,2),'Funding &amp; Cap'!$H$10,0)</f>
        <v>0</v>
      </c>
      <c r="V142" s="157">
        <f t="shared" si="27"/>
        <v>0</v>
      </c>
      <c r="W142" s="157">
        <f>IF(MONTH(A142)=12,MIN(AE141,'Funding &amp; Cap'!$H$9),0)</f>
        <v>0</v>
      </c>
      <c r="X142" s="157">
        <f t="shared" si="15"/>
        <v>47200812</v>
      </c>
      <c r="Y142" s="157">
        <f t="shared" si="16"/>
        <v>24165094</v>
      </c>
      <c r="Z142" s="157">
        <f t="shared" si="17"/>
        <v>13112254</v>
      </c>
      <c r="AA142" s="157">
        <f t="shared" si="18"/>
        <v>17086949</v>
      </c>
      <c r="AB142" s="157">
        <f t="shared" si="19"/>
        <v>26812325</v>
      </c>
      <c r="AC142" s="157">
        <f t="shared" si="20"/>
        <v>11581227</v>
      </c>
      <c r="AD142" s="157">
        <f>MIN(AE142,SUMIFS($W$2:$W$181,$A$2:$A$181,"&gt;"&amp;A142,$A$2:$A$181,"&lt;="&amp;EDATE(A142,12))+IF(AND(DATE(2033,12,1)&gt;A142,DATE(2033,12,1)&lt;=EDATE(A142,12)),'Funding &amp; Cap'!$B$200,0))</f>
        <v>15000000</v>
      </c>
      <c r="AE142" s="158">
        <f t="shared" si="21"/>
        <v>67000000</v>
      </c>
      <c r="AF142" s="158">
        <f t="shared" si="2"/>
        <v>235021019</v>
      </c>
      <c r="AG142" s="158">
        <f t="shared" si="7"/>
        <v>-7277030</v>
      </c>
      <c r="AH142" s="159">
        <f>'Revenue &amp; Demand'!I72</f>
        <v>6694</v>
      </c>
      <c r="AI142" s="158">
        <f>'Revenue &amp; Demand'!K72</f>
        <v>10041000</v>
      </c>
      <c r="AJ142" s="158">
        <f>'Manufacturing &amp; Production'!J346</f>
        <v>3159284</v>
      </c>
      <c r="AK142" s="160">
        <f t="shared" si="4"/>
        <v>47362</v>
      </c>
      <c r="AL142" s="159" t="str">
        <f t="shared" si="5"/>
        <v/>
      </c>
      <c r="AM142" s="159">
        <f t="shared" si="6"/>
        <v>12255</v>
      </c>
    </row>
    <row r="143">
      <c r="A143" s="154">
        <f t="shared" si="23"/>
        <v>47392</v>
      </c>
      <c r="B143" s="155">
        <f t="shared" si="1"/>
        <v>2029</v>
      </c>
      <c r="C143" s="156">
        <f>'Revenue &amp; Demand'!C73</f>
        <v>12398</v>
      </c>
      <c r="D143" s="156">
        <f>'Revenue &amp; Demand'!D73</f>
        <v>120</v>
      </c>
      <c r="E143" s="157">
        <f>'Revenue &amp; Demand'!F73</f>
        <v>18597000</v>
      </c>
      <c r="F143" s="157">
        <f>'Revenue &amp; Demand'!G73</f>
        <v>4098066</v>
      </c>
      <c r="G143" s="157">
        <f>'Revenue &amp; Demand'!H73</f>
        <v>205882</v>
      </c>
      <c r="H143" s="157">
        <f>'Manufacturing &amp; Production'!F347</f>
        <v>3457054</v>
      </c>
      <c r="I143" s="157">
        <f>'Manufacturing &amp; Production'!G347</f>
        <v>1487760</v>
      </c>
      <c r="J143" s="157">
        <f>'Workforce &amp; Expenses'!M399</f>
        <v>1879782</v>
      </c>
      <c r="K143" s="157">
        <f>'Manufacturing &amp; Production'!K347</f>
        <v>16471</v>
      </c>
      <c r="L143" s="157">
        <f>'Clinical Trials &amp; R&amp;D'!F347</f>
        <v>4921569</v>
      </c>
      <c r="M143" s="157">
        <f>'Clinical Trials &amp; R&amp;D'!I347</f>
        <v>5350980</v>
      </c>
      <c r="N143" s="157">
        <f>'Workforce &amp; Expenses'!P399</f>
        <v>8338289</v>
      </c>
      <c r="O143" s="157">
        <f>'Workforce &amp; Expenses'!S399</f>
        <v>4659365</v>
      </c>
      <c r="P143" s="157">
        <f t="shared" si="24"/>
        <v>1873274</v>
      </c>
      <c r="Q143" s="157">
        <f t="shared" si="25"/>
        <v>1935801</v>
      </c>
      <c r="R143" s="157">
        <f t="shared" si="11"/>
        <v>474583</v>
      </c>
      <c r="S143" s="157">
        <f t="shared" si="29"/>
        <v>0</v>
      </c>
      <c r="T143" s="157">
        <f>MAX(0,ROUND(T131*IFERROR(SUM($T$86:$T$97)/SUM($T$74:$T$85),1)+('Funding &amp; Cap'!$H$10-'Funding &amp; Cap'!$H$5)*'Funding &amp; Cap'!$B$6/12,0))</f>
        <v>3561121</v>
      </c>
      <c r="U143" s="157">
        <f>IF(MONTH(A143)=IF('Funding &amp; Cap'!$N$4="IPO in 2029",'Funding &amp; Cap'!$N$8,2),'Funding &amp; Cap'!$H$10,0)</f>
        <v>0</v>
      </c>
      <c r="V143" s="157">
        <f t="shared" si="27"/>
        <v>0</v>
      </c>
      <c r="W143" s="157">
        <f>IF(MONTH(A143)=12,MIN(AE142,'Funding &amp; Cap'!$H$9),0)</f>
        <v>0</v>
      </c>
      <c r="X143" s="157">
        <f t="shared" si="15"/>
        <v>49582485</v>
      </c>
      <c r="Y143" s="157">
        <f t="shared" si="16"/>
        <v>22728502</v>
      </c>
      <c r="Z143" s="157">
        <f t="shared" si="17"/>
        <v>13490751</v>
      </c>
      <c r="AA143" s="157">
        <f t="shared" si="18"/>
        <v>16790888</v>
      </c>
      <c r="AB143" s="157">
        <f t="shared" si="19"/>
        <v>26507223</v>
      </c>
      <c r="AC143" s="157">
        <f t="shared" si="20"/>
        <v>14137291</v>
      </c>
      <c r="AD143" s="157">
        <f>MIN(AE143,SUMIFS($W$2:$W$181,$A$2:$A$181,"&gt;"&amp;A143,$A$2:$A$181,"&lt;="&amp;EDATE(A143,12))+IF(AND(DATE(2033,12,1)&gt;A143,DATE(2033,12,1)&lt;=EDATE(A143,12)),'Funding &amp; Cap'!$B$200,0))</f>
        <v>15000000</v>
      </c>
      <c r="AE143" s="158">
        <f t="shared" si="21"/>
        <v>67000000</v>
      </c>
      <c r="AF143" s="158">
        <f t="shared" si="2"/>
        <v>231429070</v>
      </c>
      <c r="AG143" s="158">
        <f t="shared" si="7"/>
        <v>-3591949</v>
      </c>
      <c r="AH143" s="159">
        <f>'Revenue &amp; Demand'!I73</f>
        <v>6828</v>
      </c>
      <c r="AI143" s="158">
        <f>'Revenue &amp; Demand'!K73</f>
        <v>10242000</v>
      </c>
      <c r="AJ143" s="158">
        <f>'Manufacturing &amp; Production'!J347</f>
        <v>3219246</v>
      </c>
      <c r="AK143" s="160">
        <f t="shared" si="4"/>
        <v>47392</v>
      </c>
      <c r="AL143" s="159" t="str">
        <f t="shared" si="5"/>
        <v/>
      </c>
      <c r="AM143" s="159">
        <f t="shared" si="6"/>
        <v>12398</v>
      </c>
    </row>
    <row r="144">
      <c r="A144" s="154">
        <f t="shared" si="23"/>
        <v>47423</v>
      </c>
      <c r="B144" s="155">
        <f t="shared" si="1"/>
        <v>2029</v>
      </c>
      <c r="C144" s="156">
        <f>'Revenue &amp; Demand'!C74</f>
        <v>12543</v>
      </c>
      <c r="D144" s="156">
        <f>'Revenue &amp; Demand'!D74</f>
        <v>122</v>
      </c>
      <c r="E144" s="157">
        <f>'Revenue &amp; Demand'!F74</f>
        <v>18814500</v>
      </c>
      <c r="F144" s="157">
        <f>'Revenue &amp; Demand'!G74</f>
        <v>4230593</v>
      </c>
      <c r="G144" s="157">
        <f>'Revenue &amp; Demand'!H74</f>
        <v>205882</v>
      </c>
      <c r="H144" s="157">
        <f>'Manufacturing &amp; Production'!F348</f>
        <v>3510239</v>
      </c>
      <c r="I144" s="157">
        <f>'Manufacturing &amp; Production'!G348</f>
        <v>1505160</v>
      </c>
      <c r="J144" s="157">
        <f>'Workforce &amp; Expenses'!M400</f>
        <v>1899451</v>
      </c>
      <c r="K144" s="157">
        <f>'Manufacturing &amp; Production'!K348</f>
        <v>16471</v>
      </c>
      <c r="L144" s="157">
        <f>'Clinical Trials &amp; R&amp;D'!F348</f>
        <v>4943242</v>
      </c>
      <c r="M144" s="157">
        <f>'Clinical Trials &amp; R&amp;D'!I348</f>
        <v>5370103</v>
      </c>
      <c r="N144" s="157">
        <f>'Workforce &amp; Expenses'!P400</f>
        <v>8353947</v>
      </c>
      <c r="O144" s="157">
        <f>'Workforce &amp; Expenses'!S400</f>
        <v>4679635</v>
      </c>
      <c r="P144" s="157">
        <f t="shared" si="24"/>
        <v>1904498</v>
      </c>
      <c r="Q144" s="157">
        <f t="shared" si="25"/>
        <v>1935801</v>
      </c>
      <c r="R144" s="157">
        <f t="shared" si="11"/>
        <v>474583</v>
      </c>
      <c r="S144" s="157">
        <f t="shared" si="29"/>
        <v>0</v>
      </c>
      <c r="T144" s="157">
        <f>MAX(0,ROUND(T132*IFERROR(SUM($T$86:$T$97)/SUM($T$74:$T$85),1)+('Funding &amp; Cap'!$H$10-'Funding &amp; Cap'!$H$5)*'Funding &amp; Cap'!$B$6/12,0))</f>
        <v>3600688</v>
      </c>
      <c r="U144" s="157">
        <f>IF(MONTH(A144)=IF('Funding &amp; Cap'!$N$4="IPO in 2029",'Funding &amp; Cap'!$N$8,2),'Funding &amp; Cap'!$H$10,0)</f>
        <v>0</v>
      </c>
      <c r="V144" s="157">
        <f t="shared" si="27"/>
        <v>0</v>
      </c>
      <c r="W144" s="157">
        <f>IF(MONTH(A144)=12,MIN(AE143,'Funding &amp; Cap'!$H$9),0)</f>
        <v>0</v>
      </c>
      <c r="X144" s="157">
        <f t="shared" si="15"/>
        <v>51262118</v>
      </c>
      <c r="Y144" s="157">
        <f t="shared" si="16"/>
        <v>23713755</v>
      </c>
      <c r="Z144" s="157">
        <f t="shared" si="17"/>
        <v>13877844</v>
      </c>
      <c r="AA144" s="157">
        <f t="shared" si="18"/>
        <v>17042224</v>
      </c>
      <c r="AB144" s="157">
        <f t="shared" si="19"/>
        <v>26584471</v>
      </c>
      <c r="AC144" s="157">
        <f t="shared" si="20"/>
        <v>14182134</v>
      </c>
      <c r="AD144" s="157">
        <f>MIN(AE144,SUMIFS($W$2:$W$181,$A$2:$A$181,"&gt;"&amp;A144,$A$2:$A$181,"&lt;="&amp;EDATE(A144,12))+IF(AND(DATE(2033,12,1)&gt;A144,DATE(2033,12,1)&lt;=EDATE(A144,12)),'Funding &amp; Cap'!$B$200,0))</f>
        <v>15000000</v>
      </c>
      <c r="AE144" s="158">
        <f t="shared" si="21"/>
        <v>67000000</v>
      </c>
      <c r="AF144" s="158">
        <f t="shared" si="2"/>
        <v>224813872</v>
      </c>
      <c r="AG144" s="158">
        <f t="shared" si="7"/>
        <v>-6615198</v>
      </c>
      <c r="AH144" s="159">
        <f>'Revenue &amp; Demand'!I74</f>
        <v>6964</v>
      </c>
      <c r="AI144" s="158">
        <f>'Revenue &amp; Demand'!K74</f>
        <v>10446000</v>
      </c>
      <c r="AJ144" s="158">
        <f>'Manufacturing &amp; Production'!J348</f>
        <v>3280102</v>
      </c>
      <c r="AK144" s="160">
        <f t="shared" si="4"/>
        <v>47423</v>
      </c>
      <c r="AL144" s="159" t="str">
        <f t="shared" si="5"/>
        <v/>
      </c>
      <c r="AM144" s="159">
        <f t="shared" si="6"/>
        <v>12543</v>
      </c>
    </row>
    <row r="145">
      <c r="A145" s="154">
        <f t="shared" si="23"/>
        <v>47453</v>
      </c>
      <c r="B145" s="155">
        <f t="shared" si="1"/>
        <v>2029</v>
      </c>
      <c r="C145" s="156">
        <f>'Revenue &amp; Demand'!C75</f>
        <v>12690</v>
      </c>
      <c r="D145" s="156">
        <f>'Revenue &amp; Demand'!D75</f>
        <v>124</v>
      </c>
      <c r="E145" s="157">
        <f>'Revenue &amp; Demand'!F75</f>
        <v>19035000</v>
      </c>
      <c r="F145" s="157">
        <f>'Revenue &amp; Demand'!G75</f>
        <v>4360724</v>
      </c>
      <c r="G145" s="157">
        <f>'Revenue &amp; Demand'!H75</f>
        <v>1492649</v>
      </c>
      <c r="H145" s="157">
        <f>'Manufacturing &amp; Production'!F349</f>
        <v>3534786</v>
      </c>
      <c r="I145" s="157">
        <f>'Manufacturing &amp; Production'!G349</f>
        <v>1522800</v>
      </c>
      <c r="J145" s="157">
        <f>'Workforce &amp; Expenses'!M401</f>
        <v>1919120</v>
      </c>
      <c r="K145" s="157">
        <f>'Manufacturing &amp; Production'!K349</f>
        <v>119412</v>
      </c>
      <c r="L145" s="157">
        <f>'Clinical Trials &amp; R&amp;D'!F349</f>
        <v>4943242</v>
      </c>
      <c r="M145" s="157">
        <f>'Clinical Trials &amp; R&amp;D'!I349</f>
        <v>5389226</v>
      </c>
      <c r="N145" s="157">
        <f>'Workforce &amp; Expenses'!P401</f>
        <v>8385083</v>
      </c>
      <c r="O145" s="157">
        <f>'Workforce &amp; Expenses'!S401</f>
        <v>4681602</v>
      </c>
      <c r="P145" s="157">
        <f t="shared" si="24"/>
        <v>1935712</v>
      </c>
      <c r="Q145" s="157">
        <f t="shared" si="25"/>
        <v>1935815</v>
      </c>
      <c r="R145" s="157">
        <f t="shared" si="11"/>
        <v>368333</v>
      </c>
      <c r="S145" s="157">
        <f>ROUND(0.25*MAX(0,SUM(E134:G145)+SUM(AI134:AI145)-SUM(H134:R145)-SUM(AJ134:AJ145)),0)</f>
        <v>0</v>
      </c>
      <c r="T145" s="157">
        <f>MAX(0,ROUND(T133*IFERROR(SUM($T$86:$T$97)/SUM($T$74:$T$85),1)+('Funding &amp; Cap'!$H$10-'Funding &amp; Cap'!$H$5)*'Funding &amp; Cap'!$B$6/12,0))</f>
        <v>3640256</v>
      </c>
      <c r="U145" s="157">
        <f>IF(MONTH(A145)=IF('Funding &amp; Cap'!$N$4="IPO in 2029",'Funding &amp; Cap'!$N$8,2),'Funding &amp; Cap'!$H$10,0)</f>
        <v>0</v>
      </c>
      <c r="V145" s="157">
        <f t="shared" si="27"/>
        <v>0</v>
      </c>
      <c r="W145" s="157">
        <f>IF(MONTH(A145)=12,MIN(AE144,'Funding &amp; Cap'!$H$9),0)</f>
        <v>15000000</v>
      </c>
      <c r="X145" s="157">
        <f t="shared" si="15"/>
        <v>48356526</v>
      </c>
      <c r="Y145" s="157">
        <f t="shared" si="16"/>
        <v>24658155</v>
      </c>
      <c r="Z145" s="157">
        <f t="shared" si="17"/>
        <v>13242047</v>
      </c>
      <c r="AA145" s="157">
        <f t="shared" si="18"/>
        <v>17047745</v>
      </c>
      <c r="AB145" s="157">
        <f t="shared" si="19"/>
        <v>26674317</v>
      </c>
      <c r="AC145" s="157">
        <f t="shared" si="20"/>
        <v>11590975</v>
      </c>
      <c r="AD145" s="157">
        <f>MIN(AE145,SUMIFS($W$2:$W$181,$A$2:$A$181,"&gt;"&amp;A145,$A$2:$A$181,"&lt;="&amp;EDATE(A145,12))+IF(AND(DATE(2033,12,1)&gt;A145,DATE(2033,12,1)&lt;=EDATE(A145,12)),'Funding &amp; Cap'!$B$200,0))</f>
        <v>15000000</v>
      </c>
      <c r="AE145" s="158">
        <f t="shared" si="21"/>
        <v>52000000</v>
      </c>
      <c r="AF145" s="158">
        <f t="shared" si="2"/>
        <v>207611781</v>
      </c>
      <c r="AG145" s="158">
        <f t="shared" si="7"/>
        <v>-17202091</v>
      </c>
      <c r="AH145" s="159">
        <f>'Revenue &amp; Demand'!I75</f>
        <v>7103</v>
      </c>
      <c r="AI145" s="158">
        <f>'Revenue &amp; Demand'!K75</f>
        <v>10654500</v>
      </c>
      <c r="AJ145" s="158">
        <f>'Manufacturing &amp; Production'!J349</f>
        <v>3342301</v>
      </c>
      <c r="AK145" s="160">
        <f t="shared" si="4"/>
        <v>47453</v>
      </c>
      <c r="AL145" s="159" t="str">
        <f t="shared" si="5"/>
        <v/>
      </c>
      <c r="AM145" s="159">
        <f t="shared" si="6"/>
        <v>12690</v>
      </c>
    </row>
    <row r="146">
      <c r="A146" s="154">
        <f t="shared" si="23"/>
        <v>47484</v>
      </c>
      <c r="B146" s="155">
        <f t="shared" si="1"/>
        <v>2030</v>
      </c>
      <c r="C146" s="156">
        <f>'Revenue &amp; Demand'!C76</f>
        <v>12810</v>
      </c>
      <c r="D146" s="156">
        <f>'Revenue &amp; Demand'!D76</f>
        <v>113</v>
      </c>
      <c r="E146" s="157">
        <f>'Revenue &amp; Demand'!F76</f>
        <v>19215000</v>
      </c>
      <c r="F146" s="157">
        <f>'Revenue &amp; Demand'!G76</f>
        <v>5423943</v>
      </c>
      <c r="G146" s="157">
        <f>'Revenue &amp; Demand'!H76</f>
        <v>205882</v>
      </c>
      <c r="H146" s="157">
        <f>'Manufacturing &amp; Production'!F350</f>
        <v>3663687</v>
      </c>
      <c r="I146" s="157">
        <f>'Manufacturing &amp; Production'!G350</f>
        <v>1537200</v>
      </c>
      <c r="J146" s="157">
        <f>'Workforce &amp; Expenses'!M402</f>
        <v>1865268</v>
      </c>
      <c r="K146" s="157">
        <f>'Manufacturing &amp; Production'!K350</f>
        <v>16471</v>
      </c>
      <c r="L146" s="157">
        <f>'Clinical Trials &amp; R&amp;D'!F350</f>
        <v>5091539</v>
      </c>
      <c r="M146" s="157">
        <f>'Clinical Trials &amp; R&amp;D'!I350</f>
        <v>5687743</v>
      </c>
      <c r="N146" s="157">
        <f>'Workforce &amp; Expenses'!P402</f>
        <v>10372433</v>
      </c>
      <c r="O146" s="157">
        <f>'Workforce &amp; Expenses'!S402</f>
        <v>4968813</v>
      </c>
      <c r="P146" s="157">
        <f t="shared" si="24"/>
        <v>1912015</v>
      </c>
      <c r="Q146" s="157">
        <f t="shared" si="25"/>
        <v>2581068</v>
      </c>
      <c r="R146" s="157">
        <f t="shared" si="11"/>
        <v>368333</v>
      </c>
      <c r="S146" s="157">
        <f t="shared" ref="S146:S156" si="30">0</f>
        <v>0</v>
      </c>
      <c r="T146" s="157">
        <f>MAX(0,ROUND(T134*IFERROR(SUM($T$86:$T$97)/SUM($T$74:$T$85),1)+('Funding &amp; Cap'!$I$10-'Funding &amp; Cap'!$I$5)*'Funding &amp; Cap'!$B$6/12,0))</f>
        <v>4196425</v>
      </c>
      <c r="U146" s="157">
        <f>IF(MONTH(A146)=2,'Funding &amp; Cap'!$I$10,0)</f>
        <v>0</v>
      </c>
      <c r="V146" s="157">
        <f t="shared" si="27"/>
        <v>0</v>
      </c>
      <c r="W146" s="157">
        <f>IF(MONTH(A146)=12,MIN(AE145,'Funding &amp; Cap'!$I$9),0)</f>
        <v>0</v>
      </c>
      <c r="X146" s="157">
        <f t="shared" si="15"/>
        <v>44747913</v>
      </c>
      <c r="Y146" s="157">
        <f t="shared" si="16"/>
        <v>20815919</v>
      </c>
      <c r="Z146" s="157">
        <f t="shared" si="17"/>
        <v>12949553</v>
      </c>
      <c r="AA146" s="157">
        <f t="shared" si="18"/>
        <v>14169909</v>
      </c>
      <c r="AB146" s="157">
        <f t="shared" si="19"/>
        <v>23288112</v>
      </c>
      <c r="AC146" s="157">
        <f t="shared" si="20"/>
        <v>16640931</v>
      </c>
      <c r="AD146" s="157">
        <f>MIN(AE146,SUMIFS($W$2:$W$181,$A$2:$A$181,"&gt;"&amp;A146,$A$2:$A$181,"&lt;="&amp;EDATE(A146,12))+IF(AND(DATE(2033,12,1)&gt;A146,DATE(2033,12,1)&lt;=EDATE(A146,12)),'Funding &amp; Cap'!$B$200,0))</f>
        <v>15000000</v>
      </c>
      <c r="AE146" s="158">
        <f t="shared" si="21"/>
        <v>52000000</v>
      </c>
      <c r="AF146" s="158">
        <f t="shared" si="2"/>
        <v>208577436</v>
      </c>
      <c r="AG146" s="158">
        <f t="shared" si="7"/>
        <v>965655</v>
      </c>
      <c r="AH146" s="159">
        <f>'Revenue &amp; Demand'!I76</f>
        <v>7245</v>
      </c>
      <c r="AI146" s="158">
        <f>'Revenue &amp; Demand'!K76</f>
        <v>10867500</v>
      </c>
      <c r="AJ146" s="158">
        <f>'Manufacturing &amp; Production'!J350</f>
        <v>3508016</v>
      </c>
    </row>
    <row r="147">
      <c r="A147" s="154">
        <f t="shared" si="23"/>
        <v>47515</v>
      </c>
      <c r="B147" s="155">
        <f t="shared" si="1"/>
        <v>2030</v>
      </c>
      <c r="C147" s="156">
        <f>'Revenue &amp; Demand'!C77</f>
        <v>12932</v>
      </c>
      <c r="D147" s="156">
        <f>'Revenue &amp; Demand'!D77</f>
        <v>115</v>
      </c>
      <c r="E147" s="157">
        <f>'Revenue &amp; Demand'!F77</f>
        <v>19398000</v>
      </c>
      <c r="F147" s="157">
        <f>'Revenue &amp; Demand'!G77</f>
        <v>5479535</v>
      </c>
      <c r="G147" s="157">
        <f>'Revenue &amp; Demand'!H77</f>
        <v>205882</v>
      </c>
      <c r="H147" s="157">
        <f>'Manufacturing &amp; Production'!F351</f>
        <v>3704320</v>
      </c>
      <c r="I147" s="157">
        <f>'Manufacturing &amp; Production'!G351</f>
        <v>1551840</v>
      </c>
      <c r="J147" s="157">
        <f>'Workforce &amp; Expenses'!M403</f>
        <v>1900234</v>
      </c>
      <c r="K147" s="157">
        <f>'Manufacturing &amp; Production'!K351</f>
        <v>16471</v>
      </c>
      <c r="L147" s="157">
        <f>'Clinical Trials &amp; R&amp;D'!F351</f>
        <v>5113862</v>
      </c>
      <c r="M147" s="157">
        <f>'Clinical Trials &amp; R&amp;D'!I351</f>
        <v>5707439</v>
      </c>
      <c r="N147" s="157">
        <f>'Workforce &amp; Expenses'!P403</f>
        <v>10404487</v>
      </c>
      <c r="O147" s="157">
        <f>'Workforce &amp; Expenses'!S403</f>
        <v>4972358</v>
      </c>
      <c r="P147" s="157">
        <f t="shared" si="24"/>
        <v>1950803</v>
      </c>
      <c r="Q147" s="157">
        <f t="shared" si="25"/>
        <v>2581068</v>
      </c>
      <c r="R147" s="157">
        <f t="shared" si="11"/>
        <v>368333</v>
      </c>
      <c r="S147" s="157">
        <f t="shared" si="30"/>
        <v>0</v>
      </c>
      <c r="T147" s="157">
        <f>MAX(0,ROUND(T135*IFERROR(SUM($T$86:$T$97)/SUM($T$74:$T$85),1)+('Funding &amp; Cap'!$I$10-'Funding &amp; Cap'!$I$5)*'Funding &amp; Cap'!$B$6/12,0))</f>
        <v>4326100</v>
      </c>
      <c r="U147" s="157">
        <f>IF(MONTH(A147)=2,'Funding &amp; Cap'!$I$10,0)</f>
        <v>0</v>
      </c>
      <c r="V147" s="157">
        <f t="shared" si="27"/>
        <v>0</v>
      </c>
      <c r="W147" s="157">
        <f>IF(MONTH(A147)=12,MIN(AE146,'Funding &amp; Cap'!$I$9),0)</f>
        <v>0</v>
      </c>
      <c r="X147" s="157">
        <f t="shared" si="15"/>
        <v>47601414</v>
      </c>
      <c r="Y147" s="157">
        <f t="shared" si="16"/>
        <v>22637891</v>
      </c>
      <c r="Z147" s="157">
        <f t="shared" si="17"/>
        <v>13594234</v>
      </c>
      <c r="AA147" s="157">
        <f t="shared" si="18"/>
        <v>14859667</v>
      </c>
      <c r="AB147" s="157">
        <f t="shared" si="19"/>
        <v>24114601</v>
      </c>
      <c r="AC147" s="157">
        <f t="shared" si="20"/>
        <v>16832066</v>
      </c>
      <c r="AD147" s="157">
        <f>MIN(AE147,SUMIFS($W$2:$W$181,$A$2:$A$181,"&gt;"&amp;A147,$A$2:$A$181,"&lt;="&amp;EDATE(A147,12))+IF(AND(DATE(2033,12,1)&gt;A147,DATE(2033,12,1)&lt;=EDATE(A147,12)),'Funding &amp; Cap'!$B$200,0))</f>
        <v>15000000</v>
      </c>
      <c r="AE147" s="158">
        <f t="shared" si="21"/>
        <v>52000000</v>
      </c>
      <c r="AF147" s="158">
        <f t="shared" si="2"/>
        <v>199492791</v>
      </c>
      <c r="AG147" s="158">
        <f t="shared" si="7"/>
        <v>-9084645</v>
      </c>
      <c r="AH147" s="159">
        <f>'Revenue &amp; Demand'!I77</f>
        <v>7390</v>
      </c>
      <c r="AI147" s="158">
        <f>'Revenue &amp; Demand'!K77</f>
        <v>11085000</v>
      </c>
      <c r="AJ147" s="158">
        <f>'Manufacturing &amp; Production'!J351</f>
        <v>3574846</v>
      </c>
    </row>
    <row r="148">
      <c r="A148" s="154">
        <f t="shared" si="23"/>
        <v>47543</v>
      </c>
      <c r="B148" s="155">
        <f t="shared" si="1"/>
        <v>2030</v>
      </c>
      <c r="C148" s="156">
        <f>'Revenue &amp; Demand'!C78</f>
        <v>13055</v>
      </c>
      <c r="D148" s="156">
        <f>'Revenue &amp; Demand'!D78</f>
        <v>118</v>
      </c>
      <c r="E148" s="157">
        <f>'Revenue &amp; Demand'!F78</f>
        <v>19582500</v>
      </c>
      <c r="F148" s="157">
        <f>'Revenue &amp; Demand'!G78</f>
        <v>5263971</v>
      </c>
      <c r="G148" s="157">
        <f>'Revenue &amp; Demand'!H78</f>
        <v>1286765</v>
      </c>
      <c r="H148" s="157">
        <f>'Manufacturing &amp; Production'!F352</f>
        <v>3739527</v>
      </c>
      <c r="I148" s="157">
        <f>'Manufacturing &amp; Production'!G352</f>
        <v>1566600</v>
      </c>
      <c r="J148" s="157">
        <f>'Workforce &amp; Expenses'!M404</f>
        <v>1930622</v>
      </c>
      <c r="K148" s="157">
        <f>'Manufacturing &amp; Production'!K352</f>
        <v>102941</v>
      </c>
      <c r="L148" s="157">
        <f>'Clinical Trials &amp; R&amp;D'!F352</f>
        <v>5113862</v>
      </c>
      <c r="M148" s="157">
        <f>'Clinical Trials &amp; R&amp;D'!I352</f>
        <v>5727136</v>
      </c>
      <c r="N148" s="157">
        <f>'Workforce &amp; Expenses'!P404</f>
        <v>10420785</v>
      </c>
      <c r="O148" s="157">
        <f>'Workforce &amp; Expenses'!S404</f>
        <v>4992223</v>
      </c>
      <c r="P148" s="157">
        <f t="shared" si="24"/>
        <v>1989643</v>
      </c>
      <c r="Q148" s="157">
        <f t="shared" si="25"/>
        <v>2581068</v>
      </c>
      <c r="R148" s="157">
        <f t="shared" si="11"/>
        <v>368333</v>
      </c>
      <c r="S148" s="157">
        <f t="shared" si="30"/>
        <v>0</v>
      </c>
      <c r="T148" s="157">
        <f>MAX(0,ROUND(T136*IFERROR(SUM($T$86:$T$97)/SUM($T$74:$T$85),1)+('Funding &amp; Cap'!$I$10-'Funding &amp; Cap'!$I$5)*'Funding &amp; Cap'!$B$6/12,0))</f>
        <v>10902512</v>
      </c>
      <c r="U148" s="157">
        <f>IF(MONTH(A148)=2,'Funding &amp; Cap'!$I$10,0)</f>
        <v>0</v>
      </c>
      <c r="V148" s="157">
        <f t="shared" si="27"/>
        <v>0</v>
      </c>
      <c r="W148" s="157">
        <f>IF(MONTH(A148)=12,MIN(AE147,'Funding &amp; Cap'!$I$9),0)</f>
        <v>0</v>
      </c>
      <c r="X148" s="157">
        <f t="shared" si="15"/>
        <v>44223770</v>
      </c>
      <c r="Y148" s="157">
        <f t="shared" si="16"/>
        <v>23813678</v>
      </c>
      <c r="Z148" s="157">
        <f t="shared" si="17"/>
        <v>12605859</v>
      </c>
      <c r="AA148" s="157">
        <f t="shared" si="18"/>
        <v>15435225</v>
      </c>
      <c r="AB148" s="157">
        <f t="shared" si="19"/>
        <v>25098594</v>
      </c>
      <c r="AC148" s="157">
        <f t="shared" si="20"/>
        <v>13014653</v>
      </c>
      <c r="AD148" s="157">
        <f>MIN(AE148,SUMIFS($W$2:$W$181,$A$2:$A$181,"&gt;"&amp;A148,$A$2:$A$181,"&lt;="&amp;EDATE(A148,12))+IF(AND(DATE(2033,12,1)&gt;A148,DATE(2033,12,1)&lt;=EDATE(A148,12)),'Funding &amp; Cap'!$B$200,0))</f>
        <v>15000000</v>
      </c>
      <c r="AE148" s="158">
        <f t="shared" si="21"/>
        <v>52000000</v>
      </c>
      <c r="AF148" s="158">
        <f t="shared" si="2"/>
        <v>189357796</v>
      </c>
      <c r="AG148" s="158">
        <f t="shared" si="7"/>
        <v>-10134995</v>
      </c>
      <c r="AH148" s="159">
        <f>'Revenue &amp; Demand'!I78</f>
        <v>7538</v>
      </c>
      <c r="AI148" s="158">
        <f>'Revenue &amp; Demand'!K78</f>
        <v>11307000</v>
      </c>
      <c r="AJ148" s="158">
        <f>'Manufacturing &amp; Production'!J352</f>
        <v>3643060</v>
      </c>
    </row>
    <row r="149">
      <c r="A149" s="154">
        <f t="shared" si="23"/>
        <v>47574</v>
      </c>
      <c r="B149" s="155">
        <f t="shared" si="1"/>
        <v>2030</v>
      </c>
      <c r="C149" s="156">
        <f>'Revenue &amp; Demand'!C79</f>
        <v>13179</v>
      </c>
      <c r="D149" s="156">
        <f>'Revenue &amp; Demand'!D79</f>
        <v>119</v>
      </c>
      <c r="E149" s="157">
        <f>'Revenue &amp; Demand'!F79</f>
        <v>19768500</v>
      </c>
      <c r="F149" s="157">
        <f>'Revenue &amp; Demand'!G79</f>
        <v>5252270</v>
      </c>
      <c r="G149" s="157">
        <f>'Revenue &amp; Demand'!H79</f>
        <v>205882</v>
      </c>
      <c r="H149" s="157">
        <f>'Manufacturing &amp; Production'!F353</f>
        <v>3762746</v>
      </c>
      <c r="I149" s="157">
        <f>'Manufacturing &amp; Production'!G353</f>
        <v>1581480</v>
      </c>
      <c r="J149" s="157">
        <f>'Workforce &amp; Expenses'!M405</f>
        <v>1940752</v>
      </c>
      <c r="K149" s="157">
        <f>'Manufacturing &amp; Production'!K353</f>
        <v>16471</v>
      </c>
      <c r="L149" s="157">
        <f>'Clinical Trials &amp; R&amp;D'!F353</f>
        <v>5093115</v>
      </c>
      <c r="M149" s="157">
        <f>'Clinical Trials &amp; R&amp;D'!I353</f>
        <v>5746832</v>
      </c>
      <c r="N149" s="157">
        <f>'Workforce &amp; Expenses'!P405</f>
        <v>10437082</v>
      </c>
      <c r="O149" s="157">
        <f>'Workforce &amp; Expenses'!S405</f>
        <v>4993236</v>
      </c>
      <c r="P149" s="157">
        <f t="shared" si="24"/>
        <v>2028533</v>
      </c>
      <c r="Q149" s="157">
        <f t="shared" si="25"/>
        <v>2581068</v>
      </c>
      <c r="R149" s="157">
        <f t="shared" si="11"/>
        <v>368333</v>
      </c>
      <c r="S149" s="157">
        <f t="shared" si="30"/>
        <v>0</v>
      </c>
      <c r="T149" s="157">
        <f>MAX(0,ROUND(T137*IFERROR(SUM($T$86:$T$97)/SUM($T$74:$T$85),1)+('Funding &amp; Cap'!$I$10-'Funding &amp; Cap'!$I$5)*'Funding &amp; Cap'!$B$6/12,0))</f>
        <v>4351849</v>
      </c>
      <c r="U149" s="157">
        <f>IF(MONTH(A149)=2,'Funding &amp; Cap'!$I$10,0)</f>
        <v>0</v>
      </c>
      <c r="V149" s="157">
        <f t="shared" si="27"/>
        <v>0</v>
      </c>
      <c r="W149" s="157">
        <f>IF(MONTH(A149)=12,MIN(AE148,'Funding &amp; Cap'!$I$9),0)</f>
        <v>0</v>
      </c>
      <c r="X149" s="157">
        <f t="shared" si="15"/>
        <v>52401003</v>
      </c>
      <c r="Y149" s="157">
        <f t="shared" si="16"/>
        <v>24926470</v>
      </c>
      <c r="Z149" s="157">
        <f t="shared" si="17"/>
        <v>14582764</v>
      </c>
      <c r="AA149" s="157">
        <f t="shared" si="18"/>
        <v>16523724</v>
      </c>
      <c r="AB149" s="157">
        <f t="shared" si="19"/>
        <v>26192788</v>
      </c>
      <c r="AC149" s="157">
        <f t="shared" si="20"/>
        <v>16888139</v>
      </c>
      <c r="AD149" s="157">
        <f>MIN(AE149,SUMIFS($W$2:$W$181,$A$2:$A$181,"&gt;"&amp;A149,$A$2:$A$181,"&lt;="&amp;EDATE(A149,12))+IF(AND(DATE(2033,12,1)&gt;A149,DATE(2033,12,1)&lt;=EDATE(A149,12)),'Funding &amp; Cap'!$B$200,0))</f>
        <v>15000000</v>
      </c>
      <c r="AE149" s="158">
        <f t="shared" si="21"/>
        <v>52000000</v>
      </c>
      <c r="AF149" s="158">
        <f t="shared" si="2"/>
        <v>178902646</v>
      </c>
      <c r="AG149" s="158">
        <f t="shared" si="7"/>
        <v>-10455150</v>
      </c>
      <c r="AH149" s="159">
        <f>'Revenue &amp; Demand'!I79</f>
        <v>7689</v>
      </c>
      <c r="AI149" s="158">
        <f>'Revenue &amp; Demand'!K79</f>
        <v>11533500</v>
      </c>
      <c r="AJ149" s="158">
        <f>'Manufacturing &amp; Production'!J353</f>
        <v>3712655</v>
      </c>
    </row>
    <row r="150">
      <c r="A150" s="154">
        <f t="shared" si="23"/>
        <v>47604</v>
      </c>
      <c r="B150" s="155">
        <f t="shared" si="1"/>
        <v>2030</v>
      </c>
      <c r="C150" s="156">
        <f>'Revenue &amp; Demand'!C80</f>
        <v>13304</v>
      </c>
      <c r="D150" s="156">
        <f>'Revenue &amp; Demand'!D80</f>
        <v>122</v>
      </c>
      <c r="E150" s="157">
        <f>'Revenue &amp; Demand'!F80</f>
        <v>19956000</v>
      </c>
      <c r="F150" s="157">
        <f>'Revenue &amp; Demand'!G80</f>
        <v>5019335</v>
      </c>
      <c r="G150" s="157">
        <f>'Revenue &amp; Demand'!H80</f>
        <v>205882</v>
      </c>
      <c r="H150" s="157">
        <f>'Manufacturing &amp; Production'!F354</f>
        <v>3786052</v>
      </c>
      <c r="I150" s="157">
        <f>'Manufacturing &amp; Production'!G354</f>
        <v>1596480</v>
      </c>
      <c r="J150" s="157">
        <f>'Workforce &amp; Expenses'!M406</f>
        <v>1971141</v>
      </c>
      <c r="K150" s="157">
        <f>'Manufacturing &amp; Production'!K354</f>
        <v>16471</v>
      </c>
      <c r="L150" s="157">
        <f>'Clinical Trials &amp; R&amp;D'!F354</f>
        <v>5093115</v>
      </c>
      <c r="M150" s="157">
        <f>'Clinical Trials &amp; R&amp;D'!I354</f>
        <v>5766529</v>
      </c>
      <c r="N150" s="157">
        <f>'Workforce &amp; Expenses'!P406</f>
        <v>10469136</v>
      </c>
      <c r="O150" s="157">
        <f>'Workforce &amp; Expenses'!S406</f>
        <v>5013102</v>
      </c>
      <c r="P150" s="157">
        <f t="shared" si="24"/>
        <v>2067472</v>
      </c>
      <c r="Q150" s="157">
        <f t="shared" si="25"/>
        <v>2581068</v>
      </c>
      <c r="R150" s="157">
        <f t="shared" si="11"/>
        <v>368333</v>
      </c>
      <c r="S150" s="157">
        <f t="shared" si="30"/>
        <v>0</v>
      </c>
      <c r="T150" s="157">
        <f>MAX(0,ROUND(T138*IFERROR(SUM($T$86:$T$97)/SUM($T$74:$T$85),1)+('Funding &amp; Cap'!$I$10-'Funding &amp; Cap'!$I$5)*'Funding &amp; Cap'!$B$6/12,0))</f>
        <v>4484373</v>
      </c>
      <c r="U150" s="157">
        <f>IF(MONTH(A150)=2,'Funding &amp; Cap'!$I$10,0)</f>
        <v>0</v>
      </c>
      <c r="V150" s="157">
        <f t="shared" si="27"/>
        <v>0</v>
      </c>
      <c r="W150" s="157">
        <f>IF(MONTH(A150)=12,MIN(AE149,'Funding &amp; Cap'!$I$9),0)</f>
        <v>0</v>
      </c>
      <c r="X150" s="157">
        <f t="shared" si="15"/>
        <v>54317153</v>
      </c>
      <c r="Y150" s="157">
        <f t="shared" si="16"/>
        <v>25738522</v>
      </c>
      <c r="Z150" s="157">
        <f t="shared" si="17"/>
        <v>14922036</v>
      </c>
      <c r="AA150" s="157">
        <f t="shared" si="18"/>
        <v>17486400</v>
      </c>
      <c r="AB150" s="157">
        <f t="shared" si="19"/>
        <v>27417963</v>
      </c>
      <c r="AC150" s="157">
        <f t="shared" si="20"/>
        <v>16720980</v>
      </c>
      <c r="AD150" s="157">
        <f>MIN(AE150,SUMIFS($W$2:$W$181,$A$2:$A$181,"&gt;"&amp;A150,$A$2:$A$181,"&lt;="&amp;EDATE(A150,12))+IF(AND(DATE(2033,12,1)&gt;A150,DATE(2033,12,1)&lt;=EDATE(A150,12)),'Funding &amp; Cap'!$B$200,0))</f>
        <v>15000000</v>
      </c>
      <c r="AE150" s="158">
        <f t="shared" si="21"/>
        <v>52000000</v>
      </c>
      <c r="AF150" s="158">
        <f t="shared" si="2"/>
        <v>172453217</v>
      </c>
      <c r="AG150" s="158">
        <f t="shared" si="7"/>
        <v>-6449429</v>
      </c>
      <c r="AH150" s="159">
        <f>'Revenue &amp; Demand'!I80</f>
        <v>7843</v>
      </c>
      <c r="AI150" s="158">
        <f>'Revenue &amp; Demand'!K80</f>
        <v>11764500</v>
      </c>
      <c r="AJ150" s="158">
        <f>'Manufacturing &amp; Production'!J354</f>
        <v>3783632</v>
      </c>
    </row>
    <row r="151">
      <c r="A151" s="154">
        <f t="shared" si="23"/>
        <v>47635</v>
      </c>
      <c r="B151" s="155">
        <f t="shared" si="1"/>
        <v>2030</v>
      </c>
      <c r="C151" s="156">
        <f>'Revenue &amp; Demand'!C81</f>
        <v>13430</v>
      </c>
      <c r="D151" s="156">
        <f>'Revenue &amp; Demand'!D81</f>
        <v>124</v>
      </c>
      <c r="E151" s="157">
        <f>'Revenue &amp; Demand'!F81</f>
        <v>20145000</v>
      </c>
      <c r="F151" s="157">
        <f>'Revenue &amp; Demand'!G81</f>
        <v>4589615</v>
      </c>
      <c r="G151" s="157">
        <f>'Revenue &amp; Demand'!H81</f>
        <v>1286765</v>
      </c>
      <c r="H151" s="157">
        <f>'Manufacturing &amp; Production'!F355</f>
        <v>3827046</v>
      </c>
      <c r="I151" s="157">
        <f>'Manufacturing &amp; Production'!G355</f>
        <v>1611600</v>
      </c>
      <c r="J151" s="157">
        <f>'Workforce &amp; Expenses'!M407</f>
        <v>2006107</v>
      </c>
      <c r="K151" s="157">
        <f>'Manufacturing &amp; Production'!K355</f>
        <v>102941</v>
      </c>
      <c r="L151" s="157">
        <f>'Clinical Trials &amp; R&amp;D'!F355</f>
        <v>5115437</v>
      </c>
      <c r="M151" s="157">
        <f>'Clinical Trials &amp; R&amp;D'!I355</f>
        <v>5805921</v>
      </c>
      <c r="N151" s="157">
        <f>'Workforce &amp; Expenses'!P407</f>
        <v>10485433</v>
      </c>
      <c r="O151" s="157">
        <f>'Workforce &amp; Expenses'!S407</f>
        <v>5016647</v>
      </c>
      <c r="P151" s="157">
        <f t="shared" si="24"/>
        <v>2106458</v>
      </c>
      <c r="Q151" s="157">
        <f t="shared" si="25"/>
        <v>2581068</v>
      </c>
      <c r="R151" s="157">
        <f t="shared" si="11"/>
        <v>368333</v>
      </c>
      <c r="S151" s="157">
        <f t="shared" si="30"/>
        <v>0</v>
      </c>
      <c r="T151" s="157">
        <f>MAX(0,ROUND(T139*IFERROR(SUM($T$86:$T$97)/SUM($T$74:$T$85),1)+('Funding &amp; Cap'!$I$10-'Funding &amp; Cap'!$I$5)*'Funding &amp; Cap'!$B$6/12,0))</f>
        <v>4618796</v>
      </c>
      <c r="U151" s="157">
        <f>IF(MONTH(A151)=2,'Funding &amp; Cap'!$I$10,0)</f>
        <v>0</v>
      </c>
      <c r="V151" s="157">
        <f t="shared" si="27"/>
        <v>0</v>
      </c>
      <c r="W151" s="157">
        <f>IF(MONTH(A151)=12,MIN(AE150,'Funding &amp; Cap'!$I$9),0)</f>
        <v>0</v>
      </c>
      <c r="X151" s="157">
        <f t="shared" si="15"/>
        <v>49760152</v>
      </c>
      <c r="Y151" s="157">
        <f t="shared" si="16"/>
        <v>26530498</v>
      </c>
      <c r="Z151" s="157">
        <f t="shared" si="17"/>
        <v>13652182</v>
      </c>
      <c r="AA151" s="157">
        <f t="shared" si="18"/>
        <v>18019362</v>
      </c>
      <c r="AB151" s="157">
        <f t="shared" si="19"/>
        <v>28615496</v>
      </c>
      <c r="AC151" s="157">
        <f t="shared" si="20"/>
        <v>12495253</v>
      </c>
      <c r="AD151" s="157">
        <f>MIN(AE151,SUMIFS($W$2:$W$181,$A$2:$A$181,"&gt;"&amp;A151,$A$2:$A$181,"&lt;="&amp;EDATE(A151,12))+IF(AND(DATE(2033,12,1)&gt;A151,DATE(2033,12,1)&lt;=EDATE(A151,12)),'Funding &amp; Cap'!$B$200,0))</f>
        <v>15000000</v>
      </c>
      <c r="AE151" s="158">
        <f t="shared" si="21"/>
        <v>52000000</v>
      </c>
      <c r="AF151" s="158">
        <f t="shared" si="2"/>
        <v>170199991</v>
      </c>
      <c r="AG151" s="158">
        <f t="shared" si="7"/>
        <v>-2253226</v>
      </c>
      <c r="AH151" s="159">
        <f>'Revenue &amp; Demand'!I81</f>
        <v>8000</v>
      </c>
      <c r="AI151" s="158">
        <f>'Revenue &amp; Demand'!K81</f>
        <v>12000000</v>
      </c>
      <c r="AJ151" s="158">
        <f>'Manufacturing &amp; Production'!J355</f>
        <v>3855992</v>
      </c>
    </row>
    <row r="152">
      <c r="A152" s="154">
        <f t="shared" si="23"/>
        <v>47665</v>
      </c>
      <c r="B152" s="155">
        <f t="shared" si="1"/>
        <v>2030</v>
      </c>
      <c r="C152" s="156">
        <f>'Revenue &amp; Demand'!C82</f>
        <v>13557</v>
      </c>
      <c r="D152" s="156">
        <f>'Revenue &amp; Demand'!D82</f>
        <v>125</v>
      </c>
      <c r="E152" s="157">
        <f>'Revenue &amp; Demand'!F82</f>
        <v>20335500</v>
      </c>
      <c r="F152" s="157">
        <f>'Revenue &amp; Demand'!G82</f>
        <v>4500070</v>
      </c>
      <c r="G152" s="157">
        <f>'Revenue &amp; Demand'!H82</f>
        <v>205882</v>
      </c>
      <c r="H152" s="157">
        <f>'Manufacturing &amp; Production'!F356</f>
        <v>3850532</v>
      </c>
      <c r="I152" s="157">
        <f>'Manufacturing &amp; Production'!G356</f>
        <v>1626840</v>
      </c>
      <c r="J152" s="157">
        <f>'Workforce &amp; Expenses'!M408</f>
        <v>2016236</v>
      </c>
      <c r="K152" s="157">
        <f>'Manufacturing &amp; Production'!K356</f>
        <v>16471</v>
      </c>
      <c r="L152" s="157">
        <f>'Clinical Trials &amp; R&amp;D'!F356</f>
        <v>5115437</v>
      </c>
      <c r="M152" s="157">
        <f>'Clinical Trials &amp; R&amp;D'!I356</f>
        <v>5825618</v>
      </c>
      <c r="N152" s="157">
        <f>'Workforce &amp; Expenses'!P408</f>
        <v>10501730</v>
      </c>
      <c r="O152" s="157">
        <f>'Workforce &amp; Expenses'!S408</f>
        <v>5036006</v>
      </c>
      <c r="P152" s="157">
        <f t="shared" si="24"/>
        <v>2145500</v>
      </c>
      <c r="Q152" s="157">
        <f t="shared" si="25"/>
        <v>2581068</v>
      </c>
      <c r="R152" s="157">
        <f t="shared" si="11"/>
        <v>368333</v>
      </c>
      <c r="S152" s="157">
        <f t="shared" si="30"/>
        <v>0</v>
      </c>
      <c r="T152" s="157">
        <f>MAX(0,ROUND(T140*IFERROR(SUM($T$86:$T$97)/SUM($T$74:$T$85),1)+('Funding &amp; Cap'!$I$10-'Funding &amp; Cap'!$I$5)*'Funding &amp; Cap'!$B$6/12,0))</f>
        <v>4507269</v>
      </c>
      <c r="U152" s="157">
        <f>IF(MONTH(A152)=2,'Funding &amp; Cap'!$I$10,0)</f>
        <v>0</v>
      </c>
      <c r="V152" s="157">
        <f t="shared" si="27"/>
        <v>0</v>
      </c>
      <c r="W152" s="157">
        <f>IF(MONTH(A152)=12,MIN(AE151,'Funding &amp; Cap'!$I$9),0)</f>
        <v>0</v>
      </c>
      <c r="X152" s="157">
        <f t="shared" si="15"/>
        <v>57415900</v>
      </c>
      <c r="Y152" s="157">
        <f t="shared" si="16"/>
        <v>27360481</v>
      </c>
      <c r="Z152" s="157">
        <f t="shared" si="17"/>
        <v>15383380</v>
      </c>
      <c r="AA152" s="157">
        <f t="shared" si="18"/>
        <v>19119272</v>
      </c>
      <c r="AB152" s="157">
        <f t="shared" si="19"/>
        <v>29608417</v>
      </c>
      <c r="AC152" s="157">
        <f t="shared" si="20"/>
        <v>15889782</v>
      </c>
      <c r="AD152" s="157">
        <f>MIN(AE152,SUMIFS($W$2:$W$181,$A$2:$A$181,"&gt;"&amp;A152,$A$2:$A$181,"&lt;="&amp;EDATE(A152,12))+IF(AND(DATE(2033,12,1)&gt;A152,DATE(2033,12,1)&lt;=EDATE(A152,12)),'Funding &amp; Cap'!$B$200,0))</f>
        <v>15000000</v>
      </c>
      <c r="AE152" s="158">
        <f t="shared" si="21"/>
        <v>52000000</v>
      </c>
      <c r="AF152" s="158">
        <f t="shared" si="2"/>
        <v>159957666</v>
      </c>
      <c r="AG152" s="158">
        <f t="shared" si="7"/>
        <v>-10242325</v>
      </c>
      <c r="AH152" s="159">
        <f>'Revenue &amp; Demand'!I82</f>
        <v>8160</v>
      </c>
      <c r="AI152" s="158">
        <f>'Revenue &amp; Demand'!K82</f>
        <v>12240000</v>
      </c>
      <c r="AJ152" s="158">
        <f>'Manufacturing &amp; Production'!J356</f>
        <v>3929736</v>
      </c>
    </row>
    <row r="153">
      <c r="A153" s="154">
        <f t="shared" si="23"/>
        <v>47696</v>
      </c>
      <c r="B153" s="155">
        <f t="shared" si="1"/>
        <v>2030</v>
      </c>
      <c r="C153" s="156">
        <f>'Revenue &amp; Demand'!C83</f>
        <v>13686</v>
      </c>
      <c r="D153" s="156">
        <f>'Revenue &amp; Demand'!D83</f>
        <v>128</v>
      </c>
      <c r="E153" s="157">
        <f>'Revenue &amp; Demand'!F83</f>
        <v>20529000</v>
      </c>
      <c r="F153" s="157">
        <f>'Revenue &amp; Demand'!G83</f>
        <v>4371274</v>
      </c>
      <c r="G153" s="157">
        <f>'Revenue &amp; Demand'!H83</f>
        <v>205882</v>
      </c>
      <c r="H153" s="157">
        <f>'Manufacturing &amp; Production'!F357</f>
        <v>3874201</v>
      </c>
      <c r="I153" s="157">
        <f>'Manufacturing &amp; Production'!G357</f>
        <v>1642320</v>
      </c>
      <c r="J153" s="157">
        <f>'Workforce &amp; Expenses'!M409</f>
        <v>2046625</v>
      </c>
      <c r="K153" s="157">
        <f>'Manufacturing &amp; Production'!K357</f>
        <v>16471</v>
      </c>
      <c r="L153" s="157">
        <f>'Clinical Trials &amp; R&amp;D'!F357</f>
        <v>5115437</v>
      </c>
      <c r="M153" s="157">
        <f>'Clinical Trials &amp; R&amp;D'!I357</f>
        <v>5845314</v>
      </c>
      <c r="N153" s="157">
        <f>'Workforce &amp; Expenses'!P409</f>
        <v>10533784</v>
      </c>
      <c r="O153" s="157">
        <f>'Workforce &amp; Expenses'!S409</f>
        <v>5038032</v>
      </c>
      <c r="P153" s="157">
        <f t="shared" si="24"/>
        <v>2184588</v>
      </c>
      <c r="Q153" s="157">
        <f t="shared" si="25"/>
        <v>2581068</v>
      </c>
      <c r="R153" s="157">
        <f t="shared" si="11"/>
        <v>368333</v>
      </c>
      <c r="S153" s="157">
        <f t="shared" si="30"/>
        <v>0</v>
      </c>
      <c r="T153" s="157">
        <f>MAX(0,ROUND(T141*IFERROR(SUM($T$86:$T$97)/SUM($T$74:$T$85),1)+('Funding &amp; Cap'!$I$10-'Funding &amp; Cap'!$I$5)*'Funding &amp; Cap'!$B$6/12,0))</f>
        <v>4642644</v>
      </c>
      <c r="U153" s="157">
        <f>IF(MONTH(A153)=2,'Funding &amp; Cap'!$I$10,0)</f>
        <v>0</v>
      </c>
      <c r="V153" s="157">
        <f t="shared" si="27"/>
        <v>0</v>
      </c>
      <c r="W153" s="157">
        <f>IF(MONTH(A153)=12,MIN(AE152,'Funding &amp; Cap'!$I$9),0)</f>
        <v>0</v>
      </c>
      <c r="X153" s="157">
        <f t="shared" si="15"/>
        <v>58933085</v>
      </c>
      <c r="Y153" s="157">
        <f t="shared" si="16"/>
        <v>28038005</v>
      </c>
      <c r="Z153" s="157">
        <f t="shared" si="17"/>
        <v>15627880</v>
      </c>
      <c r="AA153" s="157">
        <f t="shared" si="18"/>
        <v>19711875</v>
      </c>
      <c r="AB153" s="157">
        <f t="shared" si="19"/>
        <v>30312851</v>
      </c>
      <c r="AC153" s="157">
        <f t="shared" si="20"/>
        <v>15549195</v>
      </c>
      <c r="AD153" s="157">
        <f>MIN(AE153,SUMIFS($W$2:$W$181,$A$2:$A$181,"&gt;"&amp;A153,$A$2:$A$181,"&lt;="&amp;EDATE(A153,12))+IF(AND(DATE(2033,12,1)&gt;A153,DATE(2033,12,1)&lt;=EDATE(A153,12)),'Funding &amp; Cap'!$B$200,0))</f>
        <v>15000000</v>
      </c>
      <c r="AE153" s="158">
        <f t="shared" si="21"/>
        <v>52000000</v>
      </c>
      <c r="AF153" s="158">
        <f t="shared" si="2"/>
        <v>152937540</v>
      </c>
      <c r="AG153" s="158">
        <f t="shared" si="7"/>
        <v>-7020126</v>
      </c>
      <c r="AH153" s="159">
        <f>'Revenue &amp; Demand'!I83</f>
        <v>8323</v>
      </c>
      <c r="AI153" s="158">
        <f>'Revenue &amp; Demand'!K83</f>
        <v>12484500</v>
      </c>
      <c r="AJ153" s="158">
        <f>'Manufacturing &amp; Production'!J357</f>
        <v>4004862</v>
      </c>
    </row>
    <row r="154">
      <c r="A154" s="154">
        <f t="shared" si="23"/>
        <v>47727</v>
      </c>
      <c r="B154" s="155">
        <f t="shared" si="1"/>
        <v>2030</v>
      </c>
      <c r="C154" s="156">
        <f>'Revenue &amp; Demand'!C84</f>
        <v>13816</v>
      </c>
      <c r="D154" s="156">
        <f>'Revenue &amp; Demand'!D84</f>
        <v>130</v>
      </c>
      <c r="E154" s="157">
        <f>'Revenue &amp; Demand'!F84</f>
        <v>20724000</v>
      </c>
      <c r="F154" s="157">
        <f>'Revenue &amp; Demand'!G84</f>
        <v>4400001</v>
      </c>
      <c r="G154" s="157">
        <f>'Revenue &amp; Demand'!H84</f>
        <v>1286765</v>
      </c>
      <c r="H154" s="157">
        <f>'Manufacturing &amp; Production'!F358</f>
        <v>3910037</v>
      </c>
      <c r="I154" s="157">
        <f>'Manufacturing &amp; Production'!G358</f>
        <v>1657920</v>
      </c>
      <c r="J154" s="157">
        <f>'Workforce &amp; Expenses'!M410</f>
        <v>2066884</v>
      </c>
      <c r="K154" s="157">
        <f>'Manufacturing &amp; Production'!K358</f>
        <v>102941</v>
      </c>
      <c r="L154" s="157">
        <f>'Clinical Trials &amp; R&amp;D'!F358</f>
        <v>5115437</v>
      </c>
      <c r="M154" s="157">
        <f>'Clinical Trials &amp; R&amp;D'!I358</f>
        <v>5865011</v>
      </c>
      <c r="N154" s="157">
        <f>'Workforce &amp; Expenses'!P410</f>
        <v>10550082</v>
      </c>
      <c r="O154" s="157">
        <f>'Workforce &amp; Expenses'!S410</f>
        <v>5057897</v>
      </c>
      <c r="P154" s="157">
        <f t="shared" si="24"/>
        <v>2223728</v>
      </c>
      <c r="Q154" s="157">
        <f t="shared" si="25"/>
        <v>2581068</v>
      </c>
      <c r="R154" s="157">
        <f t="shared" si="11"/>
        <v>368333</v>
      </c>
      <c r="S154" s="157">
        <f t="shared" si="30"/>
        <v>0</v>
      </c>
      <c r="T154" s="157">
        <f>MAX(0,ROUND(T142*IFERROR(SUM($T$86:$T$97)/SUM($T$74:$T$85),1)+('Funding &amp; Cap'!$I$10-'Funding &amp; Cap'!$I$5)*'Funding &amp; Cap'!$B$6/12,0))</f>
        <v>11224753</v>
      </c>
      <c r="U154" s="157">
        <f>IF(MONTH(A154)=2,'Funding &amp; Cap'!$I$10,0)</f>
        <v>0</v>
      </c>
      <c r="V154" s="157">
        <f t="shared" si="27"/>
        <v>0</v>
      </c>
      <c r="W154" s="157">
        <f>IF(MONTH(A154)=12,MIN(AE153,'Funding &amp; Cap'!$I$9),0)</f>
        <v>0</v>
      </c>
      <c r="X154" s="157">
        <f t="shared" si="15"/>
        <v>54709578</v>
      </c>
      <c r="Y154" s="157">
        <f t="shared" si="16"/>
        <v>28920307</v>
      </c>
      <c r="Z154" s="157">
        <f t="shared" si="17"/>
        <v>14593044</v>
      </c>
      <c r="AA154" s="157">
        <f t="shared" si="18"/>
        <v>19759264</v>
      </c>
      <c r="AB154" s="157">
        <f t="shared" si="19"/>
        <v>30704963</v>
      </c>
      <c r="AC154" s="157">
        <f t="shared" si="20"/>
        <v>12314133</v>
      </c>
      <c r="AD154" s="157">
        <f>MIN(AE154,SUMIFS($W$2:$W$181,$A$2:$A$181,"&gt;"&amp;A154,$A$2:$A$181,"&lt;="&amp;EDATE(A154,12))+IF(AND(DATE(2033,12,1)&gt;A154,DATE(2033,12,1)&lt;=EDATE(A154,12)),'Funding &amp; Cap'!$B$200,0))</f>
        <v>15000000</v>
      </c>
      <c r="AE154" s="158">
        <f t="shared" si="21"/>
        <v>52000000</v>
      </c>
      <c r="AF154" s="158">
        <f t="shared" si="2"/>
        <v>143661620</v>
      </c>
      <c r="AG154" s="158">
        <f t="shared" si="7"/>
        <v>-9275920</v>
      </c>
      <c r="AH154" s="159">
        <f>'Revenue &amp; Demand'!I84</f>
        <v>8489</v>
      </c>
      <c r="AI154" s="158">
        <f>'Revenue &amp; Demand'!K84</f>
        <v>12733500</v>
      </c>
      <c r="AJ154" s="158">
        <f>'Manufacturing &amp; Production'!J358</f>
        <v>4081371</v>
      </c>
    </row>
    <row r="155">
      <c r="A155" s="154">
        <f t="shared" si="23"/>
        <v>47757</v>
      </c>
      <c r="B155" s="155">
        <f t="shared" si="1"/>
        <v>2030</v>
      </c>
      <c r="C155" s="156">
        <f>'Revenue &amp; Demand'!C85</f>
        <v>13947</v>
      </c>
      <c r="D155" s="156">
        <f>'Revenue &amp; Demand'!D85</f>
        <v>130</v>
      </c>
      <c r="E155" s="157">
        <f>'Revenue &amp; Demand'!F85</f>
        <v>20920500</v>
      </c>
      <c r="F155" s="157">
        <f>'Revenue &amp; Demand'!G85</f>
        <v>4439572</v>
      </c>
      <c r="G155" s="157">
        <f>'Revenue &amp; Demand'!H85</f>
        <v>205882</v>
      </c>
      <c r="H155" s="157">
        <f>'Manufacturing &amp; Production'!F359</f>
        <v>3951478</v>
      </c>
      <c r="I155" s="157">
        <f>'Manufacturing &amp; Production'!G359</f>
        <v>1673640</v>
      </c>
      <c r="J155" s="157">
        <f>'Workforce &amp; Expenses'!M411</f>
        <v>2081591</v>
      </c>
      <c r="K155" s="157">
        <f>'Manufacturing &amp; Production'!K359</f>
        <v>16471</v>
      </c>
      <c r="L155" s="157">
        <f>'Clinical Trials &amp; R&amp;D'!F359</f>
        <v>5117013</v>
      </c>
      <c r="M155" s="157">
        <f>'Clinical Trials &amp; R&amp;D'!I359</f>
        <v>5884707</v>
      </c>
      <c r="N155" s="157">
        <f>'Workforce &amp; Expenses'!P411</f>
        <v>10566559</v>
      </c>
      <c r="O155" s="157">
        <f>'Workforce &amp; Expenses'!S411</f>
        <v>5060430</v>
      </c>
      <c r="P155" s="157">
        <f t="shared" si="24"/>
        <v>2247929</v>
      </c>
      <c r="Q155" s="157">
        <f t="shared" si="25"/>
        <v>2581068</v>
      </c>
      <c r="R155" s="157">
        <f t="shared" si="11"/>
        <v>368333</v>
      </c>
      <c r="S155" s="157">
        <f t="shared" si="30"/>
        <v>0</v>
      </c>
      <c r="T155" s="157">
        <f>MAX(0,ROUND(T143*IFERROR(SUM($T$86:$T$97)/SUM($T$74:$T$85),1)+('Funding &amp; Cap'!$I$10-'Funding &amp; Cap'!$I$5)*'Funding &amp; Cap'!$B$6/12,0))</f>
        <v>4748161</v>
      </c>
      <c r="U155" s="157">
        <f>IF(MONTH(A155)=2,'Funding &amp; Cap'!$I$10,0)</f>
        <v>0</v>
      </c>
      <c r="V155" s="157">
        <f t="shared" si="27"/>
        <v>0</v>
      </c>
      <c r="W155" s="157">
        <f>IF(MONTH(A155)=12,MIN(AE154,'Funding &amp; Cap'!$I$9),0)</f>
        <v>0</v>
      </c>
      <c r="X155" s="157">
        <f t="shared" si="15"/>
        <v>57678202</v>
      </c>
      <c r="Y155" s="157">
        <f t="shared" si="16"/>
        <v>27240708</v>
      </c>
      <c r="Z155" s="157">
        <f t="shared" si="17"/>
        <v>15060683</v>
      </c>
      <c r="AA155" s="157">
        <f t="shared" si="18"/>
        <v>19456596</v>
      </c>
      <c r="AB155" s="157">
        <f t="shared" si="19"/>
        <v>30332917</v>
      </c>
      <c r="AC155" s="157">
        <f t="shared" si="20"/>
        <v>15259045</v>
      </c>
      <c r="AD155" s="157">
        <f>MIN(AE155,SUMIFS($W$2:$W$181,$A$2:$A$181,"&gt;"&amp;A155,$A$2:$A$181,"&lt;="&amp;EDATE(A155,12))+IF(AND(DATE(2033,12,1)&gt;A155,DATE(2033,12,1)&lt;=EDATE(A155,12)),'Funding &amp; Cap'!$B$200,0))</f>
        <v>15000000</v>
      </c>
      <c r="AE155" s="158">
        <f t="shared" si="21"/>
        <v>52000000</v>
      </c>
      <c r="AF155" s="158">
        <f t="shared" si="2"/>
        <v>139101502</v>
      </c>
      <c r="AG155" s="158">
        <f t="shared" si="7"/>
        <v>-4560118</v>
      </c>
      <c r="AH155" s="159">
        <f>'Revenue &amp; Demand'!I85</f>
        <v>8659</v>
      </c>
      <c r="AI155" s="158">
        <f>'Revenue &amp; Demand'!K85</f>
        <v>12988500</v>
      </c>
      <c r="AJ155" s="158">
        <f>'Manufacturing &amp; Production'!J359</f>
        <v>4159723</v>
      </c>
    </row>
    <row r="156">
      <c r="A156" s="154">
        <f t="shared" si="23"/>
        <v>47788</v>
      </c>
      <c r="B156" s="155">
        <f t="shared" si="1"/>
        <v>2030</v>
      </c>
      <c r="C156" s="156">
        <f>'Revenue &amp; Demand'!C86</f>
        <v>14079</v>
      </c>
      <c r="D156" s="156">
        <f>'Revenue &amp; Demand'!D86</f>
        <v>132</v>
      </c>
      <c r="E156" s="157">
        <f>'Revenue &amp; Demand'!F86</f>
        <v>21118500</v>
      </c>
      <c r="F156" s="157">
        <f>'Revenue &amp; Demand'!G86</f>
        <v>4577363</v>
      </c>
      <c r="G156" s="157">
        <f>'Revenue &amp; Demand'!H86</f>
        <v>205882</v>
      </c>
      <c r="H156" s="157">
        <f>'Manufacturing &amp; Production'!F360</f>
        <v>3975414</v>
      </c>
      <c r="I156" s="157">
        <f>'Manufacturing &amp; Production'!G360</f>
        <v>1689480</v>
      </c>
      <c r="J156" s="157">
        <f>'Workforce &amp; Expenses'!M412</f>
        <v>2101850</v>
      </c>
      <c r="K156" s="157">
        <f>'Manufacturing &amp; Production'!K360</f>
        <v>16471</v>
      </c>
      <c r="L156" s="157">
        <f>'Clinical Trials &amp; R&amp;D'!F360</f>
        <v>5117013</v>
      </c>
      <c r="M156" s="157">
        <f>'Clinical Trials &amp; R&amp;D'!I360</f>
        <v>5904403</v>
      </c>
      <c r="N156" s="157">
        <f>'Workforce &amp; Expenses'!P412</f>
        <v>10598613</v>
      </c>
      <c r="O156" s="157">
        <f>'Workforce &amp; Expenses'!S412</f>
        <v>5080295</v>
      </c>
      <c r="P156" s="157">
        <f t="shared" si="24"/>
        <v>2285398</v>
      </c>
      <c r="Q156" s="157">
        <f t="shared" si="25"/>
        <v>2581068</v>
      </c>
      <c r="R156" s="157">
        <f t="shared" si="11"/>
        <v>368333</v>
      </c>
      <c r="S156" s="157">
        <f t="shared" si="30"/>
        <v>0</v>
      </c>
      <c r="T156" s="157">
        <f>MAX(0,ROUND(T144*IFERROR(SUM($T$86:$T$97)/SUM($T$74:$T$85),1)+('Funding &amp; Cap'!$I$10-'Funding &amp; Cap'!$I$5)*'Funding &amp; Cap'!$B$6/12,0))</f>
        <v>4800917</v>
      </c>
      <c r="U156" s="157">
        <f>IF(MONTH(A156)=2,'Funding &amp; Cap'!$I$10,0)</f>
        <v>0</v>
      </c>
      <c r="V156" s="157">
        <f t="shared" si="27"/>
        <v>0</v>
      </c>
      <c r="W156" s="157">
        <f>IF(MONTH(A156)=12,MIN(AE155,'Funding &amp; Cap'!$I$9),0)</f>
        <v>0</v>
      </c>
      <c r="X156" s="157">
        <f t="shared" si="15"/>
        <v>59557241</v>
      </c>
      <c r="Y156" s="157">
        <f t="shared" si="16"/>
        <v>28312862</v>
      </c>
      <c r="Z156" s="157">
        <f t="shared" si="17"/>
        <v>15460013</v>
      </c>
      <c r="AA156" s="157">
        <f t="shared" si="18"/>
        <v>19691571</v>
      </c>
      <c r="AB156" s="157">
        <f t="shared" si="19"/>
        <v>30402887</v>
      </c>
      <c r="AC156" s="157">
        <f t="shared" si="20"/>
        <v>15290658</v>
      </c>
      <c r="AD156" s="157">
        <f>MIN(AE156,SUMIFS($W$2:$W$181,$A$2:$A$181,"&gt;"&amp;A156,$A$2:$A$181,"&lt;="&amp;EDATE(A156,12))+IF(AND(DATE(2033,12,1)&gt;A156,DATE(2033,12,1)&lt;=EDATE(A156,12)),'Funding &amp; Cap'!$B$200,0))</f>
        <v>15000000</v>
      </c>
      <c r="AE156" s="158">
        <f t="shared" si="21"/>
        <v>52000000</v>
      </c>
      <c r="AF156" s="158">
        <f t="shared" si="2"/>
        <v>131345035</v>
      </c>
      <c r="AG156" s="158">
        <f t="shared" si="7"/>
        <v>-7756467</v>
      </c>
      <c r="AH156" s="159">
        <f>'Revenue &amp; Demand'!I86</f>
        <v>8832</v>
      </c>
      <c r="AI156" s="158">
        <f>'Revenue &amp; Demand'!K86</f>
        <v>13248000</v>
      </c>
      <c r="AJ156" s="158">
        <f>'Manufacturing &amp; Production'!J360</f>
        <v>4239458</v>
      </c>
    </row>
    <row r="157">
      <c r="A157" s="154">
        <f t="shared" si="23"/>
        <v>47818</v>
      </c>
      <c r="B157" s="155">
        <f t="shared" si="1"/>
        <v>2030</v>
      </c>
      <c r="C157" s="156">
        <f>'Revenue &amp; Demand'!C87</f>
        <v>14213</v>
      </c>
      <c r="D157" s="156">
        <f>'Revenue &amp; Demand'!D87</f>
        <v>134</v>
      </c>
      <c r="E157" s="157">
        <f>'Revenue &amp; Demand'!F87</f>
        <v>21319500</v>
      </c>
      <c r="F157" s="157">
        <f>'Revenue &amp; Demand'!G87</f>
        <v>4712395</v>
      </c>
      <c r="G157" s="157">
        <f>'Revenue &amp; Demand'!H87</f>
        <v>1492649</v>
      </c>
      <c r="H157" s="157">
        <f>'Manufacturing &amp; Production'!F361</f>
        <v>3999530</v>
      </c>
      <c r="I157" s="157">
        <f>'Manufacturing &amp; Production'!G361</f>
        <v>1705560</v>
      </c>
      <c r="J157" s="157">
        <f>'Workforce &amp; Expenses'!M413</f>
        <v>2122110</v>
      </c>
      <c r="K157" s="157">
        <f>'Manufacturing &amp; Production'!K361</f>
        <v>119412</v>
      </c>
      <c r="L157" s="157">
        <f>'Clinical Trials &amp; R&amp;D'!F361</f>
        <v>5117013</v>
      </c>
      <c r="M157" s="157">
        <f>'Clinical Trials &amp; R&amp;D'!I361</f>
        <v>5924100</v>
      </c>
      <c r="N157" s="157">
        <f>'Workforce &amp; Expenses'!P413</f>
        <v>10615090</v>
      </c>
      <c r="O157" s="157">
        <f>'Workforce &amp; Expenses'!S413</f>
        <v>5081814</v>
      </c>
      <c r="P157" s="157">
        <f t="shared" si="24"/>
        <v>2322854</v>
      </c>
      <c r="Q157" s="157">
        <f t="shared" si="25"/>
        <v>2581087</v>
      </c>
      <c r="R157" s="157">
        <f t="shared" si="11"/>
        <v>262083</v>
      </c>
      <c r="S157" s="157">
        <f>ROUND(0.25*MAX(0,SUM(E146:G157)+SUM(AI146:AI157)-SUM(H146:R157)-SUM(AJ146:AJ157)),0)</f>
        <v>0</v>
      </c>
      <c r="T157" s="157">
        <f>MAX(0,ROUND(T145*IFERROR(SUM($T$86:$T$97)/SUM($T$74:$T$85),1)+('Funding &amp; Cap'!$I$10-'Funding &amp; Cap'!$I$5)*'Funding &amp; Cap'!$B$6/12,0))</f>
        <v>4853675</v>
      </c>
      <c r="U157" s="157">
        <f>IF(MONTH(A157)=2,'Funding &amp; Cap'!$I$10,0)</f>
        <v>0</v>
      </c>
      <c r="V157" s="157">
        <f t="shared" si="27"/>
        <v>0</v>
      </c>
      <c r="W157" s="157">
        <f>IF(MONTH(A157)=12,MIN(AE156,'Funding &amp; Cap'!$I$9),0)</f>
        <v>15000000</v>
      </c>
      <c r="X157" s="157">
        <f t="shared" si="15"/>
        <v>55832775</v>
      </c>
      <c r="Y157" s="157">
        <f t="shared" si="16"/>
        <v>29432038</v>
      </c>
      <c r="Z157" s="157">
        <f t="shared" si="17"/>
        <v>14644642</v>
      </c>
      <c r="AA157" s="157">
        <f t="shared" si="18"/>
        <v>19674505</v>
      </c>
      <c r="AB157" s="157">
        <f t="shared" si="19"/>
        <v>30480520</v>
      </c>
      <c r="AC157" s="157">
        <f t="shared" si="20"/>
        <v>12287361</v>
      </c>
      <c r="AD157" s="157">
        <f>MIN(AE157,SUMIFS($W$2:$W$181,$A$2:$A$181,"&gt;"&amp;A157,$A$2:$A$181,"&lt;="&amp;EDATE(A157,12))+IF(AND(DATE(2033,12,1)&gt;A157,DATE(2033,12,1)&lt;=EDATE(A157,12)),'Funding &amp; Cap'!$B$200,0))</f>
        <v>15000000</v>
      </c>
      <c r="AE157" s="158">
        <f t="shared" si="21"/>
        <v>37000000</v>
      </c>
      <c r="AF157" s="158">
        <f t="shared" si="2"/>
        <v>113739586</v>
      </c>
      <c r="AG157" s="158">
        <f t="shared" si="7"/>
        <v>-17605449</v>
      </c>
      <c r="AH157" s="159">
        <f>'Revenue &amp; Demand'!I87</f>
        <v>9009</v>
      </c>
      <c r="AI157" s="158">
        <f>'Revenue &amp; Demand'!K87</f>
        <v>13513500</v>
      </c>
      <c r="AJ157" s="158">
        <f>'Manufacturing &amp; Production'!J361</f>
        <v>4321037</v>
      </c>
    </row>
    <row r="158">
      <c r="A158" s="154">
        <f t="shared" si="23"/>
        <v>47849</v>
      </c>
      <c r="B158" s="155">
        <f t="shared" si="1"/>
        <v>2031</v>
      </c>
      <c r="C158" s="156">
        <f>'Revenue &amp; Demand'!C88</f>
        <v>14326</v>
      </c>
      <c r="D158" s="156">
        <f>'Revenue &amp; Demand'!D88</f>
        <v>121</v>
      </c>
      <c r="E158" s="157">
        <f>'Revenue &amp; Demand'!F88</f>
        <v>21489000</v>
      </c>
      <c r="F158" s="157">
        <f>'Revenue &amp; Demand'!G88</f>
        <v>5807939</v>
      </c>
      <c r="G158" s="157">
        <f>'Revenue &amp; Demand'!H88</f>
        <v>205882</v>
      </c>
      <c r="H158" s="157">
        <f>'Manufacturing &amp; Production'!F362</f>
        <v>4142413</v>
      </c>
      <c r="I158" s="157">
        <f>'Manufacturing &amp; Production'!G362</f>
        <v>1719120</v>
      </c>
      <c r="J158" s="157">
        <f>'Workforce &amp; Expenses'!M414</f>
        <v>2050137</v>
      </c>
      <c r="K158" s="157">
        <f>'Manufacturing &amp; Production'!K362</f>
        <v>16471</v>
      </c>
      <c r="L158" s="157">
        <f>'Clinical Trials &amp; R&amp;D'!F362</f>
        <v>5270525</v>
      </c>
      <c r="M158" s="157">
        <f>'Clinical Trials &amp; R&amp;D'!I362</f>
        <v>6271477</v>
      </c>
      <c r="N158" s="157">
        <f>'Workforce &amp; Expenses'!P414</f>
        <v>13185683</v>
      </c>
      <c r="O158" s="157">
        <f>'Workforce &amp; Expenses'!S414</f>
        <v>5372156</v>
      </c>
      <c r="P158" s="157">
        <f t="shared" si="24"/>
        <v>2294418</v>
      </c>
      <c r="Q158" s="157">
        <f t="shared" si="25"/>
        <v>3441424</v>
      </c>
      <c r="R158" s="157">
        <f t="shared" si="11"/>
        <v>262083</v>
      </c>
      <c r="S158" s="157">
        <f t="shared" ref="S158:S168" si="31">0</f>
        <v>0</v>
      </c>
      <c r="T158" s="157">
        <f>MAX(0,ROUND(T146*IFERROR(SUM($T$86:$T$97)/SUM($T$74:$T$85),1)+('Funding &amp; Cap'!$J$10-'Funding &amp; Cap'!$J$5)*'Funding &amp; Cap'!$B$6/12,0))</f>
        <v>5595233</v>
      </c>
      <c r="U158" s="157">
        <f>IF(MONTH(A158)=2,'Funding &amp; Cap'!$J$10,0)</f>
        <v>0</v>
      </c>
      <c r="V158" s="157">
        <f t="shared" si="27"/>
        <v>0</v>
      </c>
      <c r="W158" s="157">
        <f>IF(MONTH(A158)=12,MIN(AE157,'Funding &amp; Cap'!$J$9),0)</f>
        <v>0</v>
      </c>
      <c r="X158" s="157">
        <f t="shared" si="15"/>
        <v>51732188</v>
      </c>
      <c r="Y158" s="157">
        <f t="shared" si="16"/>
        <v>24852345</v>
      </c>
      <c r="Z158" s="157">
        <f t="shared" si="17"/>
        <v>14334947</v>
      </c>
      <c r="AA158" s="157">
        <f t="shared" si="18"/>
        <v>16371631</v>
      </c>
      <c r="AB158" s="157">
        <f t="shared" si="19"/>
        <v>26835923</v>
      </c>
      <c r="AC158" s="157">
        <f t="shared" si="20"/>
        <v>17775966</v>
      </c>
      <c r="AD158" s="157">
        <f>MIN(AE158,SUMIFS($W$2:$W$181,$A$2:$A$181,"&gt;"&amp;A158,$A$2:$A$181,"&lt;="&amp;EDATE(A158,12))+IF(AND(DATE(2033,12,1)&gt;A158,DATE(2033,12,1)&lt;=EDATE(A158,12)),'Funding &amp; Cap'!$B$200,0))</f>
        <v>15000000</v>
      </c>
      <c r="AE158" s="158">
        <f t="shared" si="21"/>
        <v>37000000</v>
      </c>
      <c r="AF158" s="158">
        <f t="shared" si="2"/>
        <v>114135600</v>
      </c>
      <c r="AG158" s="158">
        <f t="shared" si="7"/>
        <v>396014</v>
      </c>
      <c r="AH158" s="159">
        <f>'Revenue &amp; Demand'!I88</f>
        <v>9189</v>
      </c>
      <c r="AI158" s="158">
        <f>'Revenue &amp; Demand'!K88</f>
        <v>13783500</v>
      </c>
      <c r="AJ158" s="158">
        <f>'Manufacturing &amp; Production'!J362</f>
        <v>4536118</v>
      </c>
    </row>
    <row r="159">
      <c r="A159" s="154">
        <f t="shared" si="23"/>
        <v>47880</v>
      </c>
      <c r="B159" s="155">
        <f t="shared" si="1"/>
        <v>2031</v>
      </c>
      <c r="C159" s="156">
        <f>'Revenue &amp; Demand'!C89</f>
        <v>14441</v>
      </c>
      <c r="D159" s="156">
        <f>'Revenue &amp; Demand'!D89</f>
        <v>123</v>
      </c>
      <c r="E159" s="157">
        <f>'Revenue &amp; Demand'!F89</f>
        <v>21661500</v>
      </c>
      <c r="F159" s="157">
        <f>'Revenue &amp; Demand'!G89</f>
        <v>5860720</v>
      </c>
      <c r="G159" s="157">
        <f>'Revenue &amp; Demand'!H89</f>
        <v>205882</v>
      </c>
      <c r="H159" s="157">
        <f>'Manufacturing &amp; Production'!F363</f>
        <v>4183617</v>
      </c>
      <c r="I159" s="157">
        <f>'Manufacturing &amp; Production'!G363</f>
        <v>1732920</v>
      </c>
      <c r="J159" s="157">
        <f>'Workforce &amp; Expenses'!M415</f>
        <v>2086152</v>
      </c>
      <c r="K159" s="157">
        <f>'Manufacturing &amp; Production'!K363</f>
        <v>16471</v>
      </c>
      <c r="L159" s="157">
        <f>'Clinical Trials &amp; R&amp;D'!F363</f>
        <v>5293517</v>
      </c>
      <c r="M159" s="157">
        <f>'Clinical Trials &amp; R&amp;D'!I363</f>
        <v>6291764</v>
      </c>
      <c r="N159" s="157">
        <f>'Workforce &amp; Expenses'!P415</f>
        <v>13218863</v>
      </c>
      <c r="O159" s="157">
        <f>'Workforce &amp; Expenses'!S415</f>
        <v>5394181</v>
      </c>
      <c r="P159" s="157">
        <f t="shared" si="24"/>
        <v>2340964</v>
      </c>
      <c r="Q159" s="157">
        <f t="shared" si="25"/>
        <v>3441424</v>
      </c>
      <c r="R159" s="157">
        <f t="shared" si="11"/>
        <v>262083</v>
      </c>
      <c r="S159" s="157">
        <f t="shared" si="31"/>
        <v>0</v>
      </c>
      <c r="T159" s="157">
        <f>MAX(0,ROUND(T147*IFERROR(SUM($T$86:$T$97)/SUM($T$74:$T$85),1)+('Funding &amp; Cap'!$J$10-'Funding &amp; Cap'!$J$5)*'Funding &amp; Cap'!$B$6/12,0))</f>
        <v>5768133</v>
      </c>
      <c r="U159" s="157">
        <f>IF(MONTH(A159)=2,'Funding &amp; Cap'!$J$10,0)</f>
        <v>0</v>
      </c>
      <c r="V159" s="157">
        <f t="shared" si="27"/>
        <v>0</v>
      </c>
      <c r="W159" s="157">
        <f>IF(MONTH(A159)=12,MIN(AE158,'Funding &amp; Cap'!$J$9),0)</f>
        <v>0</v>
      </c>
      <c r="X159" s="157">
        <f t="shared" si="15"/>
        <v>54996848</v>
      </c>
      <c r="Y159" s="157">
        <f t="shared" si="16"/>
        <v>27018831</v>
      </c>
      <c r="Z159" s="157">
        <f t="shared" si="17"/>
        <v>15027550</v>
      </c>
      <c r="AA159" s="157">
        <f t="shared" si="18"/>
        <v>17163678</v>
      </c>
      <c r="AB159" s="157">
        <f t="shared" si="19"/>
        <v>27796645</v>
      </c>
      <c r="AC159" s="157">
        <f t="shared" si="20"/>
        <v>17960590</v>
      </c>
      <c r="AD159" s="157">
        <f>MIN(AE159,SUMIFS($W$2:$W$181,$A$2:$A$181,"&gt;"&amp;A159,$A$2:$A$181,"&lt;="&amp;EDATE(A159,12))+IF(AND(DATE(2033,12,1)&gt;A159,DATE(2033,12,1)&lt;=EDATE(A159,12)),'Funding &amp; Cap'!$B$200,0))</f>
        <v>15000000</v>
      </c>
      <c r="AE159" s="158">
        <f t="shared" si="21"/>
        <v>37000000</v>
      </c>
      <c r="AF159" s="158">
        <f t="shared" si="2"/>
        <v>102865678</v>
      </c>
      <c r="AG159" s="158">
        <f t="shared" si="7"/>
        <v>-11269922</v>
      </c>
      <c r="AH159" s="159">
        <f>'Revenue &amp; Demand'!I89</f>
        <v>9373</v>
      </c>
      <c r="AI159" s="158">
        <f>'Revenue &amp; Demand'!K89</f>
        <v>14059500</v>
      </c>
      <c r="AJ159" s="158">
        <f>'Manufacturing &amp; Production'!J363</f>
        <v>4623467</v>
      </c>
    </row>
    <row r="160">
      <c r="A160" s="154">
        <f t="shared" si="23"/>
        <v>47908</v>
      </c>
      <c r="B160" s="155">
        <f t="shared" si="1"/>
        <v>2031</v>
      </c>
      <c r="C160" s="156">
        <f>'Revenue &amp; Demand'!C90</f>
        <v>14556</v>
      </c>
      <c r="D160" s="156">
        <f>'Revenue &amp; Demand'!D90</f>
        <v>126</v>
      </c>
      <c r="E160" s="157">
        <f>'Revenue &amp; Demand'!F90</f>
        <v>21834000</v>
      </c>
      <c r="F160" s="157">
        <f>'Revenue &amp; Demand'!G90</f>
        <v>5620850</v>
      </c>
      <c r="G160" s="157">
        <f>'Revenue &amp; Demand'!H90</f>
        <v>1286765</v>
      </c>
      <c r="H160" s="157">
        <f>'Manufacturing &amp; Production'!F364</f>
        <v>4206699</v>
      </c>
      <c r="I160" s="157">
        <f>'Manufacturing &amp; Production'!G364</f>
        <v>1746720</v>
      </c>
      <c r="J160" s="157">
        <f>'Workforce &amp; Expenses'!M416</f>
        <v>2117453</v>
      </c>
      <c r="K160" s="157">
        <f>'Manufacturing &amp; Production'!K364</f>
        <v>102941</v>
      </c>
      <c r="L160" s="157">
        <f>'Clinical Trials &amp; R&amp;D'!F364</f>
        <v>5293517</v>
      </c>
      <c r="M160" s="157">
        <f>'Clinical Trials &amp; R&amp;D'!I364</f>
        <v>6312051</v>
      </c>
      <c r="N160" s="157">
        <f>'Workforce &amp; Expenses'!P416</f>
        <v>13235633</v>
      </c>
      <c r="O160" s="157">
        <f>'Workforce &amp; Expenses'!S416</f>
        <v>5395746</v>
      </c>
      <c r="P160" s="157">
        <f t="shared" si="24"/>
        <v>2387572</v>
      </c>
      <c r="Q160" s="157">
        <f t="shared" si="25"/>
        <v>3441424</v>
      </c>
      <c r="R160" s="157">
        <f t="shared" si="11"/>
        <v>262083</v>
      </c>
      <c r="S160" s="157">
        <f t="shared" si="31"/>
        <v>0</v>
      </c>
      <c r="T160" s="157">
        <f>MAX(0,ROUND(T148*IFERROR(SUM($T$86:$T$97)/SUM($T$74:$T$85),1)+('Funding &amp; Cap'!$J$10-'Funding &amp; Cap'!$J$5)*'Funding &amp; Cap'!$B$6/12,0))</f>
        <v>14536683</v>
      </c>
      <c r="U160" s="157">
        <f>IF(MONTH(A160)=2,'Funding &amp; Cap'!$J$10,0)</f>
        <v>0</v>
      </c>
      <c r="V160" s="157">
        <f t="shared" si="27"/>
        <v>0</v>
      </c>
      <c r="W160" s="157">
        <f>IF(MONTH(A160)=12,MIN(AE159,'Funding &amp; Cap'!$J$9),0)</f>
        <v>0</v>
      </c>
      <c r="X160" s="157">
        <f t="shared" si="15"/>
        <v>50887271</v>
      </c>
      <c r="Y160" s="157">
        <f t="shared" si="16"/>
        <v>28381189</v>
      </c>
      <c r="Z160" s="157">
        <f t="shared" si="17"/>
        <v>13864060</v>
      </c>
      <c r="AA160" s="157">
        <f t="shared" si="18"/>
        <v>17796157</v>
      </c>
      <c r="AB160" s="157">
        <f t="shared" si="19"/>
        <v>28906250</v>
      </c>
      <c r="AC160" s="157">
        <f t="shared" si="20"/>
        <v>13723681</v>
      </c>
      <c r="AD160" s="157">
        <f>MIN(AE160,SUMIFS($W$2:$W$181,$A$2:$A$181,"&gt;"&amp;A160,$A$2:$A$181,"&lt;="&amp;EDATE(A160,12))+IF(AND(DATE(2033,12,1)&gt;A160,DATE(2033,12,1)&lt;=EDATE(A160,12)),'Funding &amp; Cap'!$B$200,0))</f>
        <v>15000000</v>
      </c>
      <c r="AE160" s="158">
        <f t="shared" si="21"/>
        <v>37000000</v>
      </c>
      <c r="AF160" s="158">
        <f t="shared" si="2"/>
        <v>89441411</v>
      </c>
      <c r="AG160" s="158">
        <f t="shared" si="7"/>
        <v>-13424267</v>
      </c>
      <c r="AH160" s="159">
        <f>'Revenue &amp; Demand'!I90</f>
        <v>9560</v>
      </c>
      <c r="AI160" s="158">
        <f>'Revenue &amp; Demand'!K90</f>
        <v>14340000</v>
      </c>
      <c r="AJ160" s="158">
        <f>'Manufacturing &amp; Production'!J364</f>
        <v>4712240</v>
      </c>
    </row>
    <row r="161">
      <c r="A161" s="154">
        <f t="shared" si="23"/>
        <v>47939</v>
      </c>
      <c r="B161" s="155">
        <f t="shared" si="1"/>
        <v>2031</v>
      </c>
      <c r="C161" s="156">
        <f>'Revenue &amp; Demand'!C91</f>
        <v>14672</v>
      </c>
      <c r="D161" s="156">
        <f>'Revenue &amp; Demand'!D91</f>
        <v>127</v>
      </c>
      <c r="E161" s="157">
        <f>'Revenue &amp; Demand'!F91</f>
        <v>22008000</v>
      </c>
      <c r="F161" s="157">
        <f>'Revenue &amp; Demand'!G91</f>
        <v>5605364</v>
      </c>
      <c r="G161" s="157">
        <f>'Revenue &amp; Demand'!H91</f>
        <v>205882</v>
      </c>
      <c r="H161" s="157">
        <f>'Manufacturing &amp; Production'!F365</f>
        <v>4229873</v>
      </c>
      <c r="I161" s="157">
        <f>'Manufacturing &amp; Production'!G365</f>
        <v>1760640</v>
      </c>
      <c r="J161" s="157">
        <f>'Workforce &amp; Expenses'!M417</f>
        <v>2127886</v>
      </c>
      <c r="K161" s="157">
        <f>'Manufacturing &amp; Production'!K365</f>
        <v>16471</v>
      </c>
      <c r="L161" s="157">
        <f>'Clinical Trials &amp; R&amp;D'!F365</f>
        <v>5272147</v>
      </c>
      <c r="M161" s="157">
        <f>'Clinical Trials &amp; R&amp;D'!I365</f>
        <v>6332339</v>
      </c>
      <c r="N161" s="157">
        <f>'Workforce &amp; Expenses'!P417</f>
        <v>13252582</v>
      </c>
      <c r="O161" s="157">
        <f>'Workforce &amp; Expenses'!S417</f>
        <v>5415164</v>
      </c>
      <c r="P161" s="157">
        <f t="shared" si="24"/>
        <v>2434240</v>
      </c>
      <c r="Q161" s="157">
        <f t="shared" si="25"/>
        <v>3441424</v>
      </c>
      <c r="R161" s="157">
        <f t="shared" si="11"/>
        <v>262083</v>
      </c>
      <c r="S161" s="157">
        <f t="shared" si="31"/>
        <v>0</v>
      </c>
      <c r="T161" s="157">
        <f>MAX(0,ROUND(T149*IFERROR(SUM($T$86:$T$97)/SUM($T$74:$T$85),1)+('Funding &amp; Cap'!$J$10-'Funding &amp; Cap'!$J$5)*'Funding &amp; Cap'!$B$6/12,0))</f>
        <v>5802465</v>
      </c>
      <c r="U161" s="157">
        <f>IF(MONTH(A161)=2,'Funding &amp; Cap'!$J$10,0)</f>
        <v>0</v>
      </c>
      <c r="V161" s="157">
        <f t="shared" si="27"/>
        <v>0</v>
      </c>
      <c r="W161" s="157">
        <f>IF(MONTH(A161)=12,MIN(AE160,'Funding &amp; Cap'!$J$9),0)</f>
        <v>0</v>
      </c>
      <c r="X161" s="157">
        <f t="shared" si="15"/>
        <v>60505725</v>
      </c>
      <c r="Y161" s="157">
        <f t="shared" si="16"/>
        <v>29705813</v>
      </c>
      <c r="Z161" s="157">
        <f t="shared" si="17"/>
        <v>16081464</v>
      </c>
      <c r="AA161" s="157">
        <f t="shared" si="18"/>
        <v>19069947</v>
      </c>
      <c r="AB161" s="157">
        <f t="shared" si="19"/>
        <v>30182952</v>
      </c>
      <c r="AC161" s="157">
        <f t="shared" si="20"/>
        <v>17980652</v>
      </c>
      <c r="AD161" s="157">
        <f>MIN(AE161,SUMIFS($W$2:$W$181,$A$2:$A$181,"&gt;"&amp;A161,$A$2:$A$181,"&lt;="&amp;EDATE(A161,12))+IF(AND(DATE(2033,12,1)&gt;A161,DATE(2033,12,1)&lt;=EDATE(A161,12)),'Funding &amp; Cap'!$B$200,0))</f>
        <v>15000000</v>
      </c>
      <c r="AE161" s="158">
        <f t="shared" si="21"/>
        <v>37000000</v>
      </c>
      <c r="AF161" s="158">
        <f t="shared" si="2"/>
        <v>76259575</v>
      </c>
      <c r="AG161" s="158">
        <f t="shared" si="7"/>
        <v>-13181836</v>
      </c>
      <c r="AH161" s="159">
        <f>'Revenue &amp; Demand'!I91</f>
        <v>9751</v>
      </c>
      <c r="AI161" s="158">
        <f>'Revenue &amp; Demand'!K91</f>
        <v>14626500</v>
      </c>
      <c r="AJ161" s="158">
        <f>'Manufacturing &amp; Production'!J365</f>
        <v>4802913</v>
      </c>
    </row>
    <row r="162">
      <c r="A162" s="154">
        <f t="shared" si="23"/>
        <v>47969</v>
      </c>
      <c r="B162" s="155">
        <f t="shared" si="1"/>
        <v>2031</v>
      </c>
      <c r="C162" s="156">
        <f>'Revenue &amp; Demand'!C92</f>
        <v>14789</v>
      </c>
      <c r="D162" s="156">
        <f>'Revenue &amp; Demand'!D92</f>
        <v>130</v>
      </c>
      <c r="E162" s="157">
        <f>'Revenue &amp; Demand'!F92</f>
        <v>22183500</v>
      </c>
      <c r="F162" s="157">
        <f>'Revenue &amp; Demand'!G92</f>
        <v>5348472</v>
      </c>
      <c r="G162" s="157">
        <f>'Revenue &amp; Demand'!H92</f>
        <v>205882</v>
      </c>
      <c r="H162" s="157">
        <f>'Manufacturing &amp; Production'!F366</f>
        <v>4253138</v>
      </c>
      <c r="I162" s="157">
        <f>'Manufacturing &amp; Production'!G366</f>
        <v>1774680</v>
      </c>
      <c r="J162" s="157">
        <f>'Workforce &amp; Expenses'!M418</f>
        <v>2159187</v>
      </c>
      <c r="K162" s="157">
        <f>'Manufacturing &amp; Production'!K366</f>
        <v>16471</v>
      </c>
      <c r="L162" s="157">
        <f>'Clinical Trials &amp; R&amp;D'!F366</f>
        <v>5272147</v>
      </c>
      <c r="M162" s="157">
        <f>'Clinical Trials &amp; R&amp;D'!I366</f>
        <v>6352626</v>
      </c>
      <c r="N162" s="157">
        <f>'Workforce &amp; Expenses'!P418</f>
        <v>13269532</v>
      </c>
      <c r="O162" s="157">
        <f>'Workforce &amp; Expenses'!S418</f>
        <v>5416729</v>
      </c>
      <c r="P162" s="157">
        <f t="shared" si="24"/>
        <v>2480966</v>
      </c>
      <c r="Q162" s="157">
        <f t="shared" si="25"/>
        <v>3441424</v>
      </c>
      <c r="R162" s="157">
        <f t="shared" si="11"/>
        <v>262083</v>
      </c>
      <c r="S162" s="157">
        <f t="shared" si="31"/>
        <v>0</v>
      </c>
      <c r="T162" s="157">
        <f>MAX(0,ROUND(T150*IFERROR(SUM($T$86:$T$97)/SUM($T$74:$T$85),1)+('Funding &amp; Cap'!$J$10-'Funding &amp; Cap'!$J$5)*'Funding &amp; Cap'!$B$6/12,0))</f>
        <v>5979164</v>
      </c>
      <c r="U162" s="157">
        <f>IF(MONTH(A162)=2,'Funding &amp; Cap'!$J$10,0)</f>
        <v>0</v>
      </c>
      <c r="V162" s="157">
        <f t="shared" si="27"/>
        <v>0</v>
      </c>
      <c r="W162" s="157">
        <f>IF(MONTH(A162)=12,MIN(AE161,'Funding &amp; Cap'!$J$9),0)</f>
        <v>0</v>
      </c>
      <c r="X162" s="157">
        <f t="shared" si="15"/>
        <v>62713599</v>
      </c>
      <c r="Y162" s="157">
        <f t="shared" si="16"/>
        <v>30672553</v>
      </c>
      <c r="Z162" s="157">
        <f t="shared" si="17"/>
        <v>16437063</v>
      </c>
      <c r="AA162" s="157">
        <f t="shared" si="18"/>
        <v>20180174</v>
      </c>
      <c r="AB162" s="157">
        <f t="shared" si="19"/>
        <v>31549257</v>
      </c>
      <c r="AC162" s="157">
        <f t="shared" si="20"/>
        <v>17774236</v>
      </c>
      <c r="AD162" s="157">
        <f>MIN(AE162,SUMIFS($W$2:$W$181,$A$2:$A$181,"&gt;"&amp;A162,$A$2:$A$181,"&lt;="&amp;EDATE(A162,12))+IF(AND(DATE(2033,12,1)&gt;A162,DATE(2033,12,1)&lt;=EDATE(A162,12)),'Funding &amp; Cap'!$B$200,0))</f>
        <v>15000000</v>
      </c>
      <c r="AE162" s="158">
        <f t="shared" si="21"/>
        <v>37000000</v>
      </c>
      <c r="AF162" s="158">
        <f t="shared" si="2"/>
        <v>68005091</v>
      </c>
      <c r="AG162" s="158">
        <f t="shared" si="7"/>
        <v>-8254484</v>
      </c>
      <c r="AH162" s="159">
        <f>'Revenue &amp; Demand'!I92</f>
        <v>9946</v>
      </c>
      <c r="AI162" s="158">
        <f>'Revenue &amp; Demand'!K92</f>
        <v>14919000</v>
      </c>
      <c r="AJ162" s="158">
        <f>'Manufacturing &amp; Production'!J366</f>
        <v>4895484</v>
      </c>
    </row>
    <row r="163">
      <c r="A163" s="154">
        <f t="shared" si="23"/>
        <v>48000</v>
      </c>
      <c r="B163" s="155">
        <f t="shared" si="1"/>
        <v>2031</v>
      </c>
      <c r="C163" s="156">
        <f>'Revenue &amp; Demand'!C93</f>
        <v>14907</v>
      </c>
      <c r="D163" s="156">
        <f>'Revenue &amp; Demand'!D93</f>
        <v>132</v>
      </c>
      <c r="E163" s="157">
        <f>'Revenue &amp; Demand'!F93</f>
        <v>22360500</v>
      </c>
      <c r="F163" s="157">
        <f>'Revenue &amp; Demand'!G93</f>
        <v>4885719</v>
      </c>
      <c r="G163" s="157">
        <f>'Revenue &amp; Demand'!H93</f>
        <v>1286765</v>
      </c>
      <c r="H163" s="157">
        <f>'Manufacturing &amp; Production'!F367</f>
        <v>4294621</v>
      </c>
      <c r="I163" s="157">
        <f>'Manufacturing &amp; Production'!G367</f>
        <v>1788840</v>
      </c>
      <c r="J163" s="157">
        <f>'Workforce &amp; Expenses'!M419</f>
        <v>2195202</v>
      </c>
      <c r="K163" s="157">
        <f>'Manufacturing &amp; Production'!K367</f>
        <v>102941</v>
      </c>
      <c r="L163" s="157">
        <f>'Clinical Trials &amp; R&amp;D'!F367</f>
        <v>5295139</v>
      </c>
      <c r="M163" s="157">
        <f>'Clinical Trials &amp; R&amp;D'!I367</f>
        <v>6393201</v>
      </c>
      <c r="N163" s="157">
        <f>'Workforce &amp; Expenses'!P419</f>
        <v>13302712</v>
      </c>
      <c r="O163" s="157">
        <f>'Workforce &amp; Expenses'!S419</f>
        <v>5439277</v>
      </c>
      <c r="P163" s="157">
        <f t="shared" si="24"/>
        <v>2527750</v>
      </c>
      <c r="Q163" s="157">
        <f t="shared" si="25"/>
        <v>3441424</v>
      </c>
      <c r="R163" s="157">
        <f t="shared" si="11"/>
        <v>262083</v>
      </c>
      <c r="S163" s="157">
        <f t="shared" si="31"/>
        <v>0</v>
      </c>
      <c r="T163" s="157">
        <f>MAX(0,ROUND(T151*IFERROR(SUM($T$86:$T$97)/SUM($T$74:$T$85),1)+('Funding &amp; Cap'!$J$10-'Funding &amp; Cap'!$J$5)*'Funding &amp; Cap'!$B$6/12,0))</f>
        <v>6158395</v>
      </c>
      <c r="U163" s="157">
        <f>IF(MONTH(A163)=2,'Funding &amp; Cap'!$J$10,0)</f>
        <v>0</v>
      </c>
      <c r="V163" s="157">
        <f t="shared" si="27"/>
        <v>0</v>
      </c>
      <c r="W163" s="157">
        <f>IF(MONTH(A163)=12,MIN(AE162,'Funding &amp; Cap'!$J$9),0)</f>
        <v>0</v>
      </c>
      <c r="X163" s="157">
        <f t="shared" si="15"/>
        <v>57258067</v>
      </c>
      <c r="Y163" s="157">
        <f t="shared" si="16"/>
        <v>31607814</v>
      </c>
      <c r="Z163" s="157">
        <f t="shared" si="17"/>
        <v>14969901</v>
      </c>
      <c r="AA163" s="157">
        <f t="shared" si="18"/>
        <v>20772641</v>
      </c>
      <c r="AB163" s="157">
        <f t="shared" si="19"/>
        <v>32954794</v>
      </c>
      <c r="AC163" s="157">
        <f t="shared" si="20"/>
        <v>13124874</v>
      </c>
      <c r="AD163" s="157">
        <f>MIN(AE163,SUMIFS($W$2:$W$181,$A$2:$A$181,"&gt;"&amp;A163,$A$2:$A$181,"&lt;="&amp;EDATE(A163,12))+IF(AND(DATE(2033,12,1)&gt;A163,DATE(2033,12,1)&lt;=EDATE(A163,12)),'Funding &amp; Cap'!$B$200,0))</f>
        <v>15000000</v>
      </c>
      <c r="AE163" s="158">
        <f t="shared" si="21"/>
        <v>37000000</v>
      </c>
      <c r="AF163" s="158">
        <f t="shared" si="2"/>
        <v>64869286</v>
      </c>
      <c r="AG163" s="158">
        <f t="shared" si="7"/>
        <v>-3135805</v>
      </c>
      <c r="AH163" s="159">
        <f>'Revenue &amp; Demand'!I93</f>
        <v>10145</v>
      </c>
      <c r="AI163" s="158">
        <f>'Revenue &amp; Demand'!K93</f>
        <v>15217500</v>
      </c>
      <c r="AJ163" s="158">
        <f>'Manufacturing &amp; Production'!J367</f>
        <v>4989953</v>
      </c>
    </row>
    <row r="164">
      <c r="A164" s="154">
        <f t="shared" si="23"/>
        <v>48030</v>
      </c>
      <c r="B164" s="155">
        <f t="shared" si="1"/>
        <v>2031</v>
      </c>
      <c r="C164" s="156">
        <f>'Revenue &amp; Demand'!C94</f>
        <v>15026</v>
      </c>
      <c r="D164" s="156">
        <f>'Revenue &amp; Demand'!D94</f>
        <v>133</v>
      </c>
      <c r="E164" s="157">
        <f>'Revenue &amp; Demand'!F94</f>
        <v>22539000</v>
      </c>
      <c r="F164" s="157">
        <f>'Revenue &amp; Demand'!G94</f>
        <v>4788074</v>
      </c>
      <c r="G164" s="157">
        <f>'Revenue &amp; Demand'!H94</f>
        <v>205882</v>
      </c>
      <c r="H164" s="157">
        <f>'Manufacturing &amp; Production'!F368</f>
        <v>4318074</v>
      </c>
      <c r="I164" s="157">
        <f>'Manufacturing &amp; Production'!G368</f>
        <v>1803120</v>
      </c>
      <c r="J164" s="157">
        <f>'Workforce &amp; Expenses'!M420</f>
        <v>2205635</v>
      </c>
      <c r="K164" s="157">
        <f>'Manufacturing &amp; Production'!K368</f>
        <v>16471</v>
      </c>
      <c r="L164" s="157">
        <f>'Clinical Trials &amp; R&amp;D'!F368</f>
        <v>5295139</v>
      </c>
      <c r="M164" s="157">
        <f>'Clinical Trials &amp; R&amp;D'!I368</f>
        <v>6413488</v>
      </c>
      <c r="N164" s="157">
        <f>'Workforce &amp; Expenses'!P420</f>
        <v>13319662</v>
      </c>
      <c r="O164" s="157">
        <f>'Workforce &amp; Expenses'!S420</f>
        <v>5440842</v>
      </c>
      <c r="P164" s="157">
        <f t="shared" si="24"/>
        <v>2574600</v>
      </c>
      <c r="Q164" s="157">
        <f t="shared" si="25"/>
        <v>3441424</v>
      </c>
      <c r="R164" s="157">
        <f t="shared" si="11"/>
        <v>262083</v>
      </c>
      <c r="S164" s="157">
        <f t="shared" si="31"/>
        <v>0</v>
      </c>
      <c r="T164" s="157">
        <f>MAX(0,ROUND(T152*IFERROR(SUM($T$86:$T$97)/SUM($T$74:$T$85),1)+('Funding &amp; Cap'!$J$10-'Funding &amp; Cap'!$J$5)*'Funding &amp; Cap'!$B$6/12,0))</f>
        <v>6009692</v>
      </c>
      <c r="U164" s="157">
        <f>IF(MONTH(A164)=2,'Funding &amp; Cap'!$J$10,0)</f>
        <v>0</v>
      </c>
      <c r="V164" s="157">
        <f t="shared" si="27"/>
        <v>0</v>
      </c>
      <c r="W164" s="157">
        <f>IF(MONTH(A164)=12,MIN(AE163,'Funding &amp; Cap'!$J$9),0)</f>
        <v>0</v>
      </c>
      <c r="X164" s="157">
        <f t="shared" si="15"/>
        <v>66307478</v>
      </c>
      <c r="Y164" s="157">
        <f t="shared" si="16"/>
        <v>32596950</v>
      </c>
      <c r="Z164" s="157">
        <f t="shared" si="17"/>
        <v>16913952</v>
      </c>
      <c r="AA164" s="157">
        <f t="shared" si="18"/>
        <v>22061938</v>
      </c>
      <c r="AB164" s="157">
        <f t="shared" si="19"/>
        <v>34070390</v>
      </c>
      <c r="AC164" s="157">
        <f t="shared" si="20"/>
        <v>16862236</v>
      </c>
      <c r="AD164" s="157">
        <f>MIN(AE164,SUMIFS($W$2:$W$181,$A$2:$A$181,"&gt;"&amp;A164,$A$2:$A$181,"&lt;="&amp;EDATE(A164,12))+IF(AND(DATE(2033,12,1)&gt;A164,DATE(2033,12,1)&lt;=EDATE(A164,12)),'Funding &amp; Cap'!$B$200,0))</f>
        <v>15000000</v>
      </c>
      <c r="AE164" s="158">
        <f t="shared" si="21"/>
        <v>37000000</v>
      </c>
      <c r="AF164" s="158">
        <f t="shared" si="2"/>
        <v>51913371</v>
      </c>
      <c r="AG164" s="158">
        <f t="shared" si="7"/>
        <v>-12955915</v>
      </c>
      <c r="AH164" s="159">
        <f>'Revenue &amp; Demand'!I94</f>
        <v>10348</v>
      </c>
      <c r="AI164" s="158">
        <f>'Revenue &amp; Demand'!K94</f>
        <v>15522000</v>
      </c>
      <c r="AJ164" s="158">
        <f>'Manufacturing &amp; Production'!J368</f>
        <v>5086322</v>
      </c>
    </row>
    <row r="165">
      <c r="A165" s="154">
        <f t="shared" si="23"/>
        <v>48061</v>
      </c>
      <c r="B165" s="155">
        <f t="shared" si="1"/>
        <v>2031</v>
      </c>
      <c r="C165" s="156">
        <f>'Revenue &amp; Demand'!C95</f>
        <v>15145</v>
      </c>
      <c r="D165" s="156">
        <f>'Revenue &amp; Demand'!D95</f>
        <v>136</v>
      </c>
      <c r="E165" s="157">
        <f>'Revenue &amp; Demand'!F95</f>
        <v>22717500</v>
      </c>
      <c r="F165" s="157">
        <f>'Revenue &amp; Demand'!G95</f>
        <v>4644479</v>
      </c>
      <c r="G165" s="157">
        <f>'Revenue &amp; Demand'!H95</f>
        <v>205882</v>
      </c>
      <c r="H165" s="157">
        <f>'Manufacturing &amp; Production'!F369</f>
        <v>4341525</v>
      </c>
      <c r="I165" s="157">
        <f>'Manufacturing &amp; Production'!G369</f>
        <v>1817400</v>
      </c>
      <c r="J165" s="157">
        <f>'Workforce &amp; Expenses'!M421</f>
        <v>2236935</v>
      </c>
      <c r="K165" s="157">
        <f>'Manufacturing &amp; Production'!K369</f>
        <v>16471</v>
      </c>
      <c r="L165" s="157">
        <f>'Clinical Trials &amp; R&amp;D'!F369</f>
        <v>5295139</v>
      </c>
      <c r="M165" s="157">
        <f>'Clinical Trials &amp; R&amp;D'!I369</f>
        <v>6433775</v>
      </c>
      <c r="N165" s="157">
        <f>'Workforce &amp; Expenses'!P421</f>
        <v>13336612</v>
      </c>
      <c r="O165" s="157">
        <f>'Workforce &amp; Expenses'!S421</f>
        <v>5442407</v>
      </c>
      <c r="P165" s="157">
        <f t="shared" si="24"/>
        <v>2621506</v>
      </c>
      <c r="Q165" s="157">
        <f t="shared" si="25"/>
        <v>3441424</v>
      </c>
      <c r="R165" s="157">
        <f t="shared" si="11"/>
        <v>262083</v>
      </c>
      <c r="S165" s="157">
        <f t="shared" si="31"/>
        <v>0</v>
      </c>
      <c r="T165" s="157">
        <f>MAX(0,ROUND(T153*IFERROR(SUM($T$86:$T$97)/SUM($T$74:$T$85),1)+('Funding &amp; Cap'!$J$10-'Funding &amp; Cap'!$J$5)*'Funding &amp; Cap'!$B$6/12,0))</f>
        <v>6190192</v>
      </c>
      <c r="U165" s="157">
        <f>IF(MONTH(A165)=2,'Funding &amp; Cap'!$J$10,0)</f>
        <v>0</v>
      </c>
      <c r="V165" s="157">
        <f t="shared" si="27"/>
        <v>0</v>
      </c>
      <c r="W165" s="157">
        <f>IF(MONTH(A165)=12,MIN(AE164,'Funding &amp; Cap'!$J$9),0)</f>
        <v>0</v>
      </c>
      <c r="X165" s="157">
        <f t="shared" si="15"/>
        <v>68041302</v>
      </c>
      <c r="Y165" s="157">
        <f t="shared" si="16"/>
        <v>33403711</v>
      </c>
      <c r="Z165" s="157">
        <f t="shared" si="17"/>
        <v>17160223</v>
      </c>
      <c r="AA165" s="157">
        <f t="shared" si="18"/>
        <v>22745418</v>
      </c>
      <c r="AB165" s="157">
        <f t="shared" si="19"/>
        <v>34854616</v>
      </c>
      <c r="AC165" s="157">
        <f t="shared" si="20"/>
        <v>16477308</v>
      </c>
      <c r="AD165" s="157">
        <f>MIN(AE165,SUMIFS($W$2:$W$181,$A$2:$A$181,"&gt;"&amp;A165,$A$2:$A$181,"&lt;="&amp;EDATE(A165,12))+IF(AND(DATE(2033,12,1)&gt;A165,DATE(2033,12,1)&lt;=EDATE(A165,12)),'Funding &amp; Cap'!$B$200,0))</f>
        <v>15000000</v>
      </c>
      <c r="AE165" s="158">
        <f t="shared" si="21"/>
        <v>37000000</v>
      </c>
      <c r="AF165" s="158">
        <f t="shared" si="2"/>
        <v>43052525</v>
      </c>
      <c r="AG165" s="158">
        <f t="shared" si="7"/>
        <v>-8860846</v>
      </c>
      <c r="AH165" s="159">
        <f>'Revenue &amp; Demand'!I95</f>
        <v>10555</v>
      </c>
      <c r="AI165" s="158">
        <f>'Revenue &amp; Demand'!K95</f>
        <v>15832500</v>
      </c>
      <c r="AJ165" s="158">
        <f>'Manufacturing &amp; Production'!J369</f>
        <v>5184590</v>
      </c>
    </row>
    <row r="166">
      <c r="A166" s="154">
        <f t="shared" si="23"/>
        <v>48092</v>
      </c>
      <c r="B166" s="155">
        <f t="shared" si="1"/>
        <v>2031</v>
      </c>
      <c r="C166" s="156">
        <f>'Revenue &amp; Demand'!C96</f>
        <v>15266</v>
      </c>
      <c r="D166" s="156">
        <f>'Revenue &amp; Demand'!D96</f>
        <v>138</v>
      </c>
      <c r="E166" s="157">
        <f>'Revenue &amp; Demand'!F96</f>
        <v>22899000</v>
      </c>
      <c r="F166" s="157">
        <f>'Revenue &amp; Demand'!G96</f>
        <v>4670770</v>
      </c>
      <c r="G166" s="157">
        <f>'Revenue &amp; Demand'!H96</f>
        <v>1286765</v>
      </c>
      <c r="H166" s="157">
        <f>'Manufacturing &amp; Production'!F370</f>
        <v>4365162</v>
      </c>
      <c r="I166" s="157">
        <f>'Manufacturing &amp; Production'!G370</f>
        <v>1831920</v>
      </c>
      <c r="J166" s="157">
        <f>'Workforce &amp; Expenses'!M422</f>
        <v>2257802</v>
      </c>
      <c r="K166" s="157">
        <f>'Manufacturing &amp; Production'!K370</f>
        <v>102941</v>
      </c>
      <c r="L166" s="157">
        <f>'Clinical Trials &amp; R&amp;D'!F370</f>
        <v>5295139</v>
      </c>
      <c r="M166" s="157">
        <f>'Clinical Trials &amp; R&amp;D'!I370</f>
        <v>6454062</v>
      </c>
      <c r="N166" s="157">
        <f>'Workforce &amp; Expenses'!P422</f>
        <v>13353561</v>
      </c>
      <c r="O166" s="157">
        <f>'Workforce &amp; Expenses'!S422</f>
        <v>5462347</v>
      </c>
      <c r="P166" s="157">
        <f t="shared" si="24"/>
        <v>2668474</v>
      </c>
      <c r="Q166" s="157">
        <f t="shared" si="25"/>
        <v>3441424</v>
      </c>
      <c r="R166" s="157">
        <f t="shared" si="11"/>
        <v>262083</v>
      </c>
      <c r="S166" s="157">
        <f t="shared" si="31"/>
        <v>0</v>
      </c>
      <c r="T166" s="157">
        <f>MAX(0,ROUND(T154*IFERROR(SUM($T$86:$T$97)/SUM($T$74:$T$85),1)+('Funding &amp; Cap'!$J$10-'Funding &amp; Cap'!$J$5)*'Funding &amp; Cap'!$B$6/12,0))</f>
        <v>14966337</v>
      </c>
      <c r="U166" s="157">
        <f>IF(MONTH(A166)=2,'Funding &amp; Cap'!$J$10,0)</f>
        <v>0</v>
      </c>
      <c r="V166" s="157">
        <f t="shared" si="27"/>
        <v>0</v>
      </c>
      <c r="W166" s="157">
        <f>IF(MONTH(A166)=12,MIN(AE165,'Funding &amp; Cap'!$J$9),0)</f>
        <v>0</v>
      </c>
      <c r="X166" s="157">
        <f t="shared" si="15"/>
        <v>62901520</v>
      </c>
      <c r="Y166" s="157">
        <f t="shared" si="16"/>
        <v>34412584</v>
      </c>
      <c r="Z166" s="157">
        <f t="shared" si="17"/>
        <v>15944433</v>
      </c>
      <c r="AA166" s="157">
        <f t="shared" si="18"/>
        <v>22765181</v>
      </c>
      <c r="AB166" s="157">
        <f t="shared" si="19"/>
        <v>35297332</v>
      </c>
      <c r="AC166" s="157">
        <f t="shared" si="20"/>
        <v>12900457</v>
      </c>
      <c r="AD166" s="157">
        <f>MIN(AE166,SUMIFS($W$2:$W$181,$A$2:$A$181,"&gt;"&amp;A166,$A$2:$A$181,"&lt;="&amp;EDATE(A166,12))+IF(AND(DATE(2033,12,1)&gt;A166,DATE(2033,12,1)&lt;=EDATE(A166,12)),'Funding &amp; Cap'!$B$200,0))</f>
        <v>15000000</v>
      </c>
      <c r="AE166" s="158">
        <f t="shared" si="21"/>
        <v>37000000</v>
      </c>
      <c r="AF166" s="158">
        <f t="shared" si="2"/>
        <v>30654276</v>
      </c>
      <c r="AG166" s="158">
        <f t="shared" si="7"/>
        <v>-12398249</v>
      </c>
      <c r="AH166" s="159">
        <f>'Revenue &amp; Demand'!I96</f>
        <v>10766</v>
      </c>
      <c r="AI166" s="158">
        <f>'Revenue &amp; Demand'!K96</f>
        <v>16149000</v>
      </c>
      <c r="AJ166" s="158">
        <f>'Manufacturing &amp; Production'!J370</f>
        <v>5284757</v>
      </c>
    </row>
    <row r="167">
      <c r="A167" s="154">
        <f t="shared" si="23"/>
        <v>48122</v>
      </c>
      <c r="B167" s="155">
        <f t="shared" si="1"/>
        <v>2031</v>
      </c>
      <c r="C167" s="156">
        <f>'Revenue &amp; Demand'!C97</f>
        <v>15388</v>
      </c>
      <c r="D167" s="156">
        <f>'Revenue &amp; Demand'!D97</f>
        <v>138</v>
      </c>
      <c r="E167" s="157">
        <f>'Revenue &amp; Demand'!F97</f>
        <v>23082000</v>
      </c>
      <c r="F167" s="157">
        <f>'Revenue &amp; Demand'!G97</f>
        <v>4712776</v>
      </c>
      <c r="G167" s="157">
        <f>'Revenue &amp; Demand'!H97</f>
        <v>205882</v>
      </c>
      <c r="H167" s="157">
        <f>'Manufacturing &amp; Production'!F371</f>
        <v>4407014</v>
      </c>
      <c r="I167" s="157">
        <f>'Manufacturing &amp; Production'!G371</f>
        <v>1846560</v>
      </c>
      <c r="J167" s="157">
        <f>'Workforce &amp; Expenses'!M423</f>
        <v>2272950</v>
      </c>
      <c r="K167" s="157">
        <f>'Manufacturing &amp; Production'!K371</f>
        <v>16471</v>
      </c>
      <c r="L167" s="157">
        <f>'Clinical Trials &amp; R&amp;D'!F371</f>
        <v>5296762</v>
      </c>
      <c r="M167" s="157">
        <f>'Clinical Trials &amp; R&amp;D'!I371</f>
        <v>6474350</v>
      </c>
      <c r="N167" s="157">
        <f>'Workforce &amp; Expenses'!P423</f>
        <v>13386741</v>
      </c>
      <c r="O167" s="157">
        <f>'Workforce &amp; Expenses'!S423</f>
        <v>5465477</v>
      </c>
      <c r="P167" s="157">
        <f t="shared" si="24"/>
        <v>2697515</v>
      </c>
      <c r="Q167" s="157">
        <f t="shared" si="25"/>
        <v>3441424</v>
      </c>
      <c r="R167" s="157">
        <f t="shared" si="11"/>
        <v>262083</v>
      </c>
      <c r="S167" s="157">
        <f t="shared" si="31"/>
        <v>0</v>
      </c>
      <c r="T167" s="157">
        <f>MAX(0,ROUND(T155*IFERROR(SUM($T$86:$T$97)/SUM($T$74:$T$85),1)+('Funding &amp; Cap'!$J$10-'Funding &amp; Cap'!$J$5)*'Funding &amp; Cap'!$B$6/12,0))</f>
        <v>6330881</v>
      </c>
      <c r="U167" s="157">
        <f>IF(MONTH(A167)=2,'Funding &amp; Cap'!$J$10,0)</f>
        <v>0</v>
      </c>
      <c r="V167" s="157">
        <f t="shared" si="27"/>
        <v>0</v>
      </c>
      <c r="W167" s="157">
        <f>IF(MONTH(A167)=12,MIN(AE166,'Funding &amp; Cap'!$J$9),0)</f>
        <v>0</v>
      </c>
      <c r="X167" s="157">
        <f t="shared" si="15"/>
        <v>66531201</v>
      </c>
      <c r="Y167" s="157">
        <f t="shared" si="16"/>
        <v>32406515</v>
      </c>
      <c r="Z167" s="157">
        <f t="shared" si="17"/>
        <v>16494946</v>
      </c>
      <c r="AA167" s="157">
        <f t="shared" si="18"/>
        <v>22433935</v>
      </c>
      <c r="AB167" s="157">
        <f t="shared" si="19"/>
        <v>34883213</v>
      </c>
      <c r="AC167" s="157">
        <f t="shared" si="20"/>
        <v>16156445</v>
      </c>
      <c r="AD167" s="157">
        <f>MIN(AE167,SUMIFS($W$2:$W$181,$A$2:$A$181,"&gt;"&amp;A167,$A$2:$A$181,"&lt;="&amp;EDATE(A167,12))+IF(AND(DATE(2033,12,1)&gt;A167,DATE(2033,12,1)&lt;=EDATE(A167,12)),'Funding &amp; Cap'!$B$200,0))</f>
        <v>15000000</v>
      </c>
      <c r="AE167" s="158">
        <f t="shared" si="21"/>
        <v>37000000</v>
      </c>
      <c r="AF167" s="158">
        <f t="shared" si="2"/>
        <v>24316822</v>
      </c>
      <c r="AG167" s="158">
        <f t="shared" si="7"/>
        <v>-6337454</v>
      </c>
      <c r="AH167" s="159">
        <f>'Revenue &amp; Demand'!I97</f>
        <v>10981</v>
      </c>
      <c r="AI167" s="158">
        <f>'Revenue &amp; Demand'!K97</f>
        <v>16471500</v>
      </c>
      <c r="AJ167" s="158">
        <f>'Manufacturing &amp; Production'!J371</f>
        <v>5386821</v>
      </c>
    </row>
    <row r="168">
      <c r="A168" s="154">
        <f t="shared" si="23"/>
        <v>48153</v>
      </c>
      <c r="B168" s="155">
        <f t="shared" si="1"/>
        <v>2031</v>
      </c>
      <c r="C168" s="156">
        <f>'Revenue &amp; Demand'!C98</f>
        <v>15511</v>
      </c>
      <c r="D168" s="156">
        <f>'Revenue &amp; Demand'!D98</f>
        <v>140</v>
      </c>
      <c r="E168" s="157">
        <f>'Revenue &amp; Demand'!F98</f>
        <v>23266500</v>
      </c>
      <c r="F168" s="157">
        <f>'Revenue &amp; Demand'!G98</f>
        <v>4854779</v>
      </c>
      <c r="G168" s="157">
        <f>'Revenue &amp; Demand'!H98</f>
        <v>205882</v>
      </c>
      <c r="H168" s="157">
        <f>'Manufacturing &amp; Production'!F372</f>
        <v>4430836</v>
      </c>
      <c r="I168" s="157">
        <f>'Manufacturing &amp; Production'!G372</f>
        <v>1861320</v>
      </c>
      <c r="J168" s="157">
        <f>'Workforce &amp; Expenses'!M424</f>
        <v>2293817</v>
      </c>
      <c r="K168" s="157">
        <f>'Manufacturing &amp; Production'!K372</f>
        <v>16471</v>
      </c>
      <c r="L168" s="157">
        <f>'Clinical Trials &amp; R&amp;D'!F372</f>
        <v>5296762</v>
      </c>
      <c r="M168" s="157">
        <f>'Clinical Trials &amp; R&amp;D'!I372</f>
        <v>6494637</v>
      </c>
      <c r="N168" s="157">
        <f>'Workforce &amp; Expenses'!P424</f>
        <v>13403871</v>
      </c>
      <c r="O168" s="157">
        <f>'Workforce &amp; Expenses'!S424</f>
        <v>5485417</v>
      </c>
      <c r="P168" s="157">
        <f t="shared" si="24"/>
        <v>2742478</v>
      </c>
      <c r="Q168" s="157">
        <f t="shared" si="25"/>
        <v>3441424</v>
      </c>
      <c r="R168" s="157">
        <f t="shared" si="11"/>
        <v>262083</v>
      </c>
      <c r="S168" s="157">
        <f t="shared" si="31"/>
        <v>0</v>
      </c>
      <c r="T168" s="157">
        <f>MAX(0,ROUND(T156*IFERROR(SUM($T$86:$T$97)/SUM($T$74:$T$85),1)+('Funding &amp; Cap'!$J$10-'Funding &amp; Cap'!$J$5)*'Funding &amp; Cap'!$B$6/12,0))</f>
        <v>6401223</v>
      </c>
      <c r="U168" s="157">
        <f>IF(MONTH(A168)=2,'Funding &amp; Cap'!$J$10,0)</f>
        <v>0</v>
      </c>
      <c r="V168" s="157">
        <f t="shared" si="27"/>
        <v>0</v>
      </c>
      <c r="W168" s="157">
        <f>IF(MONTH(A168)=12,MIN(AE167,'Funding &amp; Cap'!$J$9),0)</f>
        <v>0</v>
      </c>
      <c r="X168" s="157">
        <f t="shared" si="15"/>
        <v>68652773</v>
      </c>
      <c r="Y168" s="157">
        <f t="shared" si="16"/>
        <v>33684408</v>
      </c>
      <c r="Z168" s="157">
        <f t="shared" si="17"/>
        <v>16907675</v>
      </c>
      <c r="AA168" s="157">
        <f t="shared" si="18"/>
        <v>22707697</v>
      </c>
      <c r="AB168" s="157">
        <f t="shared" si="19"/>
        <v>34935211</v>
      </c>
      <c r="AC168" s="157">
        <f t="shared" si="20"/>
        <v>16177477</v>
      </c>
      <c r="AD168" s="157">
        <f>MIN(AE168,SUMIFS($W$2:$W$181,$A$2:$A$181,"&gt;"&amp;A168,$A$2:$A$181,"&lt;="&amp;EDATE(A168,12))+IF(AND(DATE(2033,12,1)&gt;A168,DATE(2033,12,1)&lt;=EDATE(A168,12)),'Funding &amp; Cap'!$B$200,0))</f>
        <v>15000000</v>
      </c>
      <c r="AE168" s="158">
        <f t="shared" si="21"/>
        <v>37000000</v>
      </c>
      <c r="AF168" s="158">
        <f t="shared" si="2"/>
        <v>14542384</v>
      </c>
      <c r="AG168" s="158">
        <f t="shared" si="7"/>
        <v>-9774438</v>
      </c>
      <c r="AH168" s="159">
        <f>'Revenue &amp; Demand'!I98</f>
        <v>11201</v>
      </c>
      <c r="AI168" s="158">
        <f>'Revenue &amp; Demand'!K98</f>
        <v>16801500</v>
      </c>
      <c r="AJ168" s="158">
        <f>'Manufacturing &amp; Production'!J372</f>
        <v>5491260</v>
      </c>
    </row>
    <row r="169">
      <c r="A169" s="154">
        <f t="shared" si="23"/>
        <v>48183</v>
      </c>
      <c r="B169" s="155">
        <f t="shared" si="1"/>
        <v>2031</v>
      </c>
      <c r="C169" s="156">
        <f>'Revenue &amp; Demand'!C99</f>
        <v>15634</v>
      </c>
      <c r="D169" s="156">
        <f>'Revenue &amp; Demand'!D99</f>
        <v>142</v>
      </c>
      <c r="E169" s="157">
        <f>'Revenue &amp; Demand'!F99</f>
        <v>23451000</v>
      </c>
      <c r="F169" s="157">
        <f>'Revenue &amp; Demand'!G99</f>
        <v>4993732</v>
      </c>
      <c r="G169" s="157">
        <f>'Revenue &amp; Demand'!H99</f>
        <v>1492649</v>
      </c>
      <c r="H169" s="157">
        <f>'Manufacturing &amp; Production'!F373</f>
        <v>4454658</v>
      </c>
      <c r="I169" s="157">
        <f>'Manufacturing &amp; Production'!G373</f>
        <v>1876080</v>
      </c>
      <c r="J169" s="157">
        <f>'Workforce &amp; Expenses'!M425</f>
        <v>2314684</v>
      </c>
      <c r="K169" s="157">
        <f>'Manufacturing &amp; Production'!K373</f>
        <v>119412</v>
      </c>
      <c r="L169" s="157">
        <f>'Clinical Trials &amp; R&amp;D'!F373</f>
        <v>5296762</v>
      </c>
      <c r="M169" s="157">
        <f>'Clinical Trials &amp; R&amp;D'!I373</f>
        <v>6514924</v>
      </c>
      <c r="N169" s="157">
        <f>'Workforce &amp; Expenses'!P425</f>
        <v>13420821</v>
      </c>
      <c r="O169" s="157">
        <f>'Workforce &amp; Expenses'!S425</f>
        <v>5486982</v>
      </c>
      <c r="P169" s="157">
        <f t="shared" si="24"/>
        <v>2787425</v>
      </c>
      <c r="Q169" s="157">
        <f t="shared" si="25"/>
        <v>3441449</v>
      </c>
      <c r="R169" s="157">
        <f t="shared" si="11"/>
        <v>155833</v>
      </c>
      <c r="S169" s="157">
        <f>ROUND(0.25*MAX(0,SUM(E158:G169)+SUM(AI158:AI169)-SUM(H158:R169)-SUM(AJ158:AJ169)),0)</f>
        <v>0</v>
      </c>
      <c r="T169" s="157">
        <f>MAX(0,ROUND(T157*IFERROR(SUM($T$86:$T$97)/SUM($T$74:$T$85),1)+('Funding &amp; Cap'!$J$10-'Funding &amp; Cap'!$J$5)*'Funding &amp; Cap'!$B$6/12,0))</f>
        <v>6471567</v>
      </c>
      <c r="U169" s="157">
        <f>IF(MONTH(A169)=2,'Funding &amp; Cap'!$J$10,0)</f>
        <v>0</v>
      </c>
      <c r="V169" s="157">
        <f t="shared" si="27"/>
        <v>0</v>
      </c>
      <c r="W169" s="157">
        <f>IF(MONTH(A169)=12,MIN(AE168,'Funding &amp; Cap'!$J$9),0)</f>
        <v>15000000</v>
      </c>
      <c r="X169" s="157">
        <f t="shared" si="15"/>
        <v>64045968</v>
      </c>
      <c r="Y169" s="157">
        <f t="shared" si="16"/>
        <v>35016040</v>
      </c>
      <c r="Z169" s="157">
        <f t="shared" si="17"/>
        <v>15928410</v>
      </c>
      <c r="AA169" s="157">
        <f t="shared" si="18"/>
        <v>22669196</v>
      </c>
      <c r="AB169" s="157">
        <f t="shared" si="19"/>
        <v>35019276</v>
      </c>
      <c r="AC169" s="157">
        <f t="shared" si="20"/>
        <v>12844471</v>
      </c>
      <c r="AD169" s="157">
        <f>MIN(AE169,SUMIFS($W$2:$W$181,$A$2:$A$181,"&gt;"&amp;A169,$A$2:$A$181,"&lt;="&amp;EDATE(A169,12))+IF(AND(DATE(2033,12,1)&gt;A169,DATE(2033,12,1)&lt;=EDATE(A169,12)),'Funding &amp; Cap'!$B$200,0))</f>
        <v>15000000</v>
      </c>
      <c r="AE169" s="158">
        <f t="shared" si="21"/>
        <v>22000000</v>
      </c>
      <c r="AF169" s="158">
        <f t="shared" si="2"/>
        <v>-4125061</v>
      </c>
      <c r="AG169" s="158">
        <f t="shared" si="7"/>
        <v>-18667445</v>
      </c>
      <c r="AH169" s="159">
        <f>'Revenue &amp; Demand'!I99</f>
        <v>11425</v>
      </c>
      <c r="AI169" s="158">
        <f>'Revenue &amp; Demand'!K99</f>
        <v>17137500</v>
      </c>
      <c r="AJ169" s="158">
        <f>'Manufacturing &amp; Production'!J373</f>
        <v>5597599</v>
      </c>
    </row>
    <row r="170">
      <c r="A170" s="154">
        <f t="shared" si="23"/>
        <v>48214</v>
      </c>
      <c r="B170" s="155">
        <f t="shared" si="1"/>
        <v>2032</v>
      </c>
      <c r="C170" s="156">
        <f>'Revenue &amp; Demand'!C100</f>
        <v>15735</v>
      </c>
      <c r="D170" s="156">
        <f>'Revenue &amp; Demand'!D100</f>
        <v>127</v>
      </c>
      <c r="E170" s="157">
        <f>'Revenue &amp; Demand'!F100</f>
        <v>23602500</v>
      </c>
      <c r="F170" s="157">
        <f>'Revenue &amp; Demand'!G100</f>
        <v>6095936</v>
      </c>
      <c r="G170" s="157">
        <f>'Revenue &amp; Demand'!H100</f>
        <v>205882</v>
      </c>
      <c r="H170" s="157">
        <f>'Manufacturing &amp; Production'!F374</f>
        <v>4610737</v>
      </c>
      <c r="I170" s="157">
        <f>'Manufacturing &amp; Production'!G374</f>
        <v>1888200</v>
      </c>
      <c r="J170" s="157">
        <f>'Workforce &amp; Expenses'!M426</f>
        <v>2222928</v>
      </c>
      <c r="K170" s="157">
        <f>'Manufacturing &amp; Production'!K374</f>
        <v>16471</v>
      </c>
      <c r="L170" s="157">
        <f>'Clinical Trials &amp; R&amp;D'!F374</f>
        <v>5455666</v>
      </c>
      <c r="M170" s="157">
        <f>'Clinical Trials &amp; R&amp;D'!I374</f>
        <v>6887681</v>
      </c>
      <c r="N170" s="157">
        <f>'Workforce &amp; Expenses'!P426</f>
        <v>16747077</v>
      </c>
      <c r="O170" s="157">
        <f>'Workforce &amp; Expenses'!S426</f>
        <v>5799069</v>
      </c>
      <c r="P170" s="157">
        <f t="shared" si="24"/>
        <v>2753302</v>
      </c>
      <c r="Q170" s="157">
        <f t="shared" si="25"/>
        <v>4588565</v>
      </c>
      <c r="R170" s="157">
        <f t="shared" si="11"/>
        <v>155833</v>
      </c>
      <c r="S170" s="157">
        <f t="shared" ref="S170:S180" si="32">0</f>
        <v>0</v>
      </c>
      <c r="T170" s="157">
        <f>MAX(0,ROUND(T158*IFERROR(SUM($T$86:$T$97)/SUM($T$74:$T$85),1)+('Funding &amp; Cap'!$K$10-'Funding &amp; Cap'!$K$5)*'Funding &amp; Cap'!$B$6/12,0))</f>
        <v>7460311</v>
      </c>
      <c r="U170" s="157">
        <f>IF(MONTH(A170)=2,'Funding &amp; Cap'!$K$10,0)</f>
        <v>0</v>
      </c>
      <c r="V170" s="157">
        <f t="shared" si="27"/>
        <v>0</v>
      </c>
      <c r="W170" s="157">
        <f>IF(MONTH(A170)=12,MIN(AE169,'Funding &amp; Cap'!$K$9),0)</f>
        <v>0</v>
      </c>
      <c r="X170" s="157">
        <f t="shared" si="15"/>
        <v>59374294</v>
      </c>
      <c r="Y170" s="157">
        <f t="shared" si="16"/>
        <v>29582016</v>
      </c>
      <c r="Z170" s="157">
        <f t="shared" si="17"/>
        <v>15586649</v>
      </c>
      <c r="AA170" s="157">
        <f t="shared" si="18"/>
        <v>18880117</v>
      </c>
      <c r="AB170" s="157">
        <f t="shared" si="19"/>
        <v>31106202</v>
      </c>
      <c r="AC170" s="157">
        <f t="shared" si="20"/>
        <v>18627243</v>
      </c>
      <c r="AD170" s="157">
        <f>MIN(AE170,SUMIFS($W$2:$W$181,$A$2:$A$181,"&gt;"&amp;A170,$A$2:$A$181,"&lt;="&amp;EDATE(A170,12))+IF(AND(DATE(2033,12,1)&gt;A170,DATE(2033,12,1)&lt;=EDATE(A170,12)),'Funding &amp; Cap'!$B$200,0))</f>
        <v>15000000</v>
      </c>
      <c r="AE170" s="158">
        <f t="shared" si="21"/>
        <v>22000000</v>
      </c>
      <c r="AF170" s="158">
        <f t="shared" si="2"/>
        <v>-5333138</v>
      </c>
      <c r="AG170" s="158">
        <f t="shared" si="7"/>
        <v>-1208077</v>
      </c>
      <c r="AH170" s="159">
        <f>'Revenue &amp; Demand'!I100</f>
        <v>11654</v>
      </c>
      <c r="AI170" s="158">
        <f>'Revenue &amp; Demand'!K100</f>
        <v>17481000</v>
      </c>
      <c r="AJ170" s="158">
        <f>'Manufacturing &amp; Production'!J374</f>
        <v>5877500</v>
      </c>
    </row>
    <row r="171">
      <c r="A171" s="154">
        <f t="shared" si="23"/>
        <v>48245</v>
      </c>
      <c r="B171" s="155">
        <f t="shared" si="1"/>
        <v>2032</v>
      </c>
      <c r="C171" s="156">
        <f>'Revenue &amp; Demand'!C101</f>
        <v>15836</v>
      </c>
      <c r="D171" s="156">
        <f>'Revenue &amp; Demand'!D101</f>
        <v>129</v>
      </c>
      <c r="E171" s="157">
        <f>'Revenue &amp; Demand'!F101</f>
        <v>23754000</v>
      </c>
      <c r="F171" s="157">
        <f>'Revenue &amp; Demand'!G101</f>
        <v>6146609</v>
      </c>
      <c r="G171" s="157">
        <f>'Revenue &amp; Demand'!H101</f>
        <v>205882</v>
      </c>
      <c r="H171" s="157">
        <f>'Manufacturing &amp; Production'!F375</f>
        <v>4633176</v>
      </c>
      <c r="I171" s="157">
        <f>'Manufacturing &amp; Production'!G375</f>
        <v>1900320</v>
      </c>
      <c r="J171" s="157">
        <f>'Workforce &amp; Expenses'!M427</f>
        <v>2260023</v>
      </c>
      <c r="K171" s="157">
        <f>'Manufacturing &amp; Production'!K375</f>
        <v>16471</v>
      </c>
      <c r="L171" s="157">
        <f>'Clinical Trials &amp; R&amp;D'!F375</f>
        <v>5479348</v>
      </c>
      <c r="M171" s="157">
        <f>'Clinical Trials &amp; R&amp;D'!I375</f>
        <v>6908576</v>
      </c>
      <c r="N171" s="157">
        <f>'Workforce &amp; Expenses'!P427</f>
        <v>16764513</v>
      </c>
      <c r="O171" s="157">
        <f>'Workforce &amp; Expenses'!S427</f>
        <v>5820682</v>
      </c>
      <c r="P171" s="157">
        <f t="shared" si="24"/>
        <v>2809157</v>
      </c>
      <c r="Q171" s="157">
        <f t="shared" si="25"/>
        <v>4588565</v>
      </c>
      <c r="R171" s="157">
        <f t="shared" si="11"/>
        <v>155833</v>
      </c>
      <c r="S171" s="157">
        <f t="shared" si="32"/>
        <v>0</v>
      </c>
      <c r="T171" s="157">
        <f>MAX(0,ROUND(T159*IFERROR(SUM($T$86:$T$97)/SUM($T$74:$T$85),1)+('Funding &amp; Cap'!$K$10-'Funding &amp; Cap'!$K$5)*'Funding &amp; Cap'!$B$6/12,0))</f>
        <v>7690844</v>
      </c>
      <c r="U171" s="157">
        <f>IF(MONTH(A171)=2,'Funding &amp; Cap'!$K$10,0)</f>
        <v>0</v>
      </c>
      <c r="V171" s="157">
        <f t="shared" si="27"/>
        <v>0</v>
      </c>
      <c r="W171" s="157">
        <f>IF(MONTH(A171)=12,MIN(AE170,'Funding &amp; Cap'!$K$9),0)</f>
        <v>0</v>
      </c>
      <c r="X171" s="157">
        <f t="shared" si="15"/>
        <v>63090086</v>
      </c>
      <c r="Y171" s="157">
        <f t="shared" si="16"/>
        <v>32107082</v>
      </c>
      <c r="Z171" s="157">
        <f t="shared" si="17"/>
        <v>16316544</v>
      </c>
      <c r="AA171" s="157">
        <f t="shared" si="18"/>
        <v>19769830</v>
      </c>
      <c r="AB171" s="157">
        <f t="shared" si="19"/>
        <v>32191698</v>
      </c>
      <c r="AC171" s="157">
        <f t="shared" si="20"/>
        <v>18806984</v>
      </c>
      <c r="AD171" s="157">
        <f>MIN(AE171,SUMIFS($W$2:$W$181,$A$2:$A$181,"&gt;"&amp;A171,$A$2:$A$181,"&lt;="&amp;EDATE(A171,12))+IF(AND(DATE(2033,12,1)&gt;A171,DATE(2033,12,1)&lt;=EDATE(A171,12)),'Funding &amp; Cap'!$B$200,0))</f>
        <v>15000000</v>
      </c>
      <c r="AE171" s="158">
        <f t="shared" si="21"/>
        <v>22000000</v>
      </c>
      <c r="AF171" s="158">
        <f t="shared" si="2"/>
        <v>-19833163</v>
      </c>
      <c r="AG171" s="158">
        <f t="shared" si="7"/>
        <v>-14500025</v>
      </c>
      <c r="AH171" s="159">
        <f>'Revenue &amp; Demand'!I101</f>
        <v>11887</v>
      </c>
      <c r="AI171" s="158">
        <f>'Revenue &amp; Demand'!K101</f>
        <v>17830500</v>
      </c>
      <c r="AJ171" s="158">
        <f>'Manufacturing &amp; Production'!J375</f>
        <v>5991427</v>
      </c>
    </row>
    <row r="172">
      <c r="A172" s="154">
        <f t="shared" si="23"/>
        <v>48274</v>
      </c>
      <c r="B172" s="155">
        <f t="shared" si="1"/>
        <v>2032</v>
      </c>
      <c r="C172" s="156">
        <f>'Revenue &amp; Demand'!C102</f>
        <v>15938</v>
      </c>
      <c r="D172" s="156">
        <f>'Revenue &amp; Demand'!D102</f>
        <v>132</v>
      </c>
      <c r="E172" s="157">
        <f>'Revenue &amp; Demand'!F102</f>
        <v>23907000</v>
      </c>
      <c r="F172" s="157">
        <f>'Revenue &amp; Demand'!G102</f>
        <v>5888510</v>
      </c>
      <c r="G172" s="157">
        <f>'Revenue &amp; Demand'!H102</f>
        <v>1286765</v>
      </c>
      <c r="H172" s="157">
        <f>'Manufacturing &amp; Production'!F376</f>
        <v>4674379</v>
      </c>
      <c r="I172" s="157">
        <f>'Manufacturing &amp; Production'!G376</f>
        <v>1912560</v>
      </c>
      <c r="J172" s="157">
        <f>'Workforce &amp; Expenses'!M428</f>
        <v>2292262</v>
      </c>
      <c r="K172" s="157">
        <f>'Manufacturing &amp; Production'!K376</f>
        <v>102941</v>
      </c>
      <c r="L172" s="157">
        <f>'Clinical Trials &amp; R&amp;D'!F376</f>
        <v>5457337</v>
      </c>
      <c r="M172" s="157">
        <f>'Clinical Trials &amp; R&amp;D'!I376</f>
        <v>6929472</v>
      </c>
      <c r="N172" s="157">
        <f>'Workforce &amp; Expenses'!P428</f>
        <v>16782130</v>
      </c>
      <c r="O172" s="157">
        <f>'Workforce &amp; Expenses'!S428</f>
        <v>5822293</v>
      </c>
      <c r="P172" s="157">
        <f t="shared" si="24"/>
        <v>2865086</v>
      </c>
      <c r="Q172" s="157">
        <f t="shared" si="25"/>
        <v>4588565</v>
      </c>
      <c r="R172" s="157">
        <f t="shared" si="11"/>
        <v>155833</v>
      </c>
      <c r="S172" s="157">
        <f t="shared" si="32"/>
        <v>0</v>
      </c>
      <c r="T172" s="157">
        <f>MAX(0,ROUND(T160*IFERROR(SUM($T$86:$T$97)/SUM($T$74:$T$85),1)+('Funding &amp; Cap'!$K$10-'Funding &amp; Cap'!$K$5)*'Funding &amp; Cap'!$B$6/12,0))</f>
        <v>19382244</v>
      </c>
      <c r="U172" s="157">
        <f>IF(MONTH(A172)=2,'Funding &amp; Cap'!$K$10,0)</f>
        <v>0</v>
      </c>
      <c r="V172" s="157">
        <f t="shared" si="27"/>
        <v>0</v>
      </c>
      <c r="W172" s="157">
        <f>IF(MONTH(A172)=12,MIN(AE171,'Funding &amp; Cap'!$K$9),0)</f>
        <v>0</v>
      </c>
      <c r="X172" s="157">
        <f t="shared" si="15"/>
        <v>58196620</v>
      </c>
      <c r="Y172" s="157">
        <f t="shared" si="16"/>
        <v>33780552</v>
      </c>
      <c r="Z172" s="157">
        <f t="shared" si="17"/>
        <v>14993121</v>
      </c>
      <c r="AA172" s="157">
        <f t="shared" si="18"/>
        <v>20500620</v>
      </c>
      <c r="AB172" s="157">
        <f t="shared" si="19"/>
        <v>33451304</v>
      </c>
      <c r="AC172" s="157">
        <f t="shared" si="20"/>
        <v>14255454</v>
      </c>
      <c r="AD172" s="157">
        <f>MIN(AE172,SUMIFS($W$2:$W$181,$A$2:$A$181,"&gt;"&amp;A172,$A$2:$A$181,"&lt;="&amp;EDATE(A172,12))+IF(AND(DATE(2033,12,1)&gt;A172,DATE(2033,12,1)&lt;=EDATE(A172,12)),'Funding &amp; Cap'!$B$200,0))</f>
        <v>15000000</v>
      </c>
      <c r="AE172" s="158">
        <f t="shared" si="21"/>
        <v>22000000</v>
      </c>
      <c r="AF172" s="158">
        <f t="shared" si="2"/>
        <v>-38200356</v>
      </c>
      <c r="AG172" s="158">
        <f t="shared" si="7"/>
        <v>-18367193</v>
      </c>
      <c r="AH172" s="159">
        <f>'Revenue &amp; Demand'!I102</f>
        <v>12125</v>
      </c>
      <c r="AI172" s="158">
        <f>'Revenue &amp; Demand'!K102</f>
        <v>18187500</v>
      </c>
      <c r="AJ172" s="158">
        <f>'Manufacturing &amp; Production'!J376</f>
        <v>6107802</v>
      </c>
    </row>
    <row r="173">
      <c r="A173" s="154">
        <f t="shared" si="23"/>
        <v>48305</v>
      </c>
      <c r="B173" s="155">
        <f t="shared" si="1"/>
        <v>2032</v>
      </c>
      <c r="C173" s="156">
        <f>'Revenue &amp; Demand'!C103</f>
        <v>16040</v>
      </c>
      <c r="D173" s="156">
        <f>'Revenue &amp; Demand'!D103</f>
        <v>133</v>
      </c>
      <c r="E173" s="157">
        <f>'Revenue &amp; Demand'!F103</f>
        <v>24060000</v>
      </c>
      <c r="F173" s="157">
        <f>'Revenue &amp; Demand'!G103</f>
        <v>5870184</v>
      </c>
      <c r="G173" s="157">
        <f>'Revenue &amp; Demand'!H103</f>
        <v>205882</v>
      </c>
      <c r="H173" s="157">
        <f>'Manufacturing &amp; Production'!F377</f>
        <v>4684099</v>
      </c>
      <c r="I173" s="157">
        <f>'Manufacturing &amp; Production'!G377</f>
        <v>1924800</v>
      </c>
      <c r="J173" s="157">
        <f>'Workforce &amp; Expenses'!M429</f>
        <v>2303009</v>
      </c>
      <c r="K173" s="157">
        <f>'Manufacturing &amp; Production'!K377</f>
        <v>16471</v>
      </c>
      <c r="L173" s="157">
        <f>'Clinical Trials &amp; R&amp;D'!F377</f>
        <v>5457337</v>
      </c>
      <c r="M173" s="157">
        <f>'Clinical Trials &amp; R&amp;D'!I377</f>
        <v>6950368</v>
      </c>
      <c r="N173" s="157">
        <f>'Workforce &amp; Expenses'!P429</f>
        <v>16799747</v>
      </c>
      <c r="O173" s="157">
        <f>'Workforce &amp; Expenses'!S429</f>
        <v>5842293</v>
      </c>
      <c r="P173" s="157">
        <f t="shared" si="24"/>
        <v>2921088</v>
      </c>
      <c r="Q173" s="157">
        <f t="shared" si="25"/>
        <v>4588565</v>
      </c>
      <c r="R173" s="157">
        <f t="shared" si="11"/>
        <v>155833</v>
      </c>
      <c r="S173" s="157">
        <f t="shared" si="32"/>
        <v>0</v>
      </c>
      <c r="T173" s="157">
        <f>MAX(0,ROUND(T161*IFERROR(SUM($T$86:$T$97)/SUM($T$74:$T$85),1)+('Funding &amp; Cap'!$K$10-'Funding &amp; Cap'!$K$5)*'Funding &amp; Cap'!$B$6/12,0))</f>
        <v>7736620</v>
      </c>
      <c r="U173" s="157">
        <f>IF(MONTH(A173)=2,'Funding &amp; Cap'!$K$10,0)</f>
        <v>0</v>
      </c>
      <c r="V173" s="157">
        <f t="shared" si="27"/>
        <v>0</v>
      </c>
      <c r="W173" s="157">
        <f>IF(MONTH(A173)=12,MIN(AE172,'Funding &amp; Cap'!$K$9),0)</f>
        <v>0</v>
      </c>
      <c r="X173" s="157">
        <f t="shared" si="15"/>
        <v>69404051</v>
      </c>
      <c r="Y173" s="157">
        <f t="shared" si="16"/>
        <v>35326089</v>
      </c>
      <c r="Z173" s="157">
        <f t="shared" si="17"/>
        <v>17420748</v>
      </c>
      <c r="AA173" s="157">
        <f t="shared" si="18"/>
        <v>21981230</v>
      </c>
      <c r="AB173" s="157">
        <f t="shared" si="19"/>
        <v>34946375</v>
      </c>
      <c r="AC173" s="157">
        <f t="shared" si="20"/>
        <v>18800035</v>
      </c>
      <c r="AD173" s="157">
        <f>MIN(AE173,SUMIFS($W$2:$W$181,$A$2:$A$181,"&gt;"&amp;A173,$A$2:$A$181,"&lt;="&amp;EDATE(A173,12))+IF(AND(DATE(2033,12,1)&gt;A173,DATE(2033,12,1)&lt;=EDATE(A173,12)),'Funding &amp; Cap'!$B$200,0))</f>
        <v>15000000</v>
      </c>
      <c r="AE173" s="158">
        <f t="shared" si="21"/>
        <v>22000000</v>
      </c>
      <c r="AF173" s="158">
        <f t="shared" si="2"/>
        <v>-55269820</v>
      </c>
      <c r="AG173" s="158">
        <f t="shared" si="7"/>
        <v>-17069464</v>
      </c>
      <c r="AH173" s="159">
        <f>'Revenue &amp; Demand'!I103</f>
        <v>12368</v>
      </c>
      <c r="AI173" s="158">
        <f>'Revenue &amp; Demand'!K103</f>
        <v>18552000</v>
      </c>
      <c r="AJ173" s="158">
        <f>'Manufacturing &amp; Production'!J377</f>
        <v>6226620</v>
      </c>
    </row>
    <row r="174">
      <c r="A174" s="154">
        <f t="shared" si="23"/>
        <v>48335</v>
      </c>
      <c r="B174" s="155">
        <f t="shared" si="1"/>
        <v>2032</v>
      </c>
      <c r="C174" s="156">
        <f>'Revenue &amp; Demand'!C104</f>
        <v>16143</v>
      </c>
      <c r="D174" s="156">
        <f>'Revenue &amp; Demand'!D104</f>
        <v>136</v>
      </c>
      <c r="E174" s="157">
        <f>'Revenue &amp; Demand'!F104</f>
        <v>24214500</v>
      </c>
      <c r="F174" s="157">
        <f>'Revenue &amp; Demand'!G104</f>
        <v>5595325</v>
      </c>
      <c r="G174" s="157">
        <f>'Revenue &amp; Demand'!H104</f>
        <v>205882</v>
      </c>
      <c r="H174" s="157">
        <f>'Manufacturing &amp; Production'!F378</f>
        <v>4706729</v>
      </c>
      <c r="I174" s="157">
        <f>'Manufacturing &amp; Production'!G378</f>
        <v>1937160</v>
      </c>
      <c r="J174" s="157">
        <f>'Workforce &amp; Expenses'!M430</f>
        <v>2335248</v>
      </c>
      <c r="K174" s="157">
        <f>'Manufacturing &amp; Production'!K378</f>
        <v>16471</v>
      </c>
      <c r="L174" s="157">
        <f>'Clinical Trials &amp; R&amp;D'!F378</f>
        <v>5457337</v>
      </c>
      <c r="M174" s="157">
        <f>'Clinical Trials &amp; R&amp;D'!I378</f>
        <v>6971264</v>
      </c>
      <c r="N174" s="157">
        <f>'Workforce &amp; Expenses'!P430</f>
        <v>16817184</v>
      </c>
      <c r="O174" s="157">
        <f>'Workforce &amp; Expenses'!S430</f>
        <v>5843905</v>
      </c>
      <c r="P174" s="157">
        <f t="shared" si="24"/>
        <v>2977159</v>
      </c>
      <c r="Q174" s="157">
        <f t="shared" si="25"/>
        <v>4588565</v>
      </c>
      <c r="R174" s="157">
        <f t="shared" si="11"/>
        <v>155833</v>
      </c>
      <c r="S174" s="157">
        <f t="shared" si="32"/>
        <v>0</v>
      </c>
      <c r="T174" s="157">
        <f>MAX(0,ROUND(T162*IFERROR(SUM($T$86:$T$97)/SUM($T$74:$T$85),1)+('Funding &amp; Cap'!$K$10-'Funding &amp; Cap'!$K$5)*'Funding &amp; Cap'!$B$6/12,0))</f>
        <v>7972219</v>
      </c>
      <c r="U174" s="157">
        <f>IF(MONTH(A174)=2,'Funding &amp; Cap'!$K$10,0)</f>
        <v>0</v>
      </c>
      <c r="V174" s="157">
        <f t="shared" si="27"/>
        <v>0</v>
      </c>
      <c r="W174" s="157">
        <f>IF(MONTH(A174)=12,MIN(AE173,'Funding &amp; Cap'!$K$9),0)</f>
        <v>0</v>
      </c>
      <c r="X174" s="157">
        <f t="shared" si="15"/>
        <v>71948369</v>
      </c>
      <c r="Y174" s="157">
        <f t="shared" si="16"/>
        <v>36479429</v>
      </c>
      <c r="Z174" s="157">
        <f t="shared" si="17"/>
        <v>17786887</v>
      </c>
      <c r="AA174" s="157">
        <f t="shared" si="18"/>
        <v>23262963</v>
      </c>
      <c r="AB174" s="157">
        <f t="shared" si="19"/>
        <v>36523124</v>
      </c>
      <c r="AC174" s="157">
        <f t="shared" si="20"/>
        <v>18564179</v>
      </c>
      <c r="AD174" s="157">
        <f>MIN(AE174,SUMIFS($W$2:$W$181,$A$2:$A$181,"&gt;"&amp;A174,$A$2:$A$181,"&lt;="&amp;EDATE(A174,12))+IF(AND(DATE(2033,12,1)&gt;A174,DATE(2033,12,1)&lt;=EDATE(A174,12)),'Funding &amp; Cap'!$B$200,0))</f>
        <v>15000000</v>
      </c>
      <c r="AE174" s="158">
        <f t="shared" si="21"/>
        <v>22000000</v>
      </c>
      <c r="AF174" s="158">
        <f t="shared" si="2"/>
        <v>-66333528</v>
      </c>
      <c r="AG174" s="158">
        <f t="shared" si="7"/>
        <v>-11063708</v>
      </c>
      <c r="AH174" s="159">
        <f>'Revenue &amp; Demand'!I104</f>
        <v>12615</v>
      </c>
      <c r="AI174" s="158">
        <f>'Revenue &amp; Demand'!K104</f>
        <v>18922500</v>
      </c>
      <c r="AJ174" s="158">
        <f>'Manufacturing &amp; Production'!J378</f>
        <v>6347394</v>
      </c>
    </row>
    <row r="175">
      <c r="A175" s="154">
        <f t="shared" si="23"/>
        <v>48366</v>
      </c>
      <c r="B175" s="155">
        <f t="shared" si="1"/>
        <v>2032</v>
      </c>
      <c r="C175" s="156">
        <f>'Revenue &amp; Demand'!C105</f>
        <v>16247</v>
      </c>
      <c r="D175" s="156">
        <f>'Revenue &amp; Demand'!D105</f>
        <v>138</v>
      </c>
      <c r="E175" s="157">
        <f>'Revenue &amp; Demand'!F105</f>
        <v>24370500</v>
      </c>
      <c r="F175" s="157">
        <f>'Revenue &amp; Demand'!G105</f>
        <v>5107797</v>
      </c>
      <c r="G175" s="157">
        <f>'Revenue &amp; Demand'!H105</f>
        <v>1286765</v>
      </c>
      <c r="H175" s="157">
        <f>'Manufacturing &amp; Production'!F379</f>
        <v>4729454</v>
      </c>
      <c r="I175" s="157">
        <f>'Manufacturing &amp; Production'!G379</f>
        <v>1949640</v>
      </c>
      <c r="J175" s="157">
        <f>'Workforce &amp; Expenses'!M431</f>
        <v>2372343</v>
      </c>
      <c r="K175" s="157">
        <f>'Manufacturing &amp; Production'!K379</f>
        <v>102941</v>
      </c>
      <c r="L175" s="157">
        <f>'Clinical Trials &amp; R&amp;D'!F379</f>
        <v>5481019</v>
      </c>
      <c r="M175" s="157">
        <f>'Clinical Trials &amp; R&amp;D'!I379</f>
        <v>6992160</v>
      </c>
      <c r="N175" s="157">
        <f>'Workforce &amp; Expenses'!P431</f>
        <v>16851517</v>
      </c>
      <c r="O175" s="157">
        <f>'Workforce &amp; Expenses'!S431</f>
        <v>5866056</v>
      </c>
      <c r="P175" s="157">
        <f t="shared" si="24"/>
        <v>3033300</v>
      </c>
      <c r="Q175" s="157">
        <f t="shared" si="25"/>
        <v>4588565</v>
      </c>
      <c r="R175" s="157">
        <f t="shared" si="11"/>
        <v>155833</v>
      </c>
      <c r="S175" s="157">
        <f t="shared" si="32"/>
        <v>0</v>
      </c>
      <c r="T175" s="157">
        <f>MAX(0,ROUND(T163*IFERROR(SUM($T$86:$T$97)/SUM($T$74:$T$85),1)+('Funding &amp; Cap'!$K$10-'Funding &amp; Cap'!$K$5)*'Funding &amp; Cap'!$B$6/12,0))</f>
        <v>8211193</v>
      </c>
      <c r="U175" s="157">
        <f>IF(MONTH(A175)=2,'Funding &amp; Cap'!$K$10,0)</f>
        <v>0</v>
      </c>
      <c r="V175" s="157">
        <f t="shared" si="27"/>
        <v>0</v>
      </c>
      <c r="W175" s="157">
        <f>IF(MONTH(A175)=12,MIN(AE174,'Funding &amp; Cap'!$K$9),0)</f>
        <v>0</v>
      </c>
      <c r="X175" s="157">
        <f t="shared" si="15"/>
        <v>65522871</v>
      </c>
      <c r="Y175" s="157">
        <f t="shared" si="16"/>
        <v>37534362</v>
      </c>
      <c r="Z175" s="157">
        <f t="shared" si="17"/>
        <v>16140966</v>
      </c>
      <c r="AA175" s="157">
        <f t="shared" si="18"/>
        <v>23895675</v>
      </c>
      <c r="AB175" s="157">
        <f t="shared" si="19"/>
        <v>38110136</v>
      </c>
      <c r="AC175" s="157">
        <f t="shared" si="20"/>
        <v>13597090</v>
      </c>
      <c r="AD175" s="157">
        <f>MIN(AE175,SUMIFS($W$2:$W$181,$A$2:$A$181,"&gt;"&amp;A175,$A$2:$A$181,"&lt;="&amp;EDATE(A175,12))+IF(AND(DATE(2033,12,1)&gt;A175,DATE(2033,12,1)&lt;=EDATE(A175,12)),'Funding &amp; Cap'!$B$200,0))</f>
        <v>15000000</v>
      </c>
      <c r="AE175" s="158">
        <f t="shared" si="21"/>
        <v>22000000</v>
      </c>
      <c r="AF175" s="158">
        <f t="shared" si="2"/>
        <v>-71181615</v>
      </c>
      <c r="AG175" s="158">
        <f t="shared" si="7"/>
        <v>-4848087</v>
      </c>
      <c r="AH175" s="159">
        <f>'Revenue &amp; Demand'!I105</f>
        <v>12867</v>
      </c>
      <c r="AI175" s="158">
        <f>'Revenue &amp; Demand'!K105</f>
        <v>19300500</v>
      </c>
      <c r="AJ175" s="158">
        <f>'Manufacturing &amp; Production'!J379</f>
        <v>6470614</v>
      </c>
    </row>
    <row r="176">
      <c r="A176" s="154">
        <f t="shared" si="23"/>
        <v>48396</v>
      </c>
      <c r="B176" s="155">
        <f t="shared" si="1"/>
        <v>2032</v>
      </c>
      <c r="C176" s="156">
        <f>'Revenue &amp; Demand'!C106</f>
        <v>16352</v>
      </c>
      <c r="D176" s="156">
        <f>'Revenue &amp; Demand'!D106</f>
        <v>139</v>
      </c>
      <c r="E176" s="157">
        <f>'Revenue &amp; Demand'!F106</f>
        <v>24528000</v>
      </c>
      <c r="F176" s="157">
        <f>'Revenue &amp; Demand'!G106</f>
        <v>5004077</v>
      </c>
      <c r="G176" s="157">
        <f>'Revenue &amp; Demand'!H106</f>
        <v>205882</v>
      </c>
      <c r="H176" s="157">
        <f>'Manufacturing &amp; Production'!F380</f>
        <v>4752276</v>
      </c>
      <c r="I176" s="157">
        <f>'Manufacturing &amp; Production'!G380</f>
        <v>1962240</v>
      </c>
      <c r="J176" s="157">
        <f>'Workforce &amp; Expenses'!M432</f>
        <v>2383089</v>
      </c>
      <c r="K176" s="157">
        <f>'Manufacturing &amp; Production'!K380</f>
        <v>16471</v>
      </c>
      <c r="L176" s="157">
        <f>'Clinical Trials &amp; R&amp;D'!F380</f>
        <v>5459009</v>
      </c>
      <c r="M176" s="157">
        <f>'Clinical Trials &amp; R&amp;D'!I380</f>
        <v>7013056</v>
      </c>
      <c r="N176" s="157">
        <f>'Workforce &amp; Expenses'!P432</f>
        <v>16869134</v>
      </c>
      <c r="O176" s="157">
        <f>'Workforce &amp; Expenses'!S432</f>
        <v>5867130</v>
      </c>
      <c r="P176" s="157">
        <f t="shared" si="24"/>
        <v>3089520</v>
      </c>
      <c r="Q176" s="157">
        <f t="shared" si="25"/>
        <v>4588565</v>
      </c>
      <c r="R176" s="157">
        <f t="shared" si="11"/>
        <v>155833</v>
      </c>
      <c r="S176" s="157">
        <f t="shared" si="32"/>
        <v>0</v>
      </c>
      <c r="T176" s="157">
        <f>MAX(0,ROUND(T164*IFERROR(SUM($T$86:$T$97)/SUM($T$74:$T$85),1)+('Funding &amp; Cap'!$K$10-'Funding &amp; Cap'!$K$5)*'Funding &amp; Cap'!$B$6/12,0))</f>
        <v>8012923</v>
      </c>
      <c r="U176" s="157">
        <f>IF(MONTH(A176)=2,'Funding &amp; Cap'!$K$10,0)</f>
        <v>0</v>
      </c>
      <c r="V176" s="157">
        <f t="shared" si="27"/>
        <v>0</v>
      </c>
      <c r="W176" s="157">
        <f>IF(MONTH(A176)=12,MIN(AE175,'Funding &amp; Cap'!$K$9),0)</f>
        <v>0</v>
      </c>
      <c r="X176" s="157">
        <f t="shared" si="15"/>
        <v>76116164</v>
      </c>
      <c r="Y176" s="157">
        <f t="shared" si="16"/>
        <v>38714308</v>
      </c>
      <c r="Z176" s="157">
        <f t="shared" si="17"/>
        <v>18268522</v>
      </c>
      <c r="AA176" s="157">
        <f t="shared" si="18"/>
        <v>25395605</v>
      </c>
      <c r="AB176" s="157">
        <f t="shared" si="19"/>
        <v>39369731</v>
      </c>
      <c r="AC176" s="157">
        <f t="shared" si="20"/>
        <v>17591576</v>
      </c>
      <c r="AD176" s="157">
        <f>MIN(AE176,SUMIFS($W$2:$W$181,$A$2:$A$181,"&gt;"&amp;A176,$A$2:$A$181,"&lt;="&amp;EDATE(A176,12))+IF(AND(DATE(2033,12,1)&gt;A176,DATE(2033,12,1)&lt;=EDATE(A176,12)),'Funding &amp; Cap'!$B$200,0))</f>
        <v>15000000</v>
      </c>
      <c r="AE176" s="158">
        <f t="shared" si="21"/>
        <v>22000000</v>
      </c>
      <c r="AF176" s="158">
        <f t="shared" si="2"/>
        <v>-87991877</v>
      </c>
      <c r="AG176" s="158">
        <f t="shared" si="7"/>
        <v>-16810262</v>
      </c>
      <c r="AH176" s="159">
        <f>'Revenue &amp; Demand'!I106</f>
        <v>13124</v>
      </c>
      <c r="AI176" s="158">
        <f>'Revenue &amp; Demand'!K106</f>
        <v>19686000</v>
      </c>
      <c r="AJ176" s="158">
        <f>'Manufacturing &amp; Production'!J380</f>
        <v>6596276</v>
      </c>
    </row>
    <row r="177">
      <c r="A177" s="154">
        <f t="shared" si="23"/>
        <v>48427</v>
      </c>
      <c r="B177" s="155">
        <f t="shared" si="1"/>
        <v>2032</v>
      </c>
      <c r="C177" s="156">
        <f>'Revenue &amp; Demand'!C107</f>
        <v>16457</v>
      </c>
      <c r="D177" s="156">
        <f>'Revenue &amp; Demand'!D107</f>
        <v>142</v>
      </c>
      <c r="E177" s="157">
        <f>'Revenue &amp; Demand'!F107</f>
        <v>24685500</v>
      </c>
      <c r="F177" s="157">
        <f>'Revenue &amp; Demand'!G107</f>
        <v>4849382</v>
      </c>
      <c r="G177" s="157">
        <f>'Revenue &amp; Demand'!H107</f>
        <v>205882</v>
      </c>
      <c r="H177" s="157">
        <f>'Manufacturing &amp; Production'!F381</f>
        <v>4775097</v>
      </c>
      <c r="I177" s="157">
        <f>'Manufacturing &amp; Production'!G381</f>
        <v>1974840</v>
      </c>
      <c r="J177" s="157">
        <f>'Workforce &amp; Expenses'!M433</f>
        <v>2415329</v>
      </c>
      <c r="K177" s="157">
        <f>'Manufacturing &amp; Production'!K381</f>
        <v>16471</v>
      </c>
      <c r="L177" s="157">
        <f>'Clinical Trials &amp; R&amp;D'!F381</f>
        <v>5459009</v>
      </c>
      <c r="M177" s="157">
        <f>'Clinical Trials &amp; R&amp;D'!I381</f>
        <v>7033952</v>
      </c>
      <c r="N177" s="157">
        <f>'Workforce &amp; Expenses'!P433</f>
        <v>16886750</v>
      </c>
      <c r="O177" s="157">
        <f>'Workforce &amp; Expenses'!S433</f>
        <v>5868742</v>
      </c>
      <c r="P177" s="157">
        <f t="shared" si="24"/>
        <v>3145807</v>
      </c>
      <c r="Q177" s="157">
        <f t="shared" si="25"/>
        <v>4588565</v>
      </c>
      <c r="R177" s="157">
        <f t="shared" si="11"/>
        <v>155833</v>
      </c>
      <c r="S177" s="157">
        <f t="shared" si="32"/>
        <v>0</v>
      </c>
      <c r="T177" s="157">
        <f>MAX(0,ROUND(T165*IFERROR(SUM($T$86:$T$97)/SUM($T$74:$T$85),1)+('Funding &amp; Cap'!$K$10-'Funding &amp; Cap'!$K$5)*'Funding &amp; Cap'!$B$6/12,0))</f>
        <v>8253589</v>
      </c>
      <c r="U177" s="157">
        <f>IF(MONTH(A177)=2,'Funding &amp; Cap'!$K$10,0)</f>
        <v>0</v>
      </c>
      <c r="V177" s="157">
        <f t="shared" si="27"/>
        <v>0</v>
      </c>
      <c r="W177" s="157">
        <f>IF(MONTH(A177)=12,MIN(AE176,'Funding &amp; Cap'!$K$9),0)</f>
        <v>0</v>
      </c>
      <c r="X177" s="157">
        <f t="shared" si="15"/>
        <v>78105378</v>
      </c>
      <c r="Y177" s="157">
        <f t="shared" si="16"/>
        <v>39678385</v>
      </c>
      <c r="Z177" s="157">
        <f t="shared" si="17"/>
        <v>18512794</v>
      </c>
      <c r="AA177" s="157">
        <f t="shared" si="18"/>
        <v>26185909</v>
      </c>
      <c r="AB177" s="157">
        <f t="shared" si="19"/>
        <v>40270552</v>
      </c>
      <c r="AC177" s="157">
        <f t="shared" si="20"/>
        <v>17173390</v>
      </c>
      <c r="AD177" s="157">
        <f>MIN(AE177,SUMIFS($W$2:$W$181,$A$2:$A$181,"&gt;"&amp;A177,$A$2:$A$181,"&lt;="&amp;EDATE(A177,12))+IF(AND(DATE(2033,12,1)&gt;A177,DATE(2033,12,1)&lt;=EDATE(A177,12)),'Funding &amp; Cap'!$B$200,0))</f>
        <v>15000000</v>
      </c>
      <c r="AE177" s="158">
        <f t="shared" si="21"/>
        <v>22000000</v>
      </c>
      <c r="AF177" s="158">
        <f t="shared" si="2"/>
        <v>-99660734</v>
      </c>
      <c r="AG177" s="158">
        <f t="shared" si="7"/>
        <v>-11668857</v>
      </c>
      <c r="AH177" s="159">
        <f>'Revenue &amp; Demand'!I107</f>
        <v>13386</v>
      </c>
      <c r="AI177" s="158">
        <f>'Revenue &amp; Demand'!K107</f>
        <v>20079000</v>
      </c>
      <c r="AJ177" s="158">
        <f>'Manufacturing &amp; Production'!J381</f>
        <v>6724385</v>
      </c>
    </row>
    <row r="178">
      <c r="A178" s="154">
        <f t="shared" si="23"/>
        <v>48458</v>
      </c>
      <c r="B178" s="155">
        <f t="shared" si="1"/>
        <v>2032</v>
      </c>
      <c r="C178" s="156">
        <f>'Revenue &amp; Demand'!C108</f>
        <v>16563</v>
      </c>
      <c r="D178" s="156">
        <f>'Revenue &amp; Demand'!D108</f>
        <v>144</v>
      </c>
      <c r="E178" s="157">
        <f>'Revenue &amp; Demand'!F108</f>
        <v>24844500</v>
      </c>
      <c r="F178" s="157">
        <f>'Revenue &amp; Demand'!G108</f>
        <v>4873847</v>
      </c>
      <c r="G178" s="157">
        <f>'Revenue &amp; Demand'!H108</f>
        <v>1286765</v>
      </c>
      <c r="H178" s="157">
        <f>'Manufacturing &amp; Production'!F382</f>
        <v>4816681</v>
      </c>
      <c r="I178" s="157">
        <f>'Manufacturing &amp; Production'!G382</f>
        <v>1987560</v>
      </c>
      <c r="J178" s="157">
        <f>'Workforce &amp; Expenses'!M434</f>
        <v>2436822</v>
      </c>
      <c r="K178" s="157">
        <f>'Manufacturing &amp; Production'!K382</f>
        <v>102941</v>
      </c>
      <c r="L178" s="157">
        <f>'Clinical Trials &amp; R&amp;D'!F382</f>
        <v>5459009</v>
      </c>
      <c r="M178" s="157">
        <f>'Clinical Trials &amp; R&amp;D'!I382</f>
        <v>7054848</v>
      </c>
      <c r="N178" s="157">
        <f>'Workforce &amp; Expenses'!P434</f>
        <v>16904547</v>
      </c>
      <c r="O178" s="157">
        <f>'Workforce &amp; Expenses'!S434</f>
        <v>5889817</v>
      </c>
      <c r="P178" s="157">
        <f t="shared" si="24"/>
        <v>3202169</v>
      </c>
      <c r="Q178" s="157">
        <f t="shared" si="25"/>
        <v>4588565</v>
      </c>
      <c r="R178" s="157">
        <f t="shared" si="11"/>
        <v>155833</v>
      </c>
      <c r="S178" s="157">
        <f t="shared" si="32"/>
        <v>0</v>
      </c>
      <c r="T178" s="157">
        <f>MAX(0,ROUND(T166*IFERROR(SUM($T$86:$T$97)/SUM($T$74:$T$85),1)+('Funding &amp; Cap'!$K$10-'Funding &amp; Cap'!$K$5)*'Funding &amp; Cap'!$B$6/12,0))</f>
        <v>19955116</v>
      </c>
      <c r="U178" s="157">
        <f>IF(MONTH(A178)=2,'Funding &amp; Cap'!$K$10,0)</f>
        <v>0</v>
      </c>
      <c r="V178" s="157">
        <f t="shared" si="27"/>
        <v>0</v>
      </c>
      <c r="W178" s="157">
        <f>IF(MONTH(A178)=12,MIN(AE177,'Funding &amp; Cap'!$K$9),0)</f>
        <v>0</v>
      </c>
      <c r="X178" s="157">
        <f t="shared" si="15"/>
        <v>71959031</v>
      </c>
      <c r="Y178" s="157">
        <f t="shared" si="16"/>
        <v>40939827</v>
      </c>
      <c r="Z178" s="157">
        <f t="shared" si="17"/>
        <v>17131611</v>
      </c>
      <c r="AA178" s="157">
        <f t="shared" si="18"/>
        <v>26222059</v>
      </c>
      <c r="AB178" s="157">
        <f t="shared" si="19"/>
        <v>40774793</v>
      </c>
      <c r="AC178" s="157">
        <f t="shared" si="20"/>
        <v>13340200</v>
      </c>
      <c r="AD178" s="157">
        <f>MIN(AE178,SUMIFS($W$2:$W$181,$A$2:$A$181,"&gt;"&amp;A178,$A$2:$A$181,"&lt;="&amp;EDATE(A178,12))+IF(AND(DATE(2033,12,1)&gt;A178,DATE(2033,12,1)&lt;=EDATE(A178,12)),'Funding &amp; Cap'!$B$200,0))</f>
        <v>15000000</v>
      </c>
      <c r="AE178" s="158">
        <f t="shared" si="21"/>
        <v>22000000</v>
      </c>
      <c r="AF178" s="158">
        <f t="shared" si="2"/>
        <v>-116819935</v>
      </c>
      <c r="AG178" s="158">
        <f t="shared" si="7"/>
        <v>-17159201</v>
      </c>
      <c r="AH178" s="159">
        <f>'Revenue &amp; Demand'!I108</f>
        <v>13654</v>
      </c>
      <c r="AI178" s="158">
        <f>'Revenue &amp; Demand'!K108</f>
        <v>20481000</v>
      </c>
      <c r="AJ178" s="158">
        <f>'Manufacturing &amp; Production'!J382</f>
        <v>6855428</v>
      </c>
    </row>
    <row r="179">
      <c r="A179" s="154">
        <f t="shared" si="23"/>
        <v>48488</v>
      </c>
      <c r="B179" s="155">
        <f t="shared" si="1"/>
        <v>2032</v>
      </c>
      <c r="C179" s="156">
        <f>'Revenue &amp; Demand'!C109</f>
        <v>16670</v>
      </c>
      <c r="D179" s="156">
        <f>'Revenue &amp; Demand'!D109</f>
        <v>144</v>
      </c>
      <c r="E179" s="157">
        <f>'Revenue &amp; Demand'!F109</f>
        <v>25005000</v>
      </c>
      <c r="F179" s="157">
        <f>'Revenue &amp; Demand'!G109</f>
        <v>4917679</v>
      </c>
      <c r="G179" s="157">
        <f>'Revenue &amp; Demand'!H109</f>
        <v>205882</v>
      </c>
      <c r="H179" s="157">
        <f>'Manufacturing &amp; Production'!F383</f>
        <v>4826875</v>
      </c>
      <c r="I179" s="157">
        <f>'Manufacturing &amp; Production'!G383</f>
        <v>2000400</v>
      </c>
      <c r="J179" s="157">
        <f>'Workforce &amp; Expenses'!M435</f>
        <v>2452424</v>
      </c>
      <c r="K179" s="157">
        <f>'Manufacturing &amp; Production'!K383</f>
        <v>16471</v>
      </c>
      <c r="L179" s="157">
        <f>'Clinical Trials &amp; R&amp;D'!F383</f>
        <v>5482691</v>
      </c>
      <c r="M179" s="157">
        <f>'Clinical Trials &amp; R&amp;D'!I383</f>
        <v>7075744</v>
      </c>
      <c r="N179" s="157">
        <f>'Workforce &amp; Expenses'!P435</f>
        <v>16922164</v>
      </c>
      <c r="O179" s="157">
        <f>'Workforce &amp; Expenses'!S435</f>
        <v>5891966</v>
      </c>
      <c r="P179" s="157">
        <f t="shared" si="24"/>
        <v>3237018</v>
      </c>
      <c r="Q179" s="157">
        <f t="shared" si="25"/>
        <v>4588565</v>
      </c>
      <c r="R179" s="157">
        <f t="shared" si="11"/>
        <v>155833</v>
      </c>
      <c r="S179" s="157">
        <f t="shared" si="32"/>
        <v>0</v>
      </c>
      <c r="T179" s="157">
        <f>MAX(0,ROUND(T167*IFERROR(SUM($T$86:$T$97)/SUM($T$74:$T$85),1)+('Funding &amp; Cap'!$K$10-'Funding &amp; Cap'!$K$5)*'Funding &amp; Cap'!$B$6/12,0))</f>
        <v>8441175</v>
      </c>
      <c r="U179" s="157">
        <f>IF(MONTH(A179)=2,'Funding &amp; Cap'!$K$10,0)</f>
        <v>0</v>
      </c>
      <c r="V179" s="157">
        <f t="shared" si="27"/>
        <v>0</v>
      </c>
      <c r="W179" s="157">
        <f>IF(MONTH(A179)=12,MIN(AE178,'Funding &amp; Cap'!$K$9),0)</f>
        <v>0</v>
      </c>
      <c r="X179" s="157">
        <f t="shared" si="15"/>
        <v>76325493</v>
      </c>
      <c r="Y179" s="157">
        <f t="shared" si="16"/>
        <v>38463864</v>
      </c>
      <c r="Z179" s="157">
        <f t="shared" si="17"/>
        <v>17748475</v>
      </c>
      <c r="AA179" s="157">
        <f t="shared" si="18"/>
        <v>25827227</v>
      </c>
      <c r="AB179" s="157">
        <f t="shared" si="19"/>
        <v>40293094</v>
      </c>
      <c r="AC179" s="157">
        <f t="shared" si="20"/>
        <v>16829495</v>
      </c>
      <c r="AD179" s="157">
        <f>MIN(AE179,SUMIFS($W$2:$W$181,$A$2:$A$181,"&gt;"&amp;A179,$A$2:$A$181,"&lt;="&amp;EDATE(A179,12))+IF(AND(DATE(2033,12,1)&gt;A179,DATE(2033,12,1)&lt;=EDATE(A179,12)),'Funding &amp; Cap'!$B$200,0))</f>
        <v>15000000</v>
      </c>
      <c r="AE179" s="158">
        <f t="shared" si="21"/>
        <v>22000000</v>
      </c>
      <c r="AF179" s="158">
        <f t="shared" si="2"/>
        <v>-125950131</v>
      </c>
      <c r="AG179" s="158">
        <f t="shared" si="7"/>
        <v>-9130196</v>
      </c>
      <c r="AH179" s="159">
        <f>'Revenue &amp; Demand'!I109</f>
        <v>13927</v>
      </c>
      <c r="AI179" s="158">
        <f>'Revenue &amp; Demand'!K109</f>
        <v>20890500</v>
      </c>
      <c r="AJ179" s="158">
        <f>'Manufacturing &amp; Production'!J383</f>
        <v>6988915</v>
      </c>
    </row>
    <row r="180">
      <c r="A180" s="154">
        <f t="shared" si="23"/>
        <v>48519</v>
      </c>
      <c r="B180" s="155">
        <f t="shared" si="1"/>
        <v>2032</v>
      </c>
      <c r="C180" s="156">
        <f>'Revenue &amp; Demand'!C110</f>
        <v>16777</v>
      </c>
      <c r="D180" s="156">
        <f>'Revenue &amp; Demand'!D110</f>
        <v>146</v>
      </c>
      <c r="E180" s="157">
        <f>'Revenue &amp; Demand'!F110</f>
        <v>25165500</v>
      </c>
      <c r="F180" s="157">
        <f>'Revenue &amp; Demand'!G110</f>
        <v>5062841</v>
      </c>
      <c r="G180" s="157">
        <f>'Revenue &amp; Demand'!H110</f>
        <v>205882</v>
      </c>
      <c r="H180" s="157">
        <f>'Manufacturing &amp; Production'!F384</f>
        <v>4849887</v>
      </c>
      <c r="I180" s="157">
        <f>'Manufacturing &amp; Production'!G384</f>
        <v>2013240</v>
      </c>
      <c r="J180" s="157">
        <f>'Workforce &amp; Expenses'!M436</f>
        <v>2473917</v>
      </c>
      <c r="K180" s="157">
        <f>'Manufacturing &amp; Production'!K384</f>
        <v>16471</v>
      </c>
      <c r="L180" s="157">
        <f>'Clinical Trials &amp; R&amp;D'!F384</f>
        <v>5460681</v>
      </c>
      <c r="M180" s="157">
        <f>'Clinical Trials &amp; R&amp;D'!I384</f>
        <v>7096640</v>
      </c>
      <c r="N180" s="157">
        <f>'Workforce &amp; Expenses'!P436</f>
        <v>16939961</v>
      </c>
      <c r="O180" s="157">
        <f>'Workforce &amp; Expenses'!S436</f>
        <v>5911966</v>
      </c>
      <c r="P180" s="157">
        <f t="shared" si="24"/>
        <v>3290974</v>
      </c>
      <c r="Q180" s="157">
        <f t="shared" si="25"/>
        <v>4588565</v>
      </c>
      <c r="R180" s="157">
        <f t="shared" si="11"/>
        <v>155833</v>
      </c>
      <c r="S180" s="157">
        <f t="shared" si="32"/>
        <v>0</v>
      </c>
      <c r="T180" s="157">
        <f>MAX(0,ROUND(T168*IFERROR(SUM($T$86:$T$97)/SUM($T$74:$T$85),1)+('Funding &amp; Cap'!$K$10-'Funding &amp; Cap'!$K$5)*'Funding &amp; Cap'!$B$6/12,0))</f>
        <v>8534964</v>
      </c>
      <c r="U180" s="157">
        <f>IF(MONTH(A180)=2,'Funding &amp; Cap'!$K$10,0)</f>
        <v>0</v>
      </c>
      <c r="V180" s="157">
        <f t="shared" si="27"/>
        <v>0</v>
      </c>
      <c r="W180" s="157">
        <f>IF(MONTH(A180)=12,MIN(AE179,'Funding &amp; Cap'!$K$9),0)</f>
        <v>0</v>
      </c>
      <c r="X180" s="157">
        <f t="shared" si="15"/>
        <v>78715292</v>
      </c>
      <c r="Y180" s="157">
        <f t="shared" si="16"/>
        <v>39987821</v>
      </c>
      <c r="Z180" s="157">
        <f t="shared" si="17"/>
        <v>18165320</v>
      </c>
      <c r="AA180" s="157">
        <f t="shared" si="18"/>
        <v>26141028</v>
      </c>
      <c r="AB180" s="157">
        <f t="shared" si="19"/>
        <v>40319487</v>
      </c>
      <c r="AC180" s="157">
        <f t="shared" si="20"/>
        <v>16842591</v>
      </c>
      <c r="AD180" s="157">
        <f>MIN(AE180,SUMIFS($W$2:$W$181,$A$2:$A$181,"&gt;"&amp;A180,$A$2:$A$181,"&lt;="&amp;EDATE(A180,12))+IF(AND(DATE(2033,12,1)&gt;A180,DATE(2033,12,1)&lt;=EDATE(A180,12)),'Funding &amp; Cap'!$B$200,0))</f>
        <v>15000000</v>
      </c>
      <c r="AE180" s="158">
        <f t="shared" si="21"/>
        <v>22000000</v>
      </c>
      <c r="AF180" s="158">
        <f t="shared" si="2"/>
        <v>-138763116</v>
      </c>
      <c r="AG180" s="158">
        <f t="shared" si="7"/>
        <v>-12812985</v>
      </c>
      <c r="AH180" s="159">
        <f>'Revenue &amp; Demand'!I110</f>
        <v>14206</v>
      </c>
      <c r="AI180" s="158">
        <f>'Revenue &amp; Demand'!K110</f>
        <v>21309000</v>
      </c>
      <c r="AJ180" s="158">
        <f>'Manufacturing &amp; Production'!J384</f>
        <v>7125337</v>
      </c>
    </row>
    <row r="181">
      <c r="A181" s="154">
        <f t="shared" si="23"/>
        <v>48549</v>
      </c>
      <c r="B181" s="155">
        <f t="shared" si="1"/>
        <v>2032</v>
      </c>
      <c r="C181" s="156">
        <f>'Revenue &amp; Demand'!C111</f>
        <v>16885</v>
      </c>
      <c r="D181" s="156">
        <f>'Revenue &amp; Demand'!D111</f>
        <v>148</v>
      </c>
      <c r="E181" s="157">
        <f>'Revenue &amp; Demand'!F111</f>
        <v>25327500</v>
      </c>
      <c r="F181" s="157">
        <f>'Revenue &amp; Demand'!G111</f>
        <v>5204735</v>
      </c>
      <c r="G181" s="157">
        <f>'Revenue &amp; Demand'!H111</f>
        <v>1492649</v>
      </c>
      <c r="H181" s="157">
        <f>'Manufacturing &amp; Production'!F385</f>
        <v>4872995</v>
      </c>
      <c r="I181" s="157">
        <f>'Manufacturing &amp; Production'!G385</f>
        <v>2026200</v>
      </c>
      <c r="J181" s="157">
        <f>'Workforce &amp; Expenses'!M437</f>
        <v>2495410</v>
      </c>
      <c r="K181" s="157">
        <f>'Manufacturing &amp; Production'!K385</f>
        <v>119412</v>
      </c>
      <c r="L181" s="157">
        <f>'Clinical Trials &amp; R&amp;D'!F385</f>
        <v>5460681</v>
      </c>
      <c r="M181" s="157">
        <f>'Clinical Trials &amp; R&amp;D'!I385</f>
        <v>7117536</v>
      </c>
      <c r="N181" s="157">
        <f>'Workforce &amp; Expenses'!P437</f>
        <v>16957577</v>
      </c>
      <c r="O181" s="157">
        <f>'Workforce &amp; Expenses'!S437</f>
        <v>5913578</v>
      </c>
      <c r="P181" s="157">
        <f t="shared" si="24"/>
        <v>3344910</v>
      </c>
      <c r="Q181" s="157">
        <f t="shared" si="25"/>
        <v>4588599</v>
      </c>
      <c r="R181" s="157">
        <f t="shared" si="11"/>
        <v>49583</v>
      </c>
      <c r="S181" s="157">
        <f>ROUND(0.25*MAX(0,SUM(E170:G181)+SUM(AI170:AI181)-SUM(H170:R181)-SUM(AJ170:AJ181)),0)</f>
        <v>0</v>
      </c>
      <c r="T181" s="157">
        <f>MAX(0,ROUND(T169*IFERROR(SUM($T$86:$T$97)/SUM($T$74:$T$85),1)+('Funding &amp; Cap'!$K$10-'Funding &amp; Cap'!$K$5)*'Funding &amp; Cap'!$B$6/12,0))</f>
        <v>8628756</v>
      </c>
      <c r="U181" s="157">
        <f>IF(MONTH(A181)=2,'Funding &amp; Cap'!$K$10,0)</f>
        <v>0</v>
      </c>
      <c r="V181" s="157">
        <f t="shared" si="27"/>
        <v>0</v>
      </c>
      <c r="W181" s="157">
        <f>IF(MONTH(A181)=12,MIN(AE180,'Funding &amp; Cap'!$K$9),0)</f>
        <v>15000000</v>
      </c>
      <c r="X181" s="157">
        <f t="shared" si="15"/>
        <v>73140999</v>
      </c>
      <c r="Y181" s="157">
        <f t="shared" si="16"/>
        <v>41577135</v>
      </c>
      <c r="Z181" s="157">
        <f t="shared" si="17"/>
        <v>17039082</v>
      </c>
      <c r="AA181" s="157">
        <f t="shared" si="18"/>
        <v>26082819</v>
      </c>
      <c r="AB181" s="157">
        <f t="shared" si="19"/>
        <v>40411198</v>
      </c>
      <c r="AC181" s="157">
        <f t="shared" si="20"/>
        <v>13262304</v>
      </c>
      <c r="AD181" s="157">
        <f>MIN(AE181,SUMIFS($W$2:$W$181,$A$2:$A$181,"&gt;"&amp;A181,$A$2:$A$181,"&lt;="&amp;EDATE(A181,12))+IF(AND(DATE(2033,12,1)&gt;A181,DATE(2033,12,1)&lt;=EDATE(A181,12)),'Funding &amp; Cap'!$B$200,0))</f>
        <v>7000000</v>
      </c>
      <c r="AE181" s="158">
        <f t="shared" si="21"/>
        <v>7000000</v>
      </c>
      <c r="AF181" s="158">
        <f t="shared" si="2"/>
        <v>-159344730</v>
      </c>
      <c r="AG181" s="158">
        <f t="shared" si="7"/>
        <v>-20581614</v>
      </c>
      <c r="AH181" s="159">
        <f>'Revenue &amp; Demand'!I111</f>
        <v>14490</v>
      </c>
      <c r="AI181" s="158">
        <f>'Revenue &amp; Demand'!K111</f>
        <v>21735000</v>
      </c>
      <c r="AJ181" s="158">
        <f>'Manufacturing &amp; Production'!J385</f>
        <v>7264202</v>
      </c>
    </row>
  </sheetData>
  <autoFilter ref="$A$1:$AJ$181"/>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49C7"/>
    <outlinePr summaryBelow="0" summaryRight="0"/>
  </sheetPr>
  <sheetViews>
    <sheetView showGridLines="0" workbookViewId="0"/>
  </sheetViews>
  <sheetFormatPr customHeight="1" defaultColWidth="12.63" defaultRowHeight="15.75"/>
  <cols>
    <col customWidth="1" min="1" max="1" width="36.88"/>
    <col customWidth="1" min="2" max="2" width="19.88"/>
    <col customWidth="1" min="3" max="16" width="17.0"/>
    <col customWidth="1" min="17" max="23" width="17.63"/>
  </cols>
  <sheetData>
    <row r="1">
      <c r="A1" s="45" t="s">
        <v>115</v>
      </c>
    </row>
    <row r="2" hidden="1">
      <c r="A2" s="46" t="s">
        <v>116</v>
      </c>
    </row>
    <row r="3" hidden="1"/>
    <row r="4">
      <c r="A4" s="47" t="s">
        <v>117</v>
      </c>
      <c r="B4" s="48"/>
      <c r="C4" s="48"/>
      <c r="D4" s="48"/>
      <c r="E4" s="48"/>
      <c r="F4" s="48"/>
      <c r="G4" s="48"/>
      <c r="H4" s="48"/>
      <c r="I4" s="48"/>
      <c r="J4" s="48"/>
      <c r="K4" s="48"/>
      <c r="L4" s="48"/>
      <c r="M4" s="48"/>
      <c r="N4" s="48"/>
      <c r="O4" s="48"/>
      <c r="P4" s="48"/>
    </row>
    <row r="5">
      <c r="A5" s="16" t="s">
        <v>118</v>
      </c>
      <c r="B5" s="49">
        <v>0.4</v>
      </c>
    </row>
    <row r="6">
      <c r="A6" s="16" t="s">
        <v>119</v>
      </c>
      <c r="B6" s="49">
        <v>0.03</v>
      </c>
    </row>
    <row r="7">
      <c r="A7" s="16" t="s">
        <v>120</v>
      </c>
      <c r="B7" s="50">
        <f>SUM(C12:C19)</f>
        <v>480</v>
      </c>
    </row>
    <row r="8">
      <c r="A8" s="16" t="s">
        <v>121</v>
      </c>
      <c r="B8" s="51">
        <f>SUM(G12:G19)</f>
        <v>88606008</v>
      </c>
    </row>
    <row r="9">
      <c r="A9" s="16" t="s">
        <v>122</v>
      </c>
      <c r="B9" s="50">
        <f>SUM(N12:N19)</f>
        <v>835</v>
      </c>
    </row>
    <row r="10">
      <c r="A10" s="16" t="s">
        <v>123</v>
      </c>
      <c r="B10" s="51">
        <f>SUM(O12:O19)</f>
        <v>176058677</v>
      </c>
    </row>
    <row r="11" ht="31.5" customHeight="1">
      <c r="A11" s="52" t="s">
        <v>124</v>
      </c>
      <c r="B11" s="52" t="s">
        <v>125</v>
      </c>
      <c r="C11" s="53" t="s">
        <v>126</v>
      </c>
      <c r="D11" s="53" t="s">
        <v>127</v>
      </c>
      <c r="E11" s="52" t="s">
        <v>128</v>
      </c>
      <c r="F11" s="52" t="s">
        <v>129</v>
      </c>
      <c r="G11" s="52" t="s">
        <v>130</v>
      </c>
      <c r="H11" s="52" t="s">
        <v>131</v>
      </c>
      <c r="I11" s="52" t="s">
        <v>132</v>
      </c>
      <c r="J11" s="52" t="s">
        <v>133</v>
      </c>
      <c r="K11" s="52" t="s">
        <v>134</v>
      </c>
      <c r="L11" s="52" t="s">
        <v>135</v>
      </c>
      <c r="M11" s="52" t="s">
        <v>136</v>
      </c>
      <c r="N11" s="52" t="s">
        <v>137</v>
      </c>
      <c r="O11" s="52" t="s">
        <v>138</v>
      </c>
      <c r="P11" s="52" t="s">
        <v>139</v>
      </c>
    </row>
    <row r="12">
      <c r="A12" s="16" t="s">
        <v>140</v>
      </c>
      <c r="B12" s="16" t="s">
        <v>141</v>
      </c>
      <c r="C12" s="54">
        <v>95.0</v>
      </c>
      <c r="D12" s="55">
        <v>92000.0</v>
      </c>
      <c r="E12" s="56">
        <f t="shared" ref="E12:E19" si="1">ROUND(D12*(1+$B$5),0)</f>
        <v>128800</v>
      </c>
      <c r="F12" s="57" t="s">
        <v>142</v>
      </c>
      <c r="G12" s="56">
        <f>SUM(J50:J61)</f>
        <v>12236004</v>
      </c>
      <c r="H12" s="49">
        <v>0.1</v>
      </c>
      <c r="I12" s="49">
        <v>0.15</v>
      </c>
      <c r="J12" s="49">
        <v>0.14</v>
      </c>
      <c r="K12" s="49">
        <v>0.1</v>
      </c>
      <c r="L12" s="49">
        <v>0.08</v>
      </c>
      <c r="M12" s="49">
        <v>0.06</v>
      </c>
      <c r="N12" s="58">
        <f t="shared" ref="N12:N19" si="2">H26</f>
        <v>174</v>
      </c>
      <c r="O12" s="56">
        <f>SUM(J122:J133)</f>
        <v>26068073</v>
      </c>
      <c r="P12" s="59" t="s">
        <v>144</v>
      </c>
    </row>
    <row r="13">
      <c r="A13" s="16" t="s">
        <v>145</v>
      </c>
      <c r="B13" s="16" t="s">
        <v>141</v>
      </c>
      <c r="C13" s="54">
        <v>30.0</v>
      </c>
      <c r="D13" s="55">
        <v>134000.0</v>
      </c>
      <c r="E13" s="56">
        <f t="shared" si="1"/>
        <v>187600</v>
      </c>
      <c r="F13" s="57" t="s">
        <v>147</v>
      </c>
      <c r="G13" s="56">
        <f>SUM(K50:K61)</f>
        <v>5628000</v>
      </c>
      <c r="H13" s="49">
        <v>0.1</v>
      </c>
      <c r="I13" s="49">
        <v>0.12</v>
      </c>
      <c r="J13" s="49">
        <v>0.1</v>
      </c>
      <c r="K13" s="49">
        <v>0.08</v>
      </c>
      <c r="L13" s="49">
        <v>0.06</v>
      </c>
      <c r="M13" s="49">
        <v>0.04</v>
      </c>
      <c r="N13" s="58">
        <f t="shared" si="2"/>
        <v>49</v>
      </c>
      <c r="O13" s="56">
        <f>SUM(K122:K133)</f>
        <v>10789538</v>
      </c>
      <c r="P13" s="59" t="s">
        <v>144</v>
      </c>
    </row>
    <row r="14">
      <c r="A14" s="16" t="s">
        <v>149</v>
      </c>
      <c r="B14" s="16" t="s">
        <v>150</v>
      </c>
      <c r="C14" s="54">
        <v>100.0</v>
      </c>
      <c r="D14" s="55">
        <v>158000.0</v>
      </c>
      <c r="E14" s="56">
        <f t="shared" si="1"/>
        <v>221200</v>
      </c>
      <c r="F14" s="57" t="s">
        <v>151</v>
      </c>
      <c r="G14" s="56">
        <f>SUM(L50:L61)</f>
        <v>22119996</v>
      </c>
      <c r="H14" s="49">
        <v>0.1</v>
      </c>
      <c r="I14" s="49">
        <v>0.05</v>
      </c>
      <c r="J14" s="49">
        <v>0.0</v>
      </c>
      <c r="K14" s="49">
        <v>-0.02</v>
      </c>
      <c r="L14" s="49">
        <v>-0.02</v>
      </c>
      <c r="M14" s="49">
        <v>-0.03</v>
      </c>
      <c r="N14" s="58">
        <f t="shared" si="2"/>
        <v>109</v>
      </c>
      <c r="O14" s="56">
        <f>SUM(L122:L133)</f>
        <v>29185742</v>
      </c>
      <c r="P14" s="59" t="s">
        <v>153</v>
      </c>
    </row>
    <row r="15">
      <c r="A15" s="16" t="s">
        <v>155</v>
      </c>
      <c r="B15" s="16" t="s">
        <v>150</v>
      </c>
      <c r="C15" s="54">
        <v>50.0</v>
      </c>
      <c r="D15" s="55">
        <v>170000.0</v>
      </c>
      <c r="E15" s="56">
        <f t="shared" si="1"/>
        <v>238000</v>
      </c>
      <c r="F15" s="57" t="s">
        <v>157</v>
      </c>
      <c r="G15" s="56">
        <f>SUM(M50:M61)</f>
        <v>11900004</v>
      </c>
      <c r="H15" s="49">
        <v>0.1</v>
      </c>
      <c r="I15" s="49">
        <v>0.1</v>
      </c>
      <c r="J15" s="49">
        <v>0.08</v>
      </c>
      <c r="K15" s="49">
        <v>0.05</v>
      </c>
      <c r="L15" s="49">
        <v>0.05</v>
      </c>
      <c r="M15" s="49">
        <v>0.04</v>
      </c>
      <c r="N15" s="58">
        <f t="shared" si="2"/>
        <v>75</v>
      </c>
      <c r="O15" s="56">
        <f>SUM(M122:M133)</f>
        <v>20958606</v>
      </c>
      <c r="P15" s="59" t="s">
        <v>144</v>
      </c>
    </row>
    <row r="16">
      <c r="A16" s="16" t="s">
        <v>158</v>
      </c>
      <c r="B16" s="16" t="s">
        <v>159</v>
      </c>
      <c r="C16" s="54">
        <v>45.0</v>
      </c>
      <c r="D16" s="55">
        <v>150000.0</v>
      </c>
      <c r="E16" s="56">
        <f t="shared" si="1"/>
        <v>210000</v>
      </c>
      <c r="F16" s="57" t="s">
        <v>160</v>
      </c>
      <c r="G16" s="56">
        <f>SUM(N50:N61)</f>
        <v>9450000</v>
      </c>
      <c r="H16" s="49">
        <v>0.15</v>
      </c>
      <c r="I16" s="49">
        <v>0.18</v>
      </c>
      <c r="J16" s="49">
        <v>0.2</v>
      </c>
      <c r="K16" s="49">
        <v>0.18</v>
      </c>
      <c r="L16" s="49">
        <v>0.15</v>
      </c>
      <c r="M16" s="49">
        <v>0.12</v>
      </c>
      <c r="N16" s="58">
        <f t="shared" si="2"/>
        <v>111</v>
      </c>
      <c r="O16" s="56">
        <f>SUM(N122:N133)</f>
        <v>26454229</v>
      </c>
      <c r="P16" s="59" t="s">
        <v>153</v>
      </c>
    </row>
    <row r="17">
      <c r="A17" s="16" t="s">
        <v>163</v>
      </c>
      <c r="B17" s="16" t="s">
        <v>164</v>
      </c>
      <c r="C17" s="54">
        <v>40.0</v>
      </c>
      <c r="D17" s="55">
        <v>112000.0</v>
      </c>
      <c r="E17" s="56">
        <f t="shared" si="1"/>
        <v>156800</v>
      </c>
      <c r="F17" s="57" t="s">
        <v>166</v>
      </c>
      <c r="G17" s="56">
        <f>SUM(O50:O61)</f>
        <v>6272004</v>
      </c>
      <c r="H17" s="49">
        <v>0.08</v>
      </c>
      <c r="I17" s="49">
        <v>0.08</v>
      </c>
      <c r="J17" s="49">
        <v>0.07</v>
      </c>
      <c r="K17" s="49">
        <v>0.06</v>
      </c>
      <c r="L17" s="49">
        <v>0.05</v>
      </c>
      <c r="M17" s="49">
        <v>0.05</v>
      </c>
      <c r="N17" s="58">
        <f t="shared" si="2"/>
        <v>58</v>
      </c>
      <c r="O17" s="56">
        <f>SUM(O122:O133)</f>
        <v>10625154</v>
      </c>
      <c r="P17" s="46" t="s">
        <v>144</v>
      </c>
    </row>
    <row r="18">
      <c r="A18" s="16" t="s">
        <v>168</v>
      </c>
      <c r="B18" s="16" t="s">
        <v>169</v>
      </c>
      <c r="C18" s="54">
        <v>70.0</v>
      </c>
      <c r="D18" s="55">
        <v>120000.0</v>
      </c>
      <c r="E18" s="56">
        <f t="shared" si="1"/>
        <v>168000</v>
      </c>
      <c r="F18" s="57" t="s">
        <v>170</v>
      </c>
      <c r="G18" s="56">
        <f>SUM(P50:P61)</f>
        <v>11760000</v>
      </c>
      <c r="H18" s="49">
        <v>0.25</v>
      </c>
      <c r="I18" s="49">
        <v>0.25</v>
      </c>
      <c r="J18" s="49">
        <v>0.18</v>
      </c>
      <c r="K18" s="49">
        <v>0.12</v>
      </c>
      <c r="L18" s="49">
        <v>0.1</v>
      </c>
      <c r="M18" s="49">
        <v>0.08</v>
      </c>
      <c r="N18" s="58">
        <f t="shared" si="2"/>
        <v>174</v>
      </c>
      <c r="O18" s="56">
        <f>SUM(P122:P133)</f>
        <v>33717649</v>
      </c>
      <c r="P18" s="59" t="s">
        <v>144</v>
      </c>
    </row>
    <row r="19">
      <c r="A19" s="16" t="s">
        <v>171</v>
      </c>
      <c r="B19" s="16" t="s">
        <v>172</v>
      </c>
      <c r="C19" s="54">
        <v>50.0</v>
      </c>
      <c r="D19" s="55">
        <v>132000.0</v>
      </c>
      <c r="E19" s="56">
        <f t="shared" si="1"/>
        <v>184800</v>
      </c>
      <c r="F19" s="57" t="s">
        <v>173</v>
      </c>
      <c r="G19" s="56">
        <f>SUM(Q50:Q61)</f>
        <v>9240000</v>
      </c>
      <c r="H19" s="49">
        <v>0.12</v>
      </c>
      <c r="I19" s="49">
        <v>0.12</v>
      </c>
      <c r="J19" s="49">
        <v>0.1</v>
      </c>
      <c r="K19" s="49">
        <v>0.08</v>
      </c>
      <c r="L19" s="49">
        <v>0.07</v>
      </c>
      <c r="M19" s="49">
        <v>0.06</v>
      </c>
      <c r="N19" s="58">
        <f t="shared" si="2"/>
        <v>85</v>
      </c>
      <c r="O19" s="56">
        <f>SUM(Q122:Q133)</f>
        <v>18259686</v>
      </c>
      <c r="P19" s="59" t="s">
        <v>144</v>
      </c>
    </row>
    <row r="24">
      <c r="A24" s="62" t="s">
        <v>174</v>
      </c>
      <c r="I24" s="48"/>
      <c r="J24" s="63"/>
      <c r="K24" s="63"/>
      <c r="L24" s="63"/>
      <c r="M24" s="63"/>
      <c r="N24" s="63"/>
      <c r="O24" s="63"/>
      <c r="P24" s="63"/>
    </row>
    <row r="25">
      <c r="A25" s="64" t="s">
        <v>175</v>
      </c>
      <c r="B25" s="64">
        <v>2026.0</v>
      </c>
      <c r="C25" s="64">
        <v>2027.0</v>
      </c>
      <c r="D25" s="64">
        <v>2028.0</v>
      </c>
      <c r="E25" s="64">
        <v>2029.0</v>
      </c>
      <c r="F25" s="64">
        <v>2030.0</v>
      </c>
      <c r="G25" s="64">
        <v>2031.0</v>
      </c>
      <c r="H25" s="64">
        <v>2032.0</v>
      </c>
      <c r="I25" s="65"/>
      <c r="J25" s="63"/>
      <c r="K25" s="63"/>
      <c r="L25" s="63"/>
      <c r="M25" s="63"/>
      <c r="N25" s="63"/>
      <c r="O25" s="63"/>
      <c r="P25" s="63"/>
    </row>
    <row r="26">
      <c r="A26" s="16" t="s">
        <v>140</v>
      </c>
      <c r="B26" s="58">
        <f t="shared" ref="B26:B33" si="4">C12</f>
        <v>95</v>
      </c>
      <c r="C26" s="50">
        <f t="shared" ref="C26:H26" si="3">MAX(0,ROUND(B26*(1+H12),0))</f>
        <v>105</v>
      </c>
      <c r="D26" s="50">
        <f t="shared" si="3"/>
        <v>121</v>
      </c>
      <c r="E26" s="50">
        <f t="shared" si="3"/>
        <v>138</v>
      </c>
      <c r="F26" s="50">
        <f t="shared" si="3"/>
        <v>152</v>
      </c>
      <c r="G26" s="50">
        <f t="shared" si="3"/>
        <v>164</v>
      </c>
      <c r="H26" s="50">
        <f t="shared" si="3"/>
        <v>174</v>
      </c>
    </row>
    <row r="27">
      <c r="A27" s="16" t="s">
        <v>145</v>
      </c>
      <c r="B27" s="58">
        <f t="shared" si="4"/>
        <v>30</v>
      </c>
      <c r="C27" s="50">
        <f t="shared" ref="C27:H27" si="5">MAX(0,ROUND(B27*(1+H13),0))</f>
        <v>33</v>
      </c>
      <c r="D27" s="50">
        <f t="shared" si="5"/>
        <v>37</v>
      </c>
      <c r="E27" s="50">
        <f t="shared" si="5"/>
        <v>41</v>
      </c>
      <c r="F27" s="50">
        <f t="shared" si="5"/>
        <v>44</v>
      </c>
      <c r="G27" s="50">
        <f t="shared" si="5"/>
        <v>47</v>
      </c>
      <c r="H27" s="50">
        <f t="shared" si="5"/>
        <v>49</v>
      </c>
    </row>
    <row r="28">
      <c r="A28" s="16" t="s">
        <v>149</v>
      </c>
      <c r="B28" s="58">
        <f t="shared" si="4"/>
        <v>100</v>
      </c>
      <c r="C28" s="50">
        <f t="shared" ref="C28:H28" si="6">MAX(0,ROUND(B28*(1+H14),0))</f>
        <v>110</v>
      </c>
      <c r="D28" s="50">
        <f t="shared" si="6"/>
        <v>116</v>
      </c>
      <c r="E28" s="50">
        <f t="shared" si="6"/>
        <v>116</v>
      </c>
      <c r="F28" s="50">
        <f t="shared" si="6"/>
        <v>114</v>
      </c>
      <c r="G28" s="50">
        <f t="shared" si="6"/>
        <v>112</v>
      </c>
      <c r="H28" s="50">
        <f t="shared" si="6"/>
        <v>109</v>
      </c>
    </row>
    <row r="29">
      <c r="A29" s="16" t="s">
        <v>155</v>
      </c>
      <c r="B29" s="58">
        <f t="shared" si="4"/>
        <v>50</v>
      </c>
      <c r="C29" s="50">
        <f t="shared" ref="C29:H29" si="7">MAX(0,ROUND(B29*(1+H15),0))</f>
        <v>55</v>
      </c>
      <c r="D29" s="50">
        <f t="shared" si="7"/>
        <v>61</v>
      </c>
      <c r="E29" s="50">
        <f t="shared" si="7"/>
        <v>66</v>
      </c>
      <c r="F29" s="50">
        <f t="shared" si="7"/>
        <v>69</v>
      </c>
      <c r="G29" s="50">
        <f t="shared" si="7"/>
        <v>72</v>
      </c>
      <c r="H29" s="50">
        <f t="shared" si="7"/>
        <v>75</v>
      </c>
    </row>
    <row r="30">
      <c r="A30" s="16" t="s">
        <v>158</v>
      </c>
      <c r="B30" s="58">
        <f t="shared" si="4"/>
        <v>45</v>
      </c>
      <c r="C30" s="50">
        <f t="shared" ref="C30:H30" si="8">MAX(0,ROUND(B30*(1+H16),0))</f>
        <v>52</v>
      </c>
      <c r="D30" s="50">
        <f t="shared" si="8"/>
        <v>61</v>
      </c>
      <c r="E30" s="50">
        <f t="shared" si="8"/>
        <v>73</v>
      </c>
      <c r="F30" s="50">
        <f t="shared" si="8"/>
        <v>86</v>
      </c>
      <c r="G30" s="50">
        <f t="shared" si="8"/>
        <v>99</v>
      </c>
      <c r="H30" s="50">
        <f t="shared" si="8"/>
        <v>111</v>
      </c>
    </row>
    <row r="31">
      <c r="A31" s="16" t="s">
        <v>163</v>
      </c>
      <c r="B31" s="58">
        <f t="shared" si="4"/>
        <v>40</v>
      </c>
      <c r="C31" s="50">
        <f t="shared" ref="C31:H31" si="9">MAX(0,ROUND(B31*(1+H17),0))</f>
        <v>43</v>
      </c>
      <c r="D31" s="50">
        <f t="shared" si="9"/>
        <v>46</v>
      </c>
      <c r="E31" s="50">
        <f t="shared" si="9"/>
        <v>49</v>
      </c>
      <c r="F31" s="50">
        <f t="shared" si="9"/>
        <v>52</v>
      </c>
      <c r="G31" s="50">
        <f t="shared" si="9"/>
        <v>55</v>
      </c>
      <c r="H31" s="50">
        <f t="shared" si="9"/>
        <v>58</v>
      </c>
    </row>
    <row r="32">
      <c r="A32" s="16" t="s">
        <v>168</v>
      </c>
      <c r="B32" s="58">
        <f t="shared" si="4"/>
        <v>70</v>
      </c>
      <c r="C32" s="50">
        <f t="shared" ref="C32:H32" si="10">MAX(0,ROUND(B32*(1+H18),0))</f>
        <v>88</v>
      </c>
      <c r="D32" s="50">
        <f t="shared" si="10"/>
        <v>110</v>
      </c>
      <c r="E32" s="50">
        <f t="shared" si="10"/>
        <v>130</v>
      </c>
      <c r="F32" s="50">
        <f t="shared" si="10"/>
        <v>146</v>
      </c>
      <c r="G32" s="50">
        <f t="shared" si="10"/>
        <v>161</v>
      </c>
      <c r="H32" s="50">
        <f t="shared" si="10"/>
        <v>174</v>
      </c>
    </row>
    <row r="33">
      <c r="A33" s="16" t="s">
        <v>171</v>
      </c>
      <c r="B33" s="58">
        <f t="shared" si="4"/>
        <v>50</v>
      </c>
      <c r="C33" s="50">
        <f t="shared" ref="C33:H33" si="11">MAX(0,ROUND(B33*(1+H19),0))</f>
        <v>56</v>
      </c>
      <c r="D33" s="50">
        <f t="shared" si="11"/>
        <v>63</v>
      </c>
      <c r="E33" s="50">
        <f t="shared" si="11"/>
        <v>69</v>
      </c>
      <c r="F33" s="50">
        <f t="shared" si="11"/>
        <v>75</v>
      </c>
      <c r="G33" s="50">
        <f t="shared" si="11"/>
        <v>80</v>
      </c>
      <c r="H33" s="50">
        <f t="shared" si="11"/>
        <v>85</v>
      </c>
    </row>
    <row r="34">
      <c r="A34" s="16" t="s">
        <v>177</v>
      </c>
      <c r="B34" s="58">
        <f t="shared" ref="B34:H34" si="12">SUM(B26:B33)</f>
        <v>480</v>
      </c>
      <c r="C34" s="50">
        <f t="shared" si="12"/>
        <v>542</v>
      </c>
      <c r="D34" s="50">
        <f t="shared" si="12"/>
        <v>615</v>
      </c>
      <c r="E34" s="50">
        <f t="shared" si="12"/>
        <v>682</v>
      </c>
      <c r="F34" s="50">
        <f t="shared" si="12"/>
        <v>738</v>
      </c>
      <c r="G34" s="50">
        <f t="shared" si="12"/>
        <v>790</v>
      </c>
      <c r="H34" s="50">
        <f t="shared" si="12"/>
        <v>835</v>
      </c>
    </row>
    <row r="36">
      <c r="A36" s="62" t="s">
        <v>179</v>
      </c>
      <c r="I36" s="48"/>
      <c r="J36" s="63"/>
      <c r="K36" s="63"/>
      <c r="L36" s="63"/>
      <c r="M36" s="63"/>
      <c r="N36" s="63"/>
      <c r="O36" s="63"/>
      <c r="P36" s="63"/>
    </row>
    <row r="37">
      <c r="A37" s="64" t="s">
        <v>175</v>
      </c>
      <c r="B37" s="64">
        <v>2026.0</v>
      </c>
      <c r="C37" s="64">
        <v>2027.0</v>
      </c>
      <c r="D37" s="64">
        <v>2028.0</v>
      </c>
      <c r="E37" s="64">
        <v>2029.0</v>
      </c>
      <c r="F37" s="64">
        <v>2030.0</v>
      </c>
      <c r="G37" s="64">
        <v>2031.0</v>
      </c>
      <c r="H37" s="64">
        <v>2032.0</v>
      </c>
      <c r="I37" s="65"/>
      <c r="J37" s="63"/>
      <c r="K37" s="63"/>
      <c r="L37" s="63"/>
      <c r="M37" s="63"/>
      <c r="N37" s="63"/>
      <c r="O37" s="63"/>
      <c r="P37" s="63"/>
    </row>
    <row r="38">
      <c r="A38" s="16" t="s">
        <v>140</v>
      </c>
      <c r="B38" s="56">
        <f>SUM(J50:J61)</f>
        <v>12236004</v>
      </c>
      <c r="C38" s="56">
        <f>SUM(J62:J73)</f>
        <v>13332732</v>
      </c>
      <c r="D38" s="56">
        <f>SUM(J74:J85)</f>
        <v>15531856</v>
      </c>
      <c r="E38" s="56">
        <f>SUM(J86:J97)</f>
        <v>18331807</v>
      </c>
      <c r="F38" s="56">
        <f>SUM(J98:J109)</f>
        <v>21116646</v>
      </c>
      <c r="G38" s="56">
        <f>SUM(J110:J121)</f>
        <v>23666350</v>
      </c>
      <c r="H38" s="56">
        <f>SUM(J122:J133)</f>
        <v>26068073</v>
      </c>
    </row>
    <row r="39">
      <c r="A39" s="16" t="s">
        <v>145</v>
      </c>
      <c r="B39" s="56">
        <f>SUM(K50:K61)</f>
        <v>5628000</v>
      </c>
      <c r="C39" s="56">
        <f>SUM(K62:K73)</f>
        <v>6134989</v>
      </c>
      <c r="D39" s="56">
        <f>SUM(K74:K85)</f>
        <v>6999042</v>
      </c>
      <c r="E39" s="56">
        <f>SUM(K86:K97)</f>
        <v>8028998</v>
      </c>
      <c r="F39" s="56">
        <f>SUM(K98:K109)</f>
        <v>9026470</v>
      </c>
      <c r="G39" s="56">
        <f>SUM(K110:K121)</f>
        <v>9949702</v>
      </c>
      <c r="H39" s="56">
        <f>SUM(K122:K133)</f>
        <v>10789538</v>
      </c>
    </row>
    <row r="40">
      <c r="A40" s="16" t="s">
        <v>149</v>
      </c>
      <c r="B40" s="56">
        <f>SUM(L50:L61)</f>
        <v>22119996</v>
      </c>
      <c r="C40" s="56">
        <f>SUM(L62:L73)</f>
        <v>24036698</v>
      </c>
      <c r="D40" s="56">
        <f>SUM(L74:L85)</f>
        <v>26635164</v>
      </c>
      <c r="E40" s="56">
        <f>SUM(L86:L97)</f>
        <v>28038504</v>
      </c>
      <c r="F40" s="56">
        <f>SUM(L98:L109)</f>
        <v>28630692</v>
      </c>
      <c r="G40" s="56">
        <f>SUM(L110:L121)</f>
        <v>28976751</v>
      </c>
      <c r="H40" s="56">
        <f>SUM(L122:L133)</f>
        <v>29185742</v>
      </c>
    </row>
    <row r="41">
      <c r="A41" s="16" t="s">
        <v>155</v>
      </c>
      <c r="B41" s="56">
        <f>SUM(M50:M61)</f>
        <v>11900004</v>
      </c>
      <c r="C41" s="56">
        <f>SUM(M62:M73)</f>
        <v>12931135</v>
      </c>
      <c r="D41" s="56">
        <f>SUM(M74:M85)</f>
        <v>14770910</v>
      </c>
      <c r="E41" s="56">
        <f>SUM(M86:M97)</f>
        <v>16579401</v>
      </c>
      <c r="F41" s="56">
        <f>SUM(M98:M109)</f>
        <v>18148268</v>
      </c>
      <c r="G41" s="56">
        <f>SUM(M110:M121)</f>
        <v>19520436</v>
      </c>
      <c r="H41" s="56">
        <f>SUM(M122:M133)</f>
        <v>20958606</v>
      </c>
    </row>
    <row r="42">
      <c r="A42" s="16" t="s">
        <v>158</v>
      </c>
      <c r="B42" s="56">
        <f>SUM(N50:N61)</f>
        <v>9450000</v>
      </c>
      <c r="C42" s="56">
        <f>SUM(N62:N73)</f>
        <v>10562650</v>
      </c>
      <c r="D42" s="56">
        <f>SUM(N74:N85)</f>
        <v>12698975</v>
      </c>
      <c r="E42" s="56">
        <f>SUM(N86:N97)</f>
        <v>15489406</v>
      </c>
      <c r="F42" s="56">
        <f>SUM(N98:N109)</f>
        <v>18928245</v>
      </c>
      <c r="G42" s="56">
        <f>SUM(N110:N121)</f>
        <v>22660910</v>
      </c>
      <c r="H42" s="56">
        <f>SUM(N122:N133)</f>
        <v>26454229</v>
      </c>
    </row>
    <row r="43">
      <c r="A43" s="16" t="s">
        <v>163</v>
      </c>
      <c r="B43" s="56">
        <f>SUM(O50:O61)</f>
        <v>6272004</v>
      </c>
      <c r="C43" s="56">
        <f>SUM(O62:O73)</f>
        <v>6742792</v>
      </c>
      <c r="D43" s="56">
        <f>SUM(O74:O85)</f>
        <v>7444124</v>
      </c>
      <c r="E43" s="56">
        <f>SUM(O86:O97)</f>
        <v>8181465</v>
      </c>
      <c r="F43" s="56">
        <f>SUM(O98:O109)</f>
        <v>8956348</v>
      </c>
      <c r="G43" s="56">
        <f>SUM(O110:O121)</f>
        <v>9770364</v>
      </c>
      <c r="H43" s="56">
        <f>SUM(O122:O133)</f>
        <v>10625154</v>
      </c>
    </row>
    <row r="44">
      <c r="A44" s="16" t="s">
        <v>168</v>
      </c>
      <c r="B44" s="56">
        <f>SUM(P50:P61)</f>
        <v>11760000</v>
      </c>
      <c r="C44" s="56">
        <f>SUM(P62:P73)</f>
        <v>13843200</v>
      </c>
      <c r="D44" s="56">
        <f>SUM(P74:P85)</f>
        <v>17823120</v>
      </c>
      <c r="E44" s="56">
        <f>SUM(P86:P97)</f>
        <v>22182358</v>
      </c>
      <c r="F44" s="56">
        <f>SUM(P98:P109)</f>
        <v>26219854</v>
      </c>
      <c r="G44" s="56">
        <f>SUM(P110:P121)</f>
        <v>30041429</v>
      </c>
      <c r="H44" s="56">
        <f>SUM(P122:P133)</f>
        <v>33717649</v>
      </c>
    </row>
    <row r="45">
      <c r="A45" s="16" t="s">
        <v>171</v>
      </c>
      <c r="B45" s="56">
        <f>SUM(Q50:Q61)</f>
        <v>9240000</v>
      </c>
      <c r="C45" s="56">
        <f>SUM(Q62:Q73)</f>
        <v>10183404</v>
      </c>
      <c r="D45" s="56">
        <f>SUM(Q74:Q85)</f>
        <v>11730583</v>
      </c>
      <c r="E45" s="56">
        <f>SUM(Q86:Q97)</f>
        <v>13428744</v>
      </c>
      <c r="F45" s="56">
        <f>SUM(Q98:Q109)</f>
        <v>15079566</v>
      </c>
      <c r="G45" s="56">
        <f>SUM(Q110:Q121)</f>
        <v>16656682</v>
      </c>
      <c r="H45" s="56">
        <f>SUM(Q122:Q133)</f>
        <v>18259686</v>
      </c>
    </row>
    <row r="46">
      <c r="A46" s="16" t="s">
        <v>185</v>
      </c>
      <c r="B46" s="56">
        <f t="shared" ref="B46:H46" si="13">SUM(B38:B45)</f>
        <v>88606008</v>
      </c>
      <c r="C46" s="56">
        <f t="shared" si="13"/>
        <v>97767600</v>
      </c>
      <c r="D46" s="56">
        <f t="shared" si="13"/>
        <v>113633774</v>
      </c>
      <c r="E46" s="56">
        <f t="shared" si="13"/>
        <v>130260683</v>
      </c>
      <c r="F46" s="56">
        <f t="shared" si="13"/>
        <v>146106089</v>
      </c>
      <c r="G46" s="56">
        <f t="shared" si="13"/>
        <v>161242624</v>
      </c>
      <c r="H46" s="56">
        <f t="shared" si="13"/>
        <v>176058677</v>
      </c>
    </row>
    <row r="48" hidden="1">
      <c r="A48" s="62" t="s">
        <v>186</v>
      </c>
    </row>
    <row r="49" ht="48.0" hidden="1" customHeight="1">
      <c r="A49" s="52" t="s">
        <v>2</v>
      </c>
      <c r="B49" s="52" t="s">
        <v>187</v>
      </c>
      <c r="C49" s="52" t="s">
        <v>188</v>
      </c>
      <c r="D49" s="52" t="s">
        <v>189</v>
      </c>
      <c r="E49" s="52" t="s">
        <v>190</v>
      </c>
      <c r="F49" s="52" t="s">
        <v>191</v>
      </c>
      <c r="G49" s="52" t="s">
        <v>192</v>
      </c>
      <c r="H49" s="52" t="s">
        <v>193</v>
      </c>
      <c r="I49" s="52" t="s">
        <v>194</v>
      </c>
      <c r="J49" s="52" t="s">
        <v>195</v>
      </c>
      <c r="K49" s="52" t="s">
        <v>196</v>
      </c>
      <c r="L49" s="52" t="s">
        <v>197</v>
      </c>
      <c r="M49" s="52" t="s">
        <v>198</v>
      </c>
      <c r="N49" s="52" t="s">
        <v>199</v>
      </c>
      <c r="O49" s="52" t="s">
        <v>200</v>
      </c>
      <c r="P49" s="52" t="s">
        <v>201</v>
      </c>
      <c r="Q49" s="66" t="s">
        <v>202</v>
      </c>
      <c r="R49" s="66" t="s">
        <v>203</v>
      </c>
      <c r="S49" s="66" t="s">
        <v>204</v>
      </c>
      <c r="T49" s="66" t="s">
        <v>205</v>
      </c>
      <c r="U49" s="66" t="s">
        <v>206</v>
      </c>
      <c r="V49" s="66" t="s">
        <v>207</v>
      </c>
      <c r="W49" s="66" t="s">
        <v>208</v>
      </c>
    </row>
    <row r="50" hidden="1">
      <c r="A50" s="67">
        <f>'Monthly Data'!A98</f>
        <v>46023</v>
      </c>
      <c r="B50" s="68">
        <f t="shared" ref="B50:B133" si="15">IF(YEAR($A50)=2026,$C$12,MAX(0,ROUND(INDEX($B$26:$H$26,1,YEAR($A50)-2026)+(INDEX($B$26:$H$26,1,YEAR($A50)-2025)-INDEX($B$26:$H$26,1,YEAR($A50)-2026))*MONTH($A50)/12,0)))</f>
        <v>95</v>
      </c>
      <c r="C50" s="68">
        <f t="shared" ref="C50:C133" si="16">IF(YEAR($A50)=2026,$C$13,MAX(0,ROUND(INDEX($B$27:$H$27,1,YEAR($A50)-2026)+(INDEX($B$27:$H$27,1,YEAR($A50)-2025)-INDEX($B$27:$H$27,1,YEAR($A50)-2026))*MONTH($A50)/12,0)))</f>
        <v>30</v>
      </c>
      <c r="D50" s="68">
        <f t="shared" ref="D50:D133" si="17">IF(YEAR($A50)=2026,$C$14,MAX(0,ROUND(INDEX($B$28:$H$28,1,YEAR($A50)-2026)+(INDEX($B$28:$H$28,1,YEAR($A50)-2025)-INDEX($B$28:$H$28,1,YEAR($A50)-2026))*MONTH($A50)/12,0)))</f>
        <v>100</v>
      </c>
      <c r="E50" s="68">
        <f t="shared" ref="E50:E133" si="18">IF(YEAR($A50)=2026,$C$15,MAX(0,ROUND(INDEX($B$29:$H$29,1,YEAR($A50)-2026)+(INDEX($B$29:$H$29,1,YEAR($A50)-2025)-INDEX($B$29:$H$29,1,YEAR($A50)-2026))*MONTH($A50)/12,0)))</f>
        <v>50</v>
      </c>
      <c r="F50" s="68">
        <f t="shared" ref="F50:F133" si="19">IF(YEAR($A50)=2026,$C$16,MAX(0,ROUND(INDEX($B$30:$H$30,1,YEAR($A50)-2026)+(INDEX($B$30:$H$30,1,YEAR($A50)-2025)-INDEX($B$30:$H$30,1,YEAR($A50)-2026))*MONTH($A50)/12,0)))</f>
        <v>45</v>
      </c>
      <c r="G50" s="68">
        <f t="shared" ref="G50:G133" si="20">IF(YEAR($A50)=2026,$C$17,MAX(0,ROUND(INDEX($B$31:$H$31,1,YEAR($A50)-2026)+(INDEX($B$31:$H$31,1,YEAR($A50)-2025)-INDEX($B$31:$H$31,1,YEAR($A50)-2026))*MONTH($A50)/12,0)))</f>
        <v>40</v>
      </c>
      <c r="H50" s="68">
        <f t="shared" ref="H50:H133" si="21">IF(YEAR($A50)=2026,$C$18,MAX(0,ROUND(INDEX($B$32:$H$32,1,YEAR($A50)-2026)+(INDEX($B$32:$H$32,1,YEAR($A50)-2025)-INDEX($B$32:$H$32,1,YEAR($A50)-2026))*MONTH($A50)/12,0)))</f>
        <v>70</v>
      </c>
      <c r="I50" s="68">
        <f t="shared" ref="I50:I133" si="22">IF(YEAR($A50)=2026,$C$19,MAX(0,ROUND(INDEX($B$33:$H$33,1,YEAR($A50)-2026)+(INDEX($B$33:$H$33,1,YEAR($A50)-2025)-INDEX($B$33:$H$33,1,YEAR($A50)-2026))*MONTH($A50)/12,0)))</f>
        <v>50</v>
      </c>
      <c r="J50" s="68">
        <f t="shared" ref="J50:J133" si="23">ROUND(B50*$D$12*(1+$B$5)*(1+$B$6)^(YEAR($A50)-2026)/12,0)</f>
        <v>1019667</v>
      </c>
      <c r="K50" s="68">
        <f t="shared" ref="K50:K133" si="24">ROUND(C50*$D$13*(1+$B$5)*(1+$B$6)^(YEAR($A50)-2026)/12,0)</f>
        <v>469000</v>
      </c>
      <c r="L50" s="68">
        <f t="shared" ref="L50:L133" si="25">ROUND(D50*$D$14*(1+$B$5)*(1+$B$6)^(YEAR($A50)-2026)/12,0)</f>
        <v>1843333</v>
      </c>
      <c r="M50" s="68">
        <f t="shared" ref="M50:M133" si="26">ROUND(E50*$D$15*(1+$B$5)*(1+$B$6)^(YEAR($A50)-2026)/12,0)</f>
        <v>991667</v>
      </c>
      <c r="N50" s="68">
        <f t="shared" ref="N50:N133" si="27">ROUND(F50*$D$16*(1+$B$5)*(1+$B$6)^(YEAR($A50)-2026)/12,0)</f>
        <v>787500</v>
      </c>
      <c r="O50" s="68">
        <f t="shared" ref="O50:O133" si="28">ROUND(G50*$D$17*(1+$B$5)*(1+$B$6)^(YEAR($A50)-2026)/12,0)</f>
        <v>522667</v>
      </c>
      <c r="P50" s="68">
        <f t="shared" ref="P50:P133" si="29">ROUND(H50*$D$18*(1+$B$5)*(1+$B$6)^(YEAR($A50)-2026)/12,0)</f>
        <v>980000</v>
      </c>
      <c r="Q50" s="68">
        <f t="shared" ref="Q50:Q133" si="30">ROUND(I50*$D$19*(1+$B$5)*(1+$B$6)^(YEAR($A50)-2026)/12,0)</f>
        <v>770000</v>
      </c>
      <c r="R50" s="68">
        <f t="shared" ref="R50:R133" si="31">SUM(J50:Q50)</f>
        <v>7383834</v>
      </c>
      <c r="S50" s="68">
        <f t="shared" ref="S50:S133" si="32">SUM(J50:K50)</f>
        <v>1488667</v>
      </c>
      <c r="T50" s="68">
        <f t="shared" ref="T50:T133" si="33">SUM(L50:M50)</f>
        <v>2835000</v>
      </c>
      <c r="U50" s="68">
        <f t="shared" ref="U50:W50" si="14">N50</f>
        <v>787500</v>
      </c>
      <c r="V50" s="68">
        <f t="shared" si="14"/>
        <v>522667</v>
      </c>
      <c r="W50" s="68">
        <f t="shared" si="14"/>
        <v>980000</v>
      </c>
    </row>
    <row r="51" hidden="1">
      <c r="A51" s="67">
        <f>'Monthly Data'!A99</f>
        <v>46054</v>
      </c>
      <c r="B51" s="68">
        <f t="shared" si="15"/>
        <v>95</v>
      </c>
      <c r="C51" s="68">
        <f t="shared" si="16"/>
        <v>30</v>
      </c>
      <c r="D51" s="68">
        <f t="shared" si="17"/>
        <v>100</v>
      </c>
      <c r="E51" s="68">
        <f t="shared" si="18"/>
        <v>50</v>
      </c>
      <c r="F51" s="68">
        <f t="shared" si="19"/>
        <v>45</v>
      </c>
      <c r="G51" s="68">
        <f t="shared" si="20"/>
        <v>40</v>
      </c>
      <c r="H51" s="68">
        <f t="shared" si="21"/>
        <v>70</v>
      </c>
      <c r="I51" s="68">
        <f t="shared" si="22"/>
        <v>50</v>
      </c>
      <c r="J51" s="68">
        <f t="shared" si="23"/>
        <v>1019667</v>
      </c>
      <c r="K51" s="68">
        <f t="shared" si="24"/>
        <v>469000</v>
      </c>
      <c r="L51" s="68">
        <f t="shared" si="25"/>
        <v>1843333</v>
      </c>
      <c r="M51" s="68">
        <f t="shared" si="26"/>
        <v>991667</v>
      </c>
      <c r="N51" s="68">
        <f t="shared" si="27"/>
        <v>787500</v>
      </c>
      <c r="O51" s="68">
        <f t="shared" si="28"/>
        <v>522667</v>
      </c>
      <c r="P51" s="68">
        <f t="shared" si="29"/>
        <v>980000</v>
      </c>
      <c r="Q51" s="68">
        <f t="shared" si="30"/>
        <v>770000</v>
      </c>
      <c r="R51" s="68">
        <f t="shared" si="31"/>
        <v>7383834</v>
      </c>
      <c r="S51" s="68">
        <f t="shared" si="32"/>
        <v>1488667</v>
      </c>
      <c r="T51" s="68">
        <f t="shared" si="33"/>
        <v>2835000</v>
      </c>
      <c r="U51" s="68">
        <f t="shared" ref="U51:W51" si="34">N51</f>
        <v>787500</v>
      </c>
      <c r="V51" s="68">
        <f t="shared" si="34"/>
        <v>522667</v>
      </c>
      <c r="W51" s="68">
        <f t="shared" si="34"/>
        <v>980000</v>
      </c>
    </row>
    <row r="52" hidden="1">
      <c r="A52" s="67">
        <f>'Monthly Data'!A100</f>
        <v>46082</v>
      </c>
      <c r="B52" s="68">
        <f t="shared" si="15"/>
        <v>95</v>
      </c>
      <c r="C52" s="68">
        <f t="shared" si="16"/>
        <v>30</v>
      </c>
      <c r="D52" s="68">
        <f t="shared" si="17"/>
        <v>100</v>
      </c>
      <c r="E52" s="68">
        <f t="shared" si="18"/>
        <v>50</v>
      </c>
      <c r="F52" s="68">
        <f t="shared" si="19"/>
        <v>45</v>
      </c>
      <c r="G52" s="68">
        <f t="shared" si="20"/>
        <v>40</v>
      </c>
      <c r="H52" s="68">
        <f t="shared" si="21"/>
        <v>70</v>
      </c>
      <c r="I52" s="68">
        <f t="shared" si="22"/>
        <v>50</v>
      </c>
      <c r="J52" s="68">
        <f t="shared" si="23"/>
        <v>1019667</v>
      </c>
      <c r="K52" s="68">
        <f t="shared" si="24"/>
        <v>469000</v>
      </c>
      <c r="L52" s="68">
        <f t="shared" si="25"/>
        <v>1843333</v>
      </c>
      <c r="M52" s="68">
        <f t="shared" si="26"/>
        <v>991667</v>
      </c>
      <c r="N52" s="68">
        <f t="shared" si="27"/>
        <v>787500</v>
      </c>
      <c r="O52" s="68">
        <f t="shared" si="28"/>
        <v>522667</v>
      </c>
      <c r="P52" s="68">
        <f t="shared" si="29"/>
        <v>980000</v>
      </c>
      <c r="Q52" s="68">
        <f t="shared" si="30"/>
        <v>770000</v>
      </c>
      <c r="R52" s="68">
        <f t="shared" si="31"/>
        <v>7383834</v>
      </c>
      <c r="S52" s="68">
        <f t="shared" si="32"/>
        <v>1488667</v>
      </c>
      <c r="T52" s="68">
        <f t="shared" si="33"/>
        <v>2835000</v>
      </c>
      <c r="U52" s="68">
        <f t="shared" ref="U52:W52" si="35">N52</f>
        <v>787500</v>
      </c>
      <c r="V52" s="68">
        <f t="shared" si="35"/>
        <v>522667</v>
      </c>
      <c r="W52" s="68">
        <f t="shared" si="35"/>
        <v>980000</v>
      </c>
    </row>
    <row r="53" hidden="1">
      <c r="A53" s="67">
        <f>'Monthly Data'!A101</f>
        <v>46113</v>
      </c>
      <c r="B53" s="68">
        <f t="shared" si="15"/>
        <v>95</v>
      </c>
      <c r="C53" s="68">
        <f t="shared" si="16"/>
        <v>30</v>
      </c>
      <c r="D53" s="68">
        <f t="shared" si="17"/>
        <v>100</v>
      </c>
      <c r="E53" s="68">
        <f t="shared" si="18"/>
        <v>50</v>
      </c>
      <c r="F53" s="68">
        <f t="shared" si="19"/>
        <v>45</v>
      </c>
      <c r="G53" s="68">
        <f t="shared" si="20"/>
        <v>40</v>
      </c>
      <c r="H53" s="68">
        <f t="shared" si="21"/>
        <v>70</v>
      </c>
      <c r="I53" s="68">
        <f t="shared" si="22"/>
        <v>50</v>
      </c>
      <c r="J53" s="68">
        <f t="shared" si="23"/>
        <v>1019667</v>
      </c>
      <c r="K53" s="68">
        <f t="shared" si="24"/>
        <v>469000</v>
      </c>
      <c r="L53" s="68">
        <f t="shared" si="25"/>
        <v>1843333</v>
      </c>
      <c r="M53" s="68">
        <f t="shared" si="26"/>
        <v>991667</v>
      </c>
      <c r="N53" s="68">
        <f t="shared" si="27"/>
        <v>787500</v>
      </c>
      <c r="O53" s="68">
        <f t="shared" si="28"/>
        <v>522667</v>
      </c>
      <c r="P53" s="68">
        <f t="shared" si="29"/>
        <v>980000</v>
      </c>
      <c r="Q53" s="68">
        <f t="shared" si="30"/>
        <v>770000</v>
      </c>
      <c r="R53" s="68">
        <f t="shared" si="31"/>
        <v>7383834</v>
      </c>
      <c r="S53" s="68">
        <f t="shared" si="32"/>
        <v>1488667</v>
      </c>
      <c r="T53" s="68">
        <f t="shared" si="33"/>
        <v>2835000</v>
      </c>
      <c r="U53" s="68">
        <f t="shared" ref="U53:W53" si="36">N53</f>
        <v>787500</v>
      </c>
      <c r="V53" s="68">
        <f t="shared" si="36"/>
        <v>522667</v>
      </c>
      <c r="W53" s="68">
        <f t="shared" si="36"/>
        <v>980000</v>
      </c>
    </row>
    <row r="54" hidden="1">
      <c r="A54" s="67">
        <f>'Monthly Data'!A102</f>
        <v>46143</v>
      </c>
      <c r="B54" s="68">
        <f t="shared" si="15"/>
        <v>95</v>
      </c>
      <c r="C54" s="68">
        <f t="shared" si="16"/>
        <v>30</v>
      </c>
      <c r="D54" s="68">
        <f t="shared" si="17"/>
        <v>100</v>
      </c>
      <c r="E54" s="68">
        <f t="shared" si="18"/>
        <v>50</v>
      </c>
      <c r="F54" s="68">
        <f t="shared" si="19"/>
        <v>45</v>
      </c>
      <c r="G54" s="68">
        <f t="shared" si="20"/>
        <v>40</v>
      </c>
      <c r="H54" s="68">
        <f t="shared" si="21"/>
        <v>70</v>
      </c>
      <c r="I54" s="68">
        <f t="shared" si="22"/>
        <v>50</v>
      </c>
      <c r="J54" s="68">
        <f t="shared" si="23"/>
        <v>1019667</v>
      </c>
      <c r="K54" s="68">
        <f t="shared" si="24"/>
        <v>469000</v>
      </c>
      <c r="L54" s="68">
        <f t="shared" si="25"/>
        <v>1843333</v>
      </c>
      <c r="M54" s="68">
        <f t="shared" si="26"/>
        <v>991667</v>
      </c>
      <c r="N54" s="68">
        <f t="shared" si="27"/>
        <v>787500</v>
      </c>
      <c r="O54" s="68">
        <f t="shared" si="28"/>
        <v>522667</v>
      </c>
      <c r="P54" s="68">
        <f t="shared" si="29"/>
        <v>980000</v>
      </c>
      <c r="Q54" s="68">
        <f t="shared" si="30"/>
        <v>770000</v>
      </c>
      <c r="R54" s="68">
        <f t="shared" si="31"/>
        <v>7383834</v>
      </c>
      <c r="S54" s="68">
        <f t="shared" si="32"/>
        <v>1488667</v>
      </c>
      <c r="T54" s="68">
        <f t="shared" si="33"/>
        <v>2835000</v>
      </c>
      <c r="U54" s="68">
        <f t="shared" ref="U54:W54" si="37">N54</f>
        <v>787500</v>
      </c>
      <c r="V54" s="68">
        <f t="shared" si="37"/>
        <v>522667</v>
      </c>
      <c r="W54" s="68">
        <f t="shared" si="37"/>
        <v>980000</v>
      </c>
    </row>
    <row r="55" hidden="1">
      <c r="A55" s="67">
        <f>'Monthly Data'!A103</f>
        <v>46174</v>
      </c>
      <c r="B55" s="68">
        <f t="shared" si="15"/>
        <v>95</v>
      </c>
      <c r="C55" s="68">
        <f t="shared" si="16"/>
        <v>30</v>
      </c>
      <c r="D55" s="68">
        <f t="shared" si="17"/>
        <v>100</v>
      </c>
      <c r="E55" s="68">
        <f t="shared" si="18"/>
        <v>50</v>
      </c>
      <c r="F55" s="68">
        <f t="shared" si="19"/>
        <v>45</v>
      </c>
      <c r="G55" s="68">
        <f t="shared" si="20"/>
        <v>40</v>
      </c>
      <c r="H55" s="68">
        <f t="shared" si="21"/>
        <v>70</v>
      </c>
      <c r="I55" s="68">
        <f t="shared" si="22"/>
        <v>50</v>
      </c>
      <c r="J55" s="68">
        <f t="shared" si="23"/>
        <v>1019667</v>
      </c>
      <c r="K55" s="68">
        <f t="shared" si="24"/>
        <v>469000</v>
      </c>
      <c r="L55" s="68">
        <f t="shared" si="25"/>
        <v>1843333</v>
      </c>
      <c r="M55" s="68">
        <f t="shared" si="26"/>
        <v>991667</v>
      </c>
      <c r="N55" s="68">
        <f t="shared" si="27"/>
        <v>787500</v>
      </c>
      <c r="O55" s="68">
        <f t="shared" si="28"/>
        <v>522667</v>
      </c>
      <c r="P55" s="68">
        <f t="shared" si="29"/>
        <v>980000</v>
      </c>
      <c r="Q55" s="68">
        <f t="shared" si="30"/>
        <v>770000</v>
      </c>
      <c r="R55" s="68">
        <f t="shared" si="31"/>
        <v>7383834</v>
      </c>
      <c r="S55" s="68">
        <f t="shared" si="32"/>
        <v>1488667</v>
      </c>
      <c r="T55" s="68">
        <f t="shared" si="33"/>
        <v>2835000</v>
      </c>
      <c r="U55" s="68">
        <f t="shared" ref="U55:W55" si="38">N55</f>
        <v>787500</v>
      </c>
      <c r="V55" s="68">
        <f t="shared" si="38"/>
        <v>522667</v>
      </c>
      <c r="W55" s="68">
        <f t="shared" si="38"/>
        <v>980000</v>
      </c>
    </row>
    <row r="56" hidden="1">
      <c r="A56" s="67">
        <f>'Monthly Data'!A104</f>
        <v>46204</v>
      </c>
      <c r="B56" s="68">
        <f t="shared" si="15"/>
        <v>95</v>
      </c>
      <c r="C56" s="68">
        <f t="shared" si="16"/>
        <v>30</v>
      </c>
      <c r="D56" s="68">
        <f t="shared" si="17"/>
        <v>100</v>
      </c>
      <c r="E56" s="68">
        <f t="shared" si="18"/>
        <v>50</v>
      </c>
      <c r="F56" s="68">
        <f t="shared" si="19"/>
        <v>45</v>
      </c>
      <c r="G56" s="68">
        <f t="shared" si="20"/>
        <v>40</v>
      </c>
      <c r="H56" s="68">
        <f t="shared" si="21"/>
        <v>70</v>
      </c>
      <c r="I56" s="68">
        <f t="shared" si="22"/>
        <v>50</v>
      </c>
      <c r="J56" s="68">
        <f t="shared" si="23"/>
        <v>1019667</v>
      </c>
      <c r="K56" s="68">
        <f t="shared" si="24"/>
        <v>469000</v>
      </c>
      <c r="L56" s="68">
        <f t="shared" si="25"/>
        <v>1843333</v>
      </c>
      <c r="M56" s="68">
        <f t="shared" si="26"/>
        <v>991667</v>
      </c>
      <c r="N56" s="68">
        <f t="shared" si="27"/>
        <v>787500</v>
      </c>
      <c r="O56" s="68">
        <f t="shared" si="28"/>
        <v>522667</v>
      </c>
      <c r="P56" s="68">
        <f t="shared" si="29"/>
        <v>980000</v>
      </c>
      <c r="Q56" s="68">
        <f t="shared" si="30"/>
        <v>770000</v>
      </c>
      <c r="R56" s="68">
        <f t="shared" si="31"/>
        <v>7383834</v>
      </c>
      <c r="S56" s="68">
        <f t="shared" si="32"/>
        <v>1488667</v>
      </c>
      <c r="T56" s="68">
        <f t="shared" si="33"/>
        <v>2835000</v>
      </c>
      <c r="U56" s="68">
        <f t="shared" ref="U56:W56" si="39">N56</f>
        <v>787500</v>
      </c>
      <c r="V56" s="68">
        <f t="shared" si="39"/>
        <v>522667</v>
      </c>
      <c r="W56" s="68">
        <f t="shared" si="39"/>
        <v>980000</v>
      </c>
    </row>
    <row r="57" hidden="1">
      <c r="A57" s="67">
        <f>'Monthly Data'!A105</f>
        <v>46235</v>
      </c>
      <c r="B57" s="68">
        <f t="shared" si="15"/>
        <v>95</v>
      </c>
      <c r="C57" s="68">
        <f t="shared" si="16"/>
        <v>30</v>
      </c>
      <c r="D57" s="68">
        <f t="shared" si="17"/>
        <v>100</v>
      </c>
      <c r="E57" s="68">
        <f t="shared" si="18"/>
        <v>50</v>
      </c>
      <c r="F57" s="68">
        <f t="shared" si="19"/>
        <v>45</v>
      </c>
      <c r="G57" s="68">
        <f t="shared" si="20"/>
        <v>40</v>
      </c>
      <c r="H57" s="68">
        <f t="shared" si="21"/>
        <v>70</v>
      </c>
      <c r="I57" s="68">
        <f t="shared" si="22"/>
        <v>50</v>
      </c>
      <c r="J57" s="68">
        <f t="shared" si="23"/>
        <v>1019667</v>
      </c>
      <c r="K57" s="68">
        <f t="shared" si="24"/>
        <v>469000</v>
      </c>
      <c r="L57" s="68">
        <f t="shared" si="25"/>
        <v>1843333</v>
      </c>
      <c r="M57" s="68">
        <f t="shared" si="26"/>
        <v>991667</v>
      </c>
      <c r="N57" s="68">
        <f t="shared" si="27"/>
        <v>787500</v>
      </c>
      <c r="O57" s="68">
        <f t="shared" si="28"/>
        <v>522667</v>
      </c>
      <c r="P57" s="68">
        <f t="shared" si="29"/>
        <v>980000</v>
      </c>
      <c r="Q57" s="68">
        <f t="shared" si="30"/>
        <v>770000</v>
      </c>
      <c r="R57" s="68">
        <f t="shared" si="31"/>
        <v>7383834</v>
      </c>
      <c r="S57" s="68">
        <f t="shared" si="32"/>
        <v>1488667</v>
      </c>
      <c r="T57" s="68">
        <f t="shared" si="33"/>
        <v>2835000</v>
      </c>
      <c r="U57" s="68">
        <f t="shared" ref="U57:W57" si="40">N57</f>
        <v>787500</v>
      </c>
      <c r="V57" s="68">
        <f t="shared" si="40"/>
        <v>522667</v>
      </c>
      <c r="W57" s="68">
        <f t="shared" si="40"/>
        <v>980000</v>
      </c>
    </row>
    <row r="58" hidden="1">
      <c r="A58" s="67">
        <f>'Monthly Data'!A106</f>
        <v>46266</v>
      </c>
      <c r="B58" s="68">
        <f t="shared" si="15"/>
        <v>95</v>
      </c>
      <c r="C58" s="68">
        <f t="shared" si="16"/>
        <v>30</v>
      </c>
      <c r="D58" s="68">
        <f t="shared" si="17"/>
        <v>100</v>
      </c>
      <c r="E58" s="68">
        <f t="shared" si="18"/>
        <v>50</v>
      </c>
      <c r="F58" s="68">
        <f t="shared" si="19"/>
        <v>45</v>
      </c>
      <c r="G58" s="68">
        <f t="shared" si="20"/>
        <v>40</v>
      </c>
      <c r="H58" s="68">
        <f t="shared" si="21"/>
        <v>70</v>
      </c>
      <c r="I58" s="68">
        <f t="shared" si="22"/>
        <v>50</v>
      </c>
      <c r="J58" s="68">
        <f t="shared" si="23"/>
        <v>1019667</v>
      </c>
      <c r="K58" s="68">
        <f t="shared" si="24"/>
        <v>469000</v>
      </c>
      <c r="L58" s="68">
        <f t="shared" si="25"/>
        <v>1843333</v>
      </c>
      <c r="M58" s="68">
        <f t="shared" si="26"/>
        <v>991667</v>
      </c>
      <c r="N58" s="68">
        <f t="shared" si="27"/>
        <v>787500</v>
      </c>
      <c r="O58" s="68">
        <f t="shared" si="28"/>
        <v>522667</v>
      </c>
      <c r="P58" s="68">
        <f t="shared" si="29"/>
        <v>980000</v>
      </c>
      <c r="Q58" s="68">
        <f t="shared" si="30"/>
        <v>770000</v>
      </c>
      <c r="R58" s="68">
        <f t="shared" si="31"/>
        <v>7383834</v>
      </c>
      <c r="S58" s="68">
        <f t="shared" si="32"/>
        <v>1488667</v>
      </c>
      <c r="T58" s="68">
        <f t="shared" si="33"/>
        <v>2835000</v>
      </c>
      <c r="U58" s="68">
        <f t="shared" ref="U58:W58" si="41">N58</f>
        <v>787500</v>
      </c>
      <c r="V58" s="68">
        <f t="shared" si="41"/>
        <v>522667</v>
      </c>
      <c r="W58" s="68">
        <f t="shared" si="41"/>
        <v>980000</v>
      </c>
    </row>
    <row r="59" hidden="1">
      <c r="A59" s="67">
        <f>'Monthly Data'!A107</f>
        <v>46296</v>
      </c>
      <c r="B59" s="68">
        <f t="shared" si="15"/>
        <v>95</v>
      </c>
      <c r="C59" s="68">
        <f t="shared" si="16"/>
        <v>30</v>
      </c>
      <c r="D59" s="68">
        <f t="shared" si="17"/>
        <v>100</v>
      </c>
      <c r="E59" s="68">
        <f t="shared" si="18"/>
        <v>50</v>
      </c>
      <c r="F59" s="68">
        <f t="shared" si="19"/>
        <v>45</v>
      </c>
      <c r="G59" s="68">
        <f t="shared" si="20"/>
        <v>40</v>
      </c>
      <c r="H59" s="68">
        <f t="shared" si="21"/>
        <v>70</v>
      </c>
      <c r="I59" s="68">
        <f t="shared" si="22"/>
        <v>50</v>
      </c>
      <c r="J59" s="68">
        <f t="shared" si="23"/>
        <v>1019667</v>
      </c>
      <c r="K59" s="68">
        <f t="shared" si="24"/>
        <v>469000</v>
      </c>
      <c r="L59" s="68">
        <f t="shared" si="25"/>
        <v>1843333</v>
      </c>
      <c r="M59" s="68">
        <f t="shared" si="26"/>
        <v>991667</v>
      </c>
      <c r="N59" s="68">
        <f t="shared" si="27"/>
        <v>787500</v>
      </c>
      <c r="O59" s="68">
        <f t="shared" si="28"/>
        <v>522667</v>
      </c>
      <c r="P59" s="68">
        <f t="shared" si="29"/>
        <v>980000</v>
      </c>
      <c r="Q59" s="68">
        <f t="shared" si="30"/>
        <v>770000</v>
      </c>
      <c r="R59" s="68">
        <f t="shared" si="31"/>
        <v>7383834</v>
      </c>
      <c r="S59" s="68">
        <f t="shared" si="32"/>
        <v>1488667</v>
      </c>
      <c r="T59" s="68">
        <f t="shared" si="33"/>
        <v>2835000</v>
      </c>
      <c r="U59" s="68">
        <f t="shared" ref="U59:W59" si="42">N59</f>
        <v>787500</v>
      </c>
      <c r="V59" s="68">
        <f t="shared" si="42"/>
        <v>522667</v>
      </c>
      <c r="W59" s="68">
        <f t="shared" si="42"/>
        <v>980000</v>
      </c>
    </row>
    <row r="60" hidden="1">
      <c r="A60" s="67">
        <f>'Monthly Data'!A108</f>
        <v>46327</v>
      </c>
      <c r="B60" s="68">
        <f t="shared" si="15"/>
        <v>95</v>
      </c>
      <c r="C60" s="68">
        <f t="shared" si="16"/>
        <v>30</v>
      </c>
      <c r="D60" s="68">
        <f t="shared" si="17"/>
        <v>100</v>
      </c>
      <c r="E60" s="68">
        <f t="shared" si="18"/>
        <v>50</v>
      </c>
      <c r="F60" s="68">
        <f t="shared" si="19"/>
        <v>45</v>
      </c>
      <c r="G60" s="68">
        <f t="shared" si="20"/>
        <v>40</v>
      </c>
      <c r="H60" s="68">
        <f t="shared" si="21"/>
        <v>70</v>
      </c>
      <c r="I60" s="68">
        <f t="shared" si="22"/>
        <v>50</v>
      </c>
      <c r="J60" s="68">
        <f t="shared" si="23"/>
        <v>1019667</v>
      </c>
      <c r="K60" s="68">
        <f t="shared" si="24"/>
        <v>469000</v>
      </c>
      <c r="L60" s="68">
        <f t="shared" si="25"/>
        <v>1843333</v>
      </c>
      <c r="M60" s="68">
        <f t="shared" si="26"/>
        <v>991667</v>
      </c>
      <c r="N60" s="68">
        <f t="shared" si="27"/>
        <v>787500</v>
      </c>
      <c r="O60" s="68">
        <f t="shared" si="28"/>
        <v>522667</v>
      </c>
      <c r="P60" s="68">
        <f t="shared" si="29"/>
        <v>980000</v>
      </c>
      <c r="Q60" s="68">
        <f t="shared" si="30"/>
        <v>770000</v>
      </c>
      <c r="R60" s="68">
        <f t="shared" si="31"/>
        <v>7383834</v>
      </c>
      <c r="S60" s="68">
        <f t="shared" si="32"/>
        <v>1488667</v>
      </c>
      <c r="T60" s="68">
        <f t="shared" si="33"/>
        <v>2835000</v>
      </c>
      <c r="U60" s="68">
        <f t="shared" ref="U60:W60" si="43">N60</f>
        <v>787500</v>
      </c>
      <c r="V60" s="68">
        <f t="shared" si="43"/>
        <v>522667</v>
      </c>
      <c r="W60" s="68">
        <f t="shared" si="43"/>
        <v>980000</v>
      </c>
    </row>
    <row r="61" hidden="1">
      <c r="A61" s="67">
        <f>'Monthly Data'!A109</f>
        <v>46357</v>
      </c>
      <c r="B61" s="68">
        <f t="shared" si="15"/>
        <v>95</v>
      </c>
      <c r="C61" s="68">
        <f t="shared" si="16"/>
        <v>30</v>
      </c>
      <c r="D61" s="68">
        <f t="shared" si="17"/>
        <v>100</v>
      </c>
      <c r="E61" s="68">
        <f t="shared" si="18"/>
        <v>50</v>
      </c>
      <c r="F61" s="68">
        <f t="shared" si="19"/>
        <v>45</v>
      </c>
      <c r="G61" s="68">
        <f t="shared" si="20"/>
        <v>40</v>
      </c>
      <c r="H61" s="68">
        <f t="shared" si="21"/>
        <v>70</v>
      </c>
      <c r="I61" s="68">
        <f t="shared" si="22"/>
        <v>50</v>
      </c>
      <c r="J61" s="68">
        <f t="shared" si="23"/>
        <v>1019667</v>
      </c>
      <c r="K61" s="68">
        <f t="shared" si="24"/>
        <v>469000</v>
      </c>
      <c r="L61" s="68">
        <f t="shared" si="25"/>
        <v>1843333</v>
      </c>
      <c r="M61" s="68">
        <f t="shared" si="26"/>
        <v>991667</v>
      </c>
      <c r="N61" s="68">
        <f t="shared" si="27"/>
        <v>787500</v>
      </c>
      <c r="O61" s="68">
        <f t="shared" si="28"/>
        <v>522667</v>
      </c>
      <c r="P61" s="68">
        <f t="shared" si="29"/>
        <v>980000</v>
      </c>
      <c r="Q61" s="68">
        <f t="shared" si="30"/>
        <v>770000</v>
      </c>
      <c r="R61" s="68">
        <f t="shared" si="31"/>
        <v>7383834</v>
      </c>
      <c r="S61" s="68">
        <f t="shared" si="32"/>
        <v>1488667</v>
      </c>
      <c r="T61" s="68">
        <f t="shared" si="33"/>
        <v>2835000</v>
      </c>
      <c r="U61" s="68">
        <f t="shared" ref="U61:W61" si="44">N61</f>
        <v>787500</v>
      </c>
      <c r="V61" s="68">
        <f t="shared" si="44"/>
        <v>522667</v>
      </c>
      <c r="W61" s="68">
        <f t="shared" si="44"/>
        <v>980000</v>
      </c>
    </row>
    <row r="62" hidden="1">
      <c r="A62" s="67">
        <f>'Monthly Data'!A110</f>
        <v>46388</v>
      </c>
      <c r="B62" s="68">
        <f t="shared" si="15"/>
        <v>96</v>
      </c>
      <c r="C62" s="68">
        <f t="shared" si="16"/>
        <v>30</v>
      </c>
      <c r="D62" s="68">
        <f t="shared" si="17"/>
        <v>101</v>
      </c>
      <c r="E62" s="68">
        <f t="shared" si="18"/>
        <v>50</v>
      </c>
      <c r="F62" s="68">
        <f t="shared" si="19"/>
        <v>46</v>
      </c>
      <c r="G62" s="68">
        <f t="shared" si="20"/>
        <v>40</v>
      </c>
      <c r="H62" s="68">
        <f t="shared" si="21"/>
        <v>72</v>
      </c>
      <c r="I62" s="68">
        <f t="shared" si="22"/>
        <v>51</v>
      </c>
      <c r="J62" s="68">
        <f t="shared" si="23"/>
        <v>1061312</v>
      </c>
      <c r="K62" s="68">
        <f t="shared" si="24"/>
        <v>483070</v>
      </c>
      <c r="L62" s="68">
        <f t="shared" si="25"/>
        <v>1917620</v>
      </c>
      <c r="M62" s="68">
        <f t="shared" si="26"/>
        <v>1021417</v>
      </c>
      <c r="N62" s="68">
        <f t="shared" si="27"/>
        <v>829150</v>
      </c>
      <c r="O62" s="68">
        <f t="shared" si="28"/>
        <v>538347</v>
      </c>
      <c r="P62" s="68">
        <f t="shared" si="29"/>
        <v>1038240</v>
      </c>
      <c r="Q62" s="68">
        <f t="shared" si="30"/>
        <v>808962</v>
      </c>
      <c r="R62" s="68">
        <f t="shared" si="31"/>
        <v>7698118</v>
      </c>
      <c r="S62" s="68">
        <f t="shared" si="32"/>
        <v>1544382</v>
      </c>
      <c r="T62" s="68">
        <f t="shared" si="33"/>
        <v>2939037</v>
      </c>
      <c r="U62" s="68">
        <f t="shared" ref="U62:W62" si="45">N62</f>
        <v>829150</v>
      </c>
      <c r="V62" s="68">
        <f t="shared" si="45"/>
        <v>538347</v>
      </c>
      <c r="W62" s="68">
        <f t="shared" si="45"/>
        <v>1038240</v>
      </c>
    </row>
    <row r="63" hidden="1">
      <c r="A63" s="67">
        <f>'Monthly Data'!A111</f>
        <v>46419</v>
      </c>
      <c r="B63" s="68">
        <f t="shared" si="15"/>
        <v>97</v>
      </c>
      <c r="C63" s="68">
        <f t="shared" si="16"/>
        <v>31</v>
      </c>
      <c r="D63" s="68">
        <f t="shared" si="17"/>
        <v>102</v>
      </c>
      <c r="E63" s="68">
        <f t="shared" si="18"/>
        <v>51</v>
      </c>
      <c r="F63" s="68">
        <f t="shared" si="19"/>
        <v>46</v>
      </c>
      <c r="G63" s="68">
        <f t="shared" si="20"/>
        <v>41</v>
      </c>
      <c r="H63" s="68">
        <f t="shared" si="21"/>
        <v>73</v>
      </c>
      <c r="I63" s="68">
        <f t="shared" si="22"/>
        <v>51</v>
      </c>
      <c r="J63" s="68">
        <f t="shared" si="23"/>
        <v>1072367</v>
      </c>
      <c r="K63" s="68">
        <f t="shared" si="24"/>
        <v>499172</v>
      </c>
      <c r="L63" s="68">
        <f t="shared" si="25"/>
        <v>1936606</v>
      </c>
      <c r="M63" s="68">
        <f t="shared" si="26"/>
        <v>1041845</v>
      </c>
      <c r="N63" s="68">
        <f t="shared" si="27"/>
        <v>829150</v>
      </c>
      <c r="O63" s="68">
        <f t="shared" si="28"/>
        <v>551805</v>
      </c>
      <c r="P63" s="68">
        <f t="shared" si="29"/>
        <v>1052660</v>
      </c>
      <c r="Q63" s="68">
        <f t="shared" si="30"/>
        <v>808962</v>
      </c>
      <c r="R63" s="68">
        <f t="shared" si="31"/>
        <v>7792567</v>
      </c>
      <c r="S63" s="68">
        <f t="shared" si="32"/>
        <v>1571539</v>
      </c>
      <c r="T63" s="68">
        <f t="shared" si="33"/>
        <v>2978451</v>
      </c>
      <c r="U63" s="68">
        <f t="shared" ref="U63:W63" si="46">N63</f>
        <v>829150</v>
      </c>
      <c r="V63" s="68">
        <f t="shared" si="46"/>
        <v>551805</v>
      </c>
      <c r="W63" s="68">
        <f t="shared" si="46"/>
        <v>1052660</v>
      </c>
    </row>
    <row r="64" hidden="1">
      <c r="A64" s="67">
        <f>'Monthly Data'!A112</f>
        <v>46447</v>
      </c>
      <c r="B64" s="68">
        <f t="shared" si="15"/>
        <v>98</v>
      </c>
      <c r="C64" s="68">
        <f t="shared" si="16"/>
        <v>31</v>
      </c>
      <c r="D64" s="68">
        <f t="shared" si="17"/>
        <v>103</v>
      </c>
      <c r="E64" s="68">
        <f t="shared" si="18"/>
        <v>51</v>
      </c>
      <c r="F64" s="68">
        <f t="shared" si="19"/>
        <v>47</v>
      </c>
      <c r="G64" s="68">
        <f t="shared" si="20"/>
        <v>41</v>
      </c>
      <c r="H64" s="68">
        <f t="shared" si="21"/>
        <v>75</v>
      </c>
      <c r="I64" s="68">
        <f t="shared" si="22"/>
        <v>52</v>
      </c>
      <c r="J64" s="68">
        <f t="shared" si="23"/>
        <v>1083423</v>
      </c>
      <c r="K64" s="68">
        <f t="shared" si="24"/>
        <v>499172</v>
      </c>
      <c r="L64" s="68">
        <f t="shared" si="25"/>
        <v>1955592</v>
      </c>
      <c r="M64" s="68">
        <f t="shared" si="26"/>
        <v>1041845</v>
      </c>
      <c r="N64" s="68">
        <f t="shared" si="27"/>
        <v>847175</v>
      </c>
      <c r="O64" s="68">
        <f t="shared" si="28"/>
        <v>551805</v>
      </c>
      <c r="P64" s="68">
        <f t="shared" si="29"/>
        <v>1081500</v>
      </c>
      <c r="Q64" s="68">
        <f t="shared" si="30"/>
        <v>824824</v>
      </c>
      <c r="R64" s="68">
        <f t="shared" si="31"/>
        <v>7885336</v>
      </c>
      <c r="S64" s="68">
        <f t="shared" si="32"/>
        <v>1582595</v>
      </c>
      <c r="T64" s="68">
        <f t="shared" si="33"/>
        <v>2997437</v>
      </c>
      <c r="U64" s="68">
        <f t="shared" ref="U64:W64" si="47">N64</f>
        <v>847175</v>
      </c>
      <c r="V64" s="68">
        <f t="shared" si="47"/>
        <v>551805</v>
      </c>
      <c r="W64" s="68">
        <f t="shared" si="47"/>
        <v>1081500</v>
      </c>
    </row>
    <row r="65" hidden="1">
      <c r="A65" s="67">
        <f>'Monthly Data'!A113</f>
        <v>46478</v>
      </c>
      <c r="B65" s="68">
        <f t="shared" si="15"/>
        <v>98</v>
      </c>
      <c r="C65" s="68">
        <f t="shared" si="16"/>
        <v>31</v>
      </c>
      <c r="D65" s="68">
        <f t="shared" si="17"/>
        <v>103</v>
      </c>
      <c r="E65" s="68">
        <f t="shared" si="18"/>
        <v>52</v>
      </c>
      <c r="F65" s="68">
        <f t="shared" si="19"/>
        <v>47</v>
      </c>
      <c r="G65" s="68">
        <f t="shared" si="20"/>
        <v>41</v>
      </c>
      <c r="H65" s="68">
        <f t="shared" si="21"/>
        <v>76</v>
      </c>
      <c r="I65" s="68">
        <f t="shared" si="22"/>
        <v>52</v>
      </c>
      <c r="J65" s="68">
        <f t="shared" si="23"/>
        <v>1083423</v>
      </c>
      <c r="K65" s="68">
        <f t="shared" si="24"/>
        <v>499172</v>
      </c>
      <c r="L65" s="68">
        <f t="shared" si="25"/>
        <v>1955592</v>
      </c>
      <c r="M65" s="68">
        <f t="shared" si="26"/>
        <v>1062273</v>
      </c>
      <c r="N65" s="68">
        <f t="shared" si="27"/>
        <v>847175</v>
      </c>
      <c r="O65" s="68">
        <f t="shared" si="28"/>
        <v>551805</v>
      </c>
      <c r="P65" s="68">
        <f t="shared" si="29"/>
        <v>1095920</v>
      </c>
      <c r="Q65" s="68">
        <f t="shared" si="30"/>
        <v>824824</v>
      </c>
      <c r="R65" s="68">
        <f t="shared" si="31"/>
        <v>7920184</v>
      </c>
      <c r="S65" s="68">
        <f t="shared" si="32"/>
        <v>1582595</v>
      </c>
      <c r="T65" s="68">
        <f t="shared" si="33"/>
        <v>3017865</v>
      </c>
      <c r="U65" s="68">
        <f t="shared" ref="U65:W65" si="48">N65</f>
        <v>847175</v>
      </c>
      <c r="V65" s="68">
        <f t="shared" si="48"/>
        <v>551805</v>
      </c>
      <c r="W65" s="68">
        <f t="shared" si="48"/>
        <v>1095920</v>
      </c>
    </row>
    <row r="66" hidden="1">
      <c r="A66" s="67">
        <f>'Monthly Data'!A114</f>
        <v>46508</v>
      </c>
      <c r="B66" s="68">
        <f t="shared" si="15"/>
        <v>99</v>
      </c>
      <c r="C66" s="68">
        <f t="shared" si="16"/>
        <v>31</v>
      </c>
      <c r="D66" s="68">
        <f t="shared" si="17"/>
        <v>104</v>
      </c>
      <c r="E66" s="68">
        <f t="shared" si="18"/>
        <v>52</v>
      </c>
      <c r="F66" s="68">
        <f t="shared" si="19"/>
        <v>48</v>
      </c>
      <c r="G66" s="68">
        <f t="shared" si="20"/>
        <v>41</v>
      </c>
      <c r="H66" s="68">
        <f t="shared" si="21"/>
        <v>78</v>
      </c>
      <c r="I66" s="68">
        <f t="shared" si="22"/>
        <v>53</v>
      </c>
      <c r="J66" s="68">
        <f t="shared" si="23"/>
        <v>1094478</v>
      </c>
      <c r="K66" s="68">
        <f t="shared" si="24"/>
        <v>499172</v>
      </c>
      <c r="L66" s="68">
        <f t="shared" si="25"/>
        <v>1974579</v>
      </c>
      <c r="M66" s="68">
        <f t="shared" si="26"/>
        <v>1062273</v>
      </c>
      <c r="N66" s="68">
        <f t="shared" si="27"/>
        <v>865200</v>
      </c>
      <c r="O66" s="68">
        <f t="shared" si="28"/>
        <v>551805</v>
      </c>
      <c r="P66" s="68">
        <f t="shared" si="29"/>
        <v>1124760</v>
      </c>
      <c r="Q66" s="68">
        <f t="shared" si="30"/>
        <v>840686</v>
      </c>
      <c r="R66" s="68">
        <f t="shared" si="31"/>
        <v>8012953</v>
      </c>
      <c r="S66" s="68">
        <f t="shared" si="32"/>
        <v>1593650</v>
      </c>
      <c r="T66" s="68">
        <f t="shared" si="33"/>
        <v>3036852</v>
      </c>
      <c r="U66" s="68">
        <f t="shared" ref="U66:W66" si="49">N66</f>
        <v>865200</v>
      </c>
      <c r="V66" s="68">
        <f t="shared" si="49"/>
        <v>551805</v>
      </c>
      <c r="W66" s="68">
        <f t="shared" si="49"/>
        <v>1124760</v>
      </c>
    </row>
    <row r="67" hidden="1">
      <c r="A67" s="67">
        <f>'Monthly Data'!A115</f>
        <v>46539</v>
      </c>
      <c r="B67" s="68">
        <f t="shared" si="15"/>
        <v>100</v>
      </c>
      <c r="C67" s="68">
        <f t="shared" si="16"/>
        <v>32</v>
      </c>
      <c r="D67" s="68">
        <f t="shared" si="17"/>
        <v>105</v>
      </c>
      <c r="E67" s="68">
        <f t="shared" si="18"/>
        <v>53</v>
      </c>
      <c r="F67" s="68">
        <f t="shared" si="19"/>
        <v>49</v>
      </c>
      <c r="G67" s="68">
        <f t="shared" si="20"/>
        <v>42</v>
      </c>
      <c r="H67" s="68">
        <f t="shared" si="21"/>
        <v>79</v>
      </c>
      <c r="I67" s="68">
        <f t="shared" si="22"/>
        <v>53</v>
      </c>
      <c r="J67" s="68">
        <f t="shared" si="23"/>
        <v>1105533</v>
      </c>
      <c r="K67" s="68">
        <f t="shared" si="24"/>
        <v>515275</v>
      </c>
      <c r="L67" s="68">
        <f t="shared" si="25"/>
        <v>1993565</v>
      </c>
      <c r="M67" s="68">
        <f t="shared" si="26"/>
        <v>1082702</v>
      </c>
      <c r="N67" s="68">
        <f t="shared" si="27"/>
        <v>883225</v>
      </c>
      <c r="O67" s="68">
        <f t="shared" si="28"/>
        <v>565264</v>
      </c>
      <c r="P67" s="68">
        <f t="shared" si="29"/>
        <v>1139180</v>
      </c>
      <c r="Q67" s="68">
        <f t="shared" si="30"/>
        <v>840686</v>
      </c>
      <c r="R67" s="68">
        <f t="shared" si="31"/>
        <v>8125430</v>
      </c>
      <c r="S67" s="68">
        <f t="shared" si="32"/>
        <v>1620808</v>
      </c>
      <c r="T67" s="68">
        <f t="shared" si="33"/>
        <v>3076267</v>
      </c>
      <c r="U67" s="68">
        <f t="shared" ref="U67:W67" si="50">N67</f>
        <v>883225</v>
      </c>
      <c r="V67" s="68">
        <f t="shared" si="50"/>
        <v>565264</v>
      </c>
      <c r="W67" s="68">
        <f t="shared" si="50"/>
        <v>1139180</v>
      </c>
    </row>
    <row r="68" hidden="1">
      <c r="A68" s="67">
        <f>'Monthly Data'!A116</f>
        <v>46569</v>
      </c>
      <c r="B68" s="68">
        <f t="shared" si="15"/>
        <v>101</v>
      </c>
      <c r="C68" s="68">
        <f t="shared" si="16"/>
        <v>32</v>
      </c>
      <c r="D68" s="68">
        <f t="shared" si="17"/>
        <v>106</v>
      </c>
      <c r="E68" s="68">
        <f t="shared" si="18"/>
        <v>53</v>
      </c>
      <c r="F68" s="68">
        <f t="shared" si="19"/>
        <v>49</v>
      </c>
      <c r="G68" s="68">
        <f t="shared" si="20"/>
        <v>42</v>
      </c>
      <c r="H68" s="68">
        <f t="shared" si="21"/>
        <v>81</v>
      </c>
      <c r="I68" s="68">
        <f t="shared" si="22"/>
        <v>54</v>
      </c>
      <c r="J68" s="68">
        <f t="shared" si="23"/>
        <v>1116589</v>
      </c>
      <c r="K68" s="68">
        <f t="shared" si="24"/>
        <v>515275</v>
      </c>
      <c r="L68" s="68">
        <f t="shared" si="25"/>
        <v>2012551</v>
      </c>
      <c r="M68" s="68">
        <f t="shared" si="26"/>
        <v>1082702</v>
      </c>
      <c r="N68" s="68">
        <f t="shared" si="27"/>
        <v>883225</v>
      </c>
      <c r="O68" s="68">
        <f t="shared" si="28"/>
        <v>565264</v>
      </c>
      <c r="P68" s="68">
        <f t="shared" si="29"/>
        <v>1168020</v>
      </c>
      <c r="Q68" s="68">
        <f t="shared" si="30"/>
        <v>856548</v>
      </c>
      <c r="R68" s="68">
        <f t="shared" si="31"/>
        <v>8200174</v>
      </c>
      <c r="S68" s="68">
        <f t="shared" si="32"/>
        <v>1631864</v>
      </c>
      <c r="T68" s="68">
        <f t="shared" si="33"/>
        <v>3095253</v>
      </c>
      <c r="U68" s="68">
        <f t="shared" ref="U68:W68" si="51">N68</f>
        <v>883225</v>
      </c>
      <c r="V68" s="68">
        <f t="shared" si="51"/>
        <v>565264</v>
      </c>
      <c r="W68" s="68">
        <f t="shared" si="51"/>
        <v>1168020</v>
      </c>
    </row>
    <row r="69" hidden="1">
      <c r="A69" s="67">
        <f>'Monthly Data'!A117</f>
        <v>46600</v>
      </c>
      <c r="B69" s="68">
        <f t="shared" si="15"/>
        <v>102</v>
      </c>
      <c r="C69" s="68">
        <f t="shared" si="16"/>
        <v>32</v>
      </c>
      <c r="D69" s="68">
        <f t="shared" si="17"/>
        <v>107</v>
      </c>
      <c r="E69" s="68">
        <f t="shared" si="18"/>
        <v>53</v>
      </c>
      <c r="F69" s="68">
        <f t="shared" si="19"/>
        <v>50</v>
      </c>
      <c r="G69" s="68">
        <f t="shared" si="20"/>
        <v>42</v>
      </c>
      <c r="H69" s="68">
        <f t="shared" si="21"/>
        <v>82</v>
      </c>
      <c r="I69" s="68">
        <f t="shared" si="22"/>
        <v>54</v>
      </c>
      <c r="J69" s="68">
        <f t="shared" si="23"/>
        <v>1127644</v>
      </c>
      <c r="K69" s="68">
        <f t="shared" si="24"/>
        <v>515275</v>
      </c>
      <c r="L69" s="68">
        <f t="shared" si="25"/>
        <v>2031538</v>
      </c>
      <c r="M69" s="68">
        <f t="shared" si="26"/>
        <v>1082702</v>
      </c>
      <c r="N69" s="68">
        <f t="shared" si="27"/>
        <v>901250</v>
      </c>
      <c r="O69" s="68">
        <f t="shared" si="28"/>
        <v>565264</v>
      </c>
      <c r="P69" s="68">
        <f t="shared" si="29"/>
        <v>1182440</v>
      </c>
      <c r="Q69" s="68">
        <f t="shared" si="30"/>
        <v>856548</v>
      </c>
      <c r="R69" s="68">
        <f t="shared" si="31"/>
        <v>8262661</v>
      </c>
      <c r="S69" s="68">
        <f t="shared" si="32"/>
        <v>1642919</v>
      </c>
      <c r="T69" s="68">
        <f t="shared" si="33"/>
        <v>3114240</v>
      </c>
      <c r="U69" s="68">
        <f t="shared" ref="U69:W69" si="52">N69</f>
        <v>901250</v>
      </c>
      <c r="V69" s="68">
        <f t="shared" si="52"/>
        <v>565264</v>
      </c>
      <c r="W69" s="68">
        <f t="shared" si="52"/>
        <v>1182440</v>
      </c>
    </row>
    <row r="70" hidden="1">
      <c r="A70" s="67">
        <f>'Monthly Data'!A118</f>
        <v>46631</v>
      </c>
      <c r="B70" s="68">
        <f t="shared" si="15"/>
        <v>103</v>
      </c>
      <c r="C70" s="68">
        <f t="shared" si="16"/>
        <v>32</v>
      </c>
      <c r="D70" s="68">
        <f t="shared" si="17"/>
        <v>108</v>
      </c>
      <c r="E70" s="68">
        <f t="shared" si="18"/>
        <v>54</v>
      </c>
      <c r="F70" s="68">
        <f t="shared" si="19"/>
        <v>50</v>
      </c>
      <c r="G70" s="68">
        <f t="shared" si="20"/>
        <v>42</v>
      </c>
      <c r="H70" s="68">
        <f t="shared" si="21"/>
        <v>84</v>
      </c>
      <c r="I70" s="68">
        <f t="shared" si="22"/>
        <v>55</v>
      </c>
      <c r="J70" s="68">
        <f t="shared" si="23"/>
        <v>1138699</v>
      </c>
      <c r="K70" s="68">
        <f t="shared" si="24"/>
        <v>515275</v>
      </c>
      <c r="L70" s="68">
        <f t="shared" si="25"/>
        <v>2050524</v>
      </c>
      <c r="M70" s="68">
        <f t="shared" si="26"/>
        <v>1103130</v>
      </c>
      <c r="N70" s="68">
        <f t="shared" si="27"/>
        <v>901250</v>
      </c>
      <c r="O70" s="68">
        <f t="shared" si="28"/>
        <v>565264</v>
      </c>
      <c r="P70" s="68">
        <f t="shared" si="29"/>
        <v>1211280</v>
      </c>
      <c r="Q70" s="68">
        <f t="shared" si="30"/>
        <v>872410</v>
      </c>
      <c r="R70" s="68">
        <f t="shared" si="31"/>
        <v>8357832</v>
      </c>
      <c r="S70" s="68">
        <f t="shared" si="32"/>
        <v>1653974</v>
      </c>
      <c r="T70" s="68">
        <f t="shared" si="33"/>
        <v>3153654</v>
      </c>
      <c r="U70" s="68">
        <f t="shared" ref="U70:W70" si="53">N70</f>
        <v>901250</v>
      </c>
      <c r="V70" s="68">
        <f t="shared" si="53"/>
        <v>565264</v>
      </c>
      <c r="W70" s="68">
        <f t="shared" si="53"/>
        <v>1211280</v>
      </c>
    </row>
    <row r="71" hidden="1">
      <c r="A71" s="67">
        <f>'Monthly Data'!A119</f>
        <v>46661</v>
      </c>
      <c r="B71" s="68">
        <f t="shared" si="15"/>
        <v>103</v>
      </c>
      <c r="C71" s="68">
        <f t="shared" si="16"/>
        <v>33</v>
      </c>
      <c r="D71" s="68">
        <f t="shared" si="17"/>
        <v>108</v>
      </c>
      <c r="E71" s="68">
        <f t="shared" si="18"/>
        <v>54</v>
      </c>
      <c r="F71" s="68">
        <f t="shared" si="19"/>
        <v>51</v>
      </c>
      <c r="G71" s="68">
        <f t="shared" si="20"/>
        <v>43</v>
      </c>
      <c r="H71" s="68">
        <f t="shared" si="21"/>
        <v>85</v>
      </c>
      <c r="I71" s="68">
        <f t="shared" si="22"/>
        <v>55</v>
      </c>
      <c r="J71" s="68">
        <f t="shared" si="23"/>
        <v>1138699</v>
      </c>
      <c r="K71" s="68">
        <f t="shared" si="24"/>
        <v>531377</v>
      </c>
      <c r="L71" s="68">
        <f t="shared" si="25"/>
        <v>2050524</v>
      </c>
      <c r="M71" s="68">
        <f t="shared" si="26"/>
        <v>1103130</v>
      </c>
      <c r="N71" s="68">
        <f t="shared" si="27"/>
        <v>919275</v>
      </c>
      <c r="O71" s="68">
        <f t="shared" si="28"/>
        <v>578723</v>
      </c>
      <c r="P71" s="68">
        <f t="shared" si="29"/>
        <v>1225700</v>
      </c>
      <c r="Q71" s="68">
        <f t="shared" si="30"/>
        <v>872410</v>
      </c>
      <c r="R71" s="68">
        <f t="shared" si="31"/>
        <v>8419838</v>
      </c>
      <c r="S71" s="68">
        <f t="shared" si="32"/>
        <v>1670076</v>
      </c>
      <c r="T71" s="68">
        <f t="shared" si="33"/>
        <v>3153654</v>
      </c>
      <c r="U71" s="68">
        <f t="shared" ref="U71:W71" si="54">N71</f>
        <v>919275</v>
      </c>
      <c r="V71" s="68">
        <f t="shared" si="54"/>
        <v>578723</v>
      </c>
      <c r="W71" s="68">
        <f t="shared" si="54"/>
        <v>1225700</v>
      </c>
    </row>
    <row r="72" hidden="1">
      <c r="A72" s="67">
        <f>'Monthly Data'!A120</f>
        <v>46692</v>
      </c>
      <c r="B72" s="68">
        <f t="shared" si="15"/>
        <v>104</v>
      </c>
      <c r="C72" s="68">
        <f t="shared" si="16"/>
        <v>33</v>
      </c>
      <c r="D72" s="68">
        <f t="shared" si="17"/>
        <v>109</v>
      </c>
      <c r="E72" s="68">
        <f t="shared" si="18"/>
        <v>55</v>
      </c>
      <c r="F72" s="68">
        <f t="shared" si="19"/>
        <v>51</v>
      </c>
      <c r="G72" s="68">
        <f t="shared" si="20"/>
        <v>43</v>
      </c>
      <c r="H72" s="68">
        <f t="shared" si="21"/>
        <v>87</v>
      </c>
      <c r="I72" s="68">
        <f t="shared" si="22"/>
        <v>56</v>
      </c>
      <c r="J72" s="68">
        <f t="shared" si="23"/>
        <v>1149755</v>
      </c>
      <c r="K72" s="68">
        <f t="shared" si="24"/>
        <v>531377</v>
      </c>
      <c r="L72" s="68">
        <f t="shared" si="25"/>
        <v>2069510</v>
      </c>
      <c r="M72" s="68">
        <f t="shared" si="26"/>
        <v>1123558</v>
      </c>
      <c r="N72" s="68">
        <f t="shared" si="27"/>
        <v>919275</v>
      </c>
      <c r="O72" s="68">
        <f t="shared" si="28"/>
        <v>578723</v>
      </c>
      <c r="P72" s="68">
        <f t="shared" si="29"/>
        <v>1254540</v>
      </c>
      <c r="Q72" s="68">
        <f t="shared" si="30"/>
        <v>888272</v>
      </c>
      <c r="R72" s="68">
        <f t="shared" si="31"/>
        <v>8515010</v>
      </c>
      <c r="S72" s="68">
        <f t="shared" si="32"/>
        <v>1681132</v>
      </c>
      <c r="T72" s="68">
        <f t="shared" si="33"/>
        <v>3193068</v>
      </c>
      <c r="U72" s="68">
        <f t="shared" ref="U72:W72" si="55">N72</f>
        <v>919275</v>
      </c>
      <c r="V72" s="68">
        <f t="shared" si="55"/>
        <v>578723</v>
      </c>
      <c r="W72" s="68">
        <f t="shared" si="55"/>
        <v>1254540</v>
      </c>
    </row>
    <row r="73" hidden="1">
      <c r="A73" s="67">
        <f>'Monthly Data'!A121</f>
        <v>46722</v>
      </c>
      <c r="B73" s="68">
        <f t="shared" si="15"/>
        <v>105</v>
      </c>
      <c r="C73" s="68">
        <f t="shared" si="16"/>
        <v>33</v>
      </c>
      <c r="D73" s="68">
        <f t="shared" si="17"/>
        <v>110</v>
      </c>
      <c r="E73" s="68">
        <f t="shared" si="18"/>
        <v>55</v>
      </c>
      <c r="F73" s="68">
        <f t="shared" si="19"/>
        <v>52</v>
      </c>
      <c r="G73" s="68">
        <f t="shared" si="20"/>
        <v>43</v>
      </c>
      <c r="H73" s="68">
        <f t="shared" si="21"/>
        <v>88</v>
      </c>
      <c r="I73" s="68">
        <f t="shared" si="22"/>
        <v>56</v>
      </c>
      <c r="J73" s="68">
        <f t="shared" si="23"/>
        <v>1160810</v>
      </c>
      <c r="K73" s="68">
        <f t="shared" si="24"/>
        <v>531377</v>
      </c>
      <c r="L73" s="68">
        <f t="shared" si="25"/>
        <v>2088497</v>
      </c>
      <c r="M73" s="68">
        <f t="shared" si="26"/>
        <v>1123558</v>
      </c>
      <c r="N73" s="68">
        <f t="shared" si="27"/>
        <v>937300</v>
      </c>
      <c r="O73" s="68">
        <f t="shared" si="28"/>
        <v>578723</v>
      </c>
      <c r="P73" s="68">
        <f t="shared" si="29"/>
        <v>1268960</v>
      </c>
      <c r="Q73" s="68">
        <f t="shared" si="30"/>
        <v>888272</v>
      </c>
      <c r="R73" s="68">
        <f t="shared" si="31"/>
        <v>8577497</v>
      </c>
      <c r="S73" s="68">
        <f t="shared" si="32"/>
        <v>1692187</v>
      </c>
      <c r="T73" s="68">
        <f t="shared" si="33"/>
        <v>3212055</v>
      </c>
      <c r="U73" s="68">
        <f t="shared" ref="U73:W73" si="56">N73</f>
        <v>937300</v>
      </c>
      <c r="V73" s="68">
        <f t="shared" si="56"/>
        <v>578723</v>
      </c>
      <c r="W73" s="68">
        <f t="shared" si="56"/>
        <v>1268960</v>
      </c>
    </row>
    <row r="74" hidden="1">
      <c r="A74" s="67">
        <f>'Monthly Data'!A122</f>
        <v>46753</v>
      </c>
      <c r="B74" s="68">
        <f t="shared" si="15"/>
        <v>106</v>
      </c>
      <c r="C74" s="68">
        <f t="shared" si="16"/>
        <v>33</v>
      </c>
      <c r="D74" s="68">
        <f t="shared" si="17"/>
        <v>111</v>
      </c>
      <c r="E74" s="68">
        <f t="shared" si="18"/>
        <v>56</v>
      </c>
      <c r="F74" s="68">
        <f t="shared" si="19"/>
        <v>53</v>
      </c>
      <c r="G74" s="68">
        <f t="shared" si="20"/>
        <v>43</v>
      </c>
      <c r="H74" s="68">
        <f t="shared" si="21"/>
        <v>90</v>
      </c>
      <c r="I74" s="68">
        <f t="shared" si="22"/>
        <v>57</v>
      </c>
      <c r="J74" s="68">
        <f t="shared" si="23"/>
        <v>1207021</v>
      </c>
      <c r="K74" s="68">
        <f t="shared" si="24"/>
        <v>547318</v>
      </c>
      <c r="L74" s="68">
        <f t="shared" si="25"/>
        <v>2170707</v>
      </c>
      <c r="M74" s="68">
        <f t="shared" si="26"/>
        <v>1178306</v>
      </c>
      <c r="N74" s="68">
        <f t="shared" si="27"/>
        <v>983985</v>
      </c>
      <c r="O74" s="68">
        <f t="shared" si="28"/>
        <v>596084</v>
      </c>
      <c r="P74" s="68">
        <f t="shared" si="29"/>
        <v>1336734</v>
      </c>
      <c r="Q74" s="68">
        <f t="shared" si="30"/>
        <v>931258</v>
      </c>
      <c r="R74" s="68">
        <f t="shared" si="31"/>
        <v>8951413</v>
      </c>
      <c r="S74" s="68">
        <f t="shared" si="32"/>
        <v>1754339</v>
      </c>
      <c r="T74" s="68">
        <f t="shared" si="33"/>
        <v>3349013</v>
      </c>
      <c r="U74" s="68">
        <f t="shared" ref="U74:W74" si="57">N74</f>
        <v>983985</v>
      </c>
      <c r="V74" s="68">
        <f t="shared" si="57"/>
        <v>596084</v>
      </c>
      <c r="W74" s="68">
        <f t="shared" si="57"/>
        <v>1336734</v>
      </c>
    </row>
    <row r="75" hidden="1">
      <c r="A75" s="67">
        <f>'Monthly Data'!A123</f>
        <v>46784</v>
      </c>
      <c r="B75" s="68">
        <f t="shared" si="15"/>
        <v>108</v>
      </c>
      <c r="C75" s="68">
        <f t="shared" si="16"/>
        <v>34</v>
      </c>
      <c r="D75" s="68">
        <f t="shared" si="17"/>
        <v>111</v>
      </c>
      <c r="E75" s="68">
        <f t="shared" si="18"/>
        <v>56</v>
      </c>
      <c r="F75" s="68">
        <f t="shared" si="19"/>
        <v>54</v>
      </c>
      <c r="G75" s="68">
        <f t="shared" si="20"/>
        <v>44</v>
      </c>
      <c r="H75" s="68">
        <f t="shared" si="21"/>
        <v>92</v>
      </c>
      <c r="I75" s="68">
        <f t="shared" si="22"/>
        <v>57</v>
      </c>
      <c r="J75" s="68">
        <f t="shared" si="23"/>
        <v>1229795</v>
      </c>
      <c r="K75" s="68">
        <f t="shared" si="24"/>
        <v>563904</v>
      </c>
      <c r="L75" s="68">
        <f t="shared" si="25"/>
        <v>2170707</v>
      </c>
      <c r="M75" s="68">
        <f t="shared" si="26"/>
        <v>1178306</v>
      </c>
      <c r="N75" s="68">
        <f t="shared" si="27"/>
        <v>1002551</v>
      </c>
      <c r="O75" s="68">
        <f t="shared" si="28"/>
        <v>609947</v>
      </c>
      <c r="P75" s="68">
        <f t="shared" si="29"/>
        <v>1366439</v>
      </c>
      <c r="Q75" s="68">
        <f t="shared" si="30"/>
        <v>931258</v>
      </c>
      <c r="R75" s="68">
        <f t="shared" si="31"/>
        <v>9052907</v>
      </c>
      <c r="S75" s="68">
        <f t="shared" si="32"/>
        <v>1793699</v>
      </c>
      <c r="T75" s="68">
        <f t="shared" si="33"/>
        <v>3349013</v>
      </c>
      <c r="U75" s="68">
        <f t="shared" ref="U75:W75" si="58">N75</f>
        <v>1002551</v>
      </c>
      <c r="V75" s="68">
        <f t="shared" si="58"/>
        <v>609947</v>
      </c>
      <c r="W75" s="68">
        <f t="shared" si="58"/>
        <v>1366439</v>
      </c>
    </row>
    <row r="76" hidden="1">
      <c r="A76" s="67">
        <f>'Monthly Data'!A124</f>
        <v>46813</v>
      </c>
      <c r="B76" s="68">
        <f t="shared" si="15"/>
        <v>109</v>
      </c>
      <c r="C76" s="68">
        <f t="shared" si="16"/>
        <v>34</v>
      </c>
      <c r="D76" s="68">
        <f t="shared" si="17"/>
        <v>112</v>
      </c>
      <c r="E76" s="68">
        <f t="shared" si="18"/>
        <v>57</v>
      </c>
      <c r="F76" s="68">
        <f t="shared" si="19"/>
        <v>54</v>
      </c>
      <c r="G76" s="68">
        <f t="shared" si="20"/>
        <v>44</v>
      </c>
      <c r="H76" s="68">
        <f t="shared" si="21"/>
        <v>94</v>
      </c>
      <c r="I76" s="68">
        <f t="shared" si="22"/>
        <v>58</v>
      </c>
      <c r="J76" s="68">
        <f t="shared" si="23"/>
        <v>1241182</v>
      </c>
      <c r="K76" s="68">
        <f t="shared" si="24"/>
        <v>563904</v>
      </c>
      <c r="L76" s="68">
        <f t="shared" si="25"/>
        <v>2190263</v>
      </c>
      <c r="M76" s="68">
        <f t="shared" si="26"/>
        <v>1199347</v>
      </c>
      <c r="N76" s="68">
        <f t="shared" si="27"/>
        <v>1002551</v>
      </c>
      <c r="O76" s="68">
        <f t="shared" si="28"/>
        <v>609947</v>
      </c>
      <c r="P76" s="68">
        <f t="shared" si="29"/>
        <v>1396144</v>
      </c>
      <c r="Q76" s="68">
        <f t="shared" si="30"/>
        <v>947596</v>
      </c>
      <c r="R76" s="68">
        <f t="shared" si="31"/>
        <v>9150934</v>
      </c>
      <c r="S76" s="68">
        <f t="shared" si="32"/>
        <v>1805086</v>
      </c>
      <c r="T76" s="68">
        <f t="shared" si="33"/>
        <v>3389610</v>
      </c>
      <c r="U76" s="68">
        <f t="shared" ref="U76:W76" si="59">N76</f>
        <v>1002551</v>
      </c>
      <c r="V76" s="68">
        <f t="shared" si="59"/>
        <v>609947</v>
      </c>
      <c r="W76" s="68">
        <f t="shared" si="59"/>
        <v>1396144</v>
      </c>
    </row>
    <row r="77" hidden="1">
      <c r="A77" s="67">
        <f>'Monthly Data'!A125</f>
        <v>46844</v>
      </c>
      <c r="B77" s="68">
        <f t="shared" si="15"/>
        <v>110</v>
      </c>
      <c r="C77" s="68">
        <f t="shared" si="16"/>
        <v>34</v>
      </c>
      <c r="D77" s="68">
        <f t="shared" si="17"/>
        <v>112</v>
      </c>
      <c r="E77" s="68">
        <f t="shared" si="18"/>
        <v>57</v>
      </c>
      <c r="F77" s="68">
        <f t="shared" si="19"/>
        <v>55</v>
      </c>
      <c r="G77" s="68">
        <f t="shared" si="20"/>
        <v>44</v>
      </c>
      <c r="H77" s="68">
        <f t="shared" si="21"/>
        <v>95</v>
      </c>
      <c r="I77" s="68">
        <f t="shared" si="22"/>
        <v>58</v>
      </c>
      <c r="J77" s="68">
        <f t="shared" si="23"/>
        <v>1252569</v>
      </c>
      <c r="K77" s="68">
        <f t="shared" si="24"/>
        <v>563904</v>
      </c>
      <c r="L77" s="68">
        <f t="shared" si="25"/>
        <v>2190263</v>
      </c>
      <c r="M77" s="68">
        <f t="shared" si="26"/>
        <v>1199347</v>
      </c>
      <c r="N77" s="68">
        <f t="shared" si="27"/>
        <v>1021116</v>
      </c>
      <c r="O77" s="68">
        <f t="shared" si="28"/>
        <v>609947</v>
      </c>
      <c r="P77" s="68">
        <f t="shared" si="29"/>
        <v>1410997</v>
      </c>
      <c r="Q77" s="68">
        <f t="shared" si="30"/>
        <v>947596</v>
      </c>
      <c r="R77" s="68">
        <f t="shared" si="31"/>
        <v>9195739</v>
      </c>
      <c r="S77" s="68">
        <f t="shared" si="32"/>
        <v>1816473</v>
      </c>
      <c r="T77" s="68">
        <f t="shared" si="33"/>
        <v>3389610</v>
      </c>
      <c r="U77" s="68">
        <f t="shared" ref="U77:W77" si="60">N77</f>
        <v>1021116</v>
      </c>
      <c r="V77" s="68">
        <f t="shared" si="60"/>
        <v>609947</v>
      </c>
      <c r="W77" s="68">
        <f t="shared" si="60"/>
        <v>1410997</v>
      </c>
    </row>
    <row r="78" hidden="1">
      <c r="A78" s="67">
        <f>'Monthly Data'!A126</f>
        <v>46874</v>
      </c>
      <c r="B78" s="68">
        <f t="shared" si="15"/>
        <v>112</v>
      </c>
      <c r="C78" s="68">
        <f t="shared" si="16"/>
        <v>35</v>
      </c>
      <c r="D78" s="68">
        <f t="shared" si="17"/>
        <v>113</v>
      </c>
      <c r="E78" s="68">
        <f t="shared" si="18"/>
        <v>58</v>
      </c>
      <c r="F78" s="68">
        <f t="shared" si="19"/>
        <v>56</v>
      </c>
      <c r="G78" s="68">
        <f t="shared" si="20"/>
        <v>44</v>
      </c>
      <c r="H78" s="68">
        <f t="shared" si="21"/>
        <v>97</v>
      </c>
      <c r="I78" s="68">
        <f t="shared" si="22"/>
        <v>59</v>
      </c>
      <c r="J78" s="68">
        <f t="shared" si="23"/>
        <v>1275343</v>
      </c>
      <c r="K78" s="68">
        <f t="shared" si="24"/>
        <v>580489</v>
      </c>
      <c r="L78" s="68">
        <f t="shared" si="25"/>
        <v>2209819</v>
      </c>
      <c r="M78" s="68">
        <f t="shared" si="26"/>
        <v>1220389</v>
      </c>
      <c r="N78" s="68">
        <f t="shared" si="27"/>
        <v>1039682</v>
      </c>
      <c r="O78" s="68">
        <f t="shared" si="28"/>
        <v>609947</v>
      </c>
      <c r="P78" s="68">
        <f t="shared" si="29"/>
        <v>1440702</v>
      </c>
      <c r="Q78" s="68">
        <f t="shared" si="30"/>
        <v>963934</v>
      </c>
      <c r="R78" s="68">
        <f t="shared" si="31"/>
        <v>9340305</v>
      </c>
      <c r="S78" s="68">
        <f t="shared" si="32"/>
        <v>1855832</v>
      </c>
      <c r="T78" s="68">
        <f t="shared" si="33"/>
        <v>3430208</v>
      </c>
      <c r="U78" s="68">
        <f t="shared" ref="U78:W78" si="61">N78</f>
        <v>1039682</v>
      </c>
      <c r="V78" s="68">
        <f t="shared" si="61"/>
        <v>609947</v>
      </c>
      <c r="W78" s="68">
        <f t="shared" si="61"/>
        <v>1440702</v>
      </c>
    </row>
    <row r="79" hidden="1">
      <c r="A79" s="67">
        <f>'Monthly Data'!A127</f>
        <v>46905</v>
      </c>
      <c r="B79" s="68">
        <f t="shared" si="15"/>
        <v>113</v>
      </c>
      <c r="C79" s="68">
        <f t="shared" si="16"/>
        <v>35</v>
      </c>
      <c r="D79" s="68">
        <f t="shared" si="17"/>
        <v>113</v>
      </c>
      <c r="E79" s="68">
        <f t="shared" si="18"/>
        <v>58</v>
      </c>
      <c r="F79" s="68">
        <f t="shared" si="19"/>
        <v>57</v>
      </c>
      <c r="G79" s="68">
        <f t="shared" si="20"/>
        <v>45</v>
      </c>
      <c r="H79" s="68">
        <f t="shared" si="21"/>
        <v>99</v>
      </c>
      <c r="I79" s="68">
        <f t="shared" si="22"/>
        <v>60</v>
      </c>
      <c r="J79" s="68">
        <f t="shared" si="23"/>
        <v>1286730</v>
      </c>
      <c r="K79" s="68">
        <f t="shared" si="24"/>
        <v>580489</v>
      </c>
      <c r="L79" s="68">
        <f t="shared" si="25"/>
        <v>2209819</v>
      </c>
      <c r="M79" s="68">
        <f t="shared" si="26"/>
        <v>1220389</v>
      </c>
      <c r="N79" s="68">
        <f t="shared" si="27"/>
        <v>1058248</v>
      </c>
      <c r="O79" s="68">
        <f t="shared" si="28"/>
        <v>623809</v>
      </c>
      <c r="P79" s="68">
        <f t="shared" si="29"/>
        <v>1470407</v>
      </c>
      <c r="Q79" s="68">
        <f t="shared" si="30"/>
        <v>980272</v>
      </c>
      <c r="R79" s="68">
        <f t="shared" si="31"/>
        <v>9430163</v>
      </c>
      <c r="S79" s="68">
        <f t="shared" si="32"/>
        <v>1867219</v>
      </c>
      <c r="T79" s="68">
        <f t="shared" si="33"/>
        <v>3430208</v>
      </c>
      <c r="U79" s="68">
        <f t="shared" ref="U79:W79" si="62">N79</f>
        <v>1058248</v>
      </c>
      <c r="V79" s="68">
        <f t="shared" si="62"/>
        <v>623809</v>
      </c>
      <c r="W79" s="68">
        <f t="shared" si="62"/>
        <v>1470407</v>
      </c>
    </row>
    <row r="80" hidden="1">
      <c r="A80" s="67">
        <f>'Monthly Data'!A128</f>
        <v>46935</v>
      </c>
      <c r="B80" s="68">
        <f t="shared" si="15"/>
        <v>114</v>
      </c>
      <c r="C80" s="68">
        <f t="shared" si="16"/>
        <v>35</v>
      </c>
      <c r="D80" s="68">
        <f t="shared" si="17"/>
        <v>114</v>
      </c>
      <c r="E80" s="68">
        <f t="shared" si="18"/>
        <v>59</v>
      </c>
      <c r="F80" s="68">
        <f t="shared" si="19"/>
        <v>57</v>
      </c>
      <c r="G80" s="68">
        <f t="shared" si="20"/>
        <v>45</v>
      </c>
      <c r="H80" s="68">
        <f t="shared" si="21"/>
        <v>101</v>
      </c>
      <c r="I80" s="68">
        <f t="shared" si="22"/>
        <v>60</v>
      </c>
      <c r="J80" s="68">
        <f t="shared" si="23"/>
        <v>1298117</v>
      </c>
      <c r="K80" s="68">
        <f t="shared" si="24"/>
        <v>580489</v>
      </c>
      <c r="L80" s="68">
        <f t="shared" si="25"/>
        <v>2229375</v>
      </c>
      <c r="M80" s="68">
        <f t="shared" si="26"/>
        <v>1241430</v>
      </c>
      <c r="N80" s="68">
        <f t="shared" si="27"/>
        <v>1058248</v>
      </c>
      <c r="O80" s="68">
        <f t="shared" si="28"/>
        <v>623809</v>
      </c>
      <c r="P80" s="68">
        <f t="shared" si="29"/>
        <v>1500113</v>
      </c>
      <c r="Q80" s="68">
        <f t="shared" si="30"/>
        <v>980272</v>
      </c>
      <c r="R80" s="68">
        <f t="shared" si="31"/>
        <v>9511853</v>
      </c>
      <c r="S80" s="68">
        <f t="shared" si="32"/>
        <v>1878606</v>
      </c>
      <c r="T80" s="68">
        <f t="shared" si="33"/>
        <v>3470805</v>
      </c>
      <c r="U80" s="68">
        <f t="shared" ref="U80:W80" si="63">N80</f>
        <v>1058248</v>
      </c>
      <c r="V80" s="68">
        <f t="shared" si="63"/>
        <v>623809</v>
      </c>
      <c r="W80" s="68">
        <f t="shared" si="63"/>
        <v>1500113</v>
      </c>
    </row>
    <row r="81" hidden="1">
      <c r="A81" s="67">
        <f>'Monthly Data'!A129</f>
        <v>46966</v>
      </c>
      <c r="B81" s="68">
        <f t="shared" si="15"/>
        <v>116</v>
      </c>
      <c r="C81" s="68">
        <f t="shared" si="16"/>
        <v>36</v>
      </c>
      <c r="D81" s="68">
        <f t="shared" si="17"/>
        <v>114</v>
      </c>
      <c r="E81" s="68">
        <f t="shared" si="18"/>
        <v>59</v>
      </c>
      <c r="F81" s="68">
        <f t="shared" si="19"/>
        <v>58</v>
      </c>
      <c r="G81" s="68">
        <f t="shared" si="20"/>
        <v>45</v>
      </c>
      <c r="H81" s="68">
        <f t="shared" si="21"/>
        <v>103</v>
      </c>
      <c r="I81" s="68">
        <f t="shared" si="22"/>
        <v>61</v>
      </c>
      <c r="J81" s="68">
        <f t="shared" si="23"/>
        <v>1320891</v>
      </c>
      <c r="K81" s="68">
        <f t="shared" si="24"/>
        <v>597075</v>
      </c>
      <c r="L81" s="68">
        <f t="shared" si="25"/>
        <v>2229375</v>
      </c>
      <c r="M81" s="68">
        <f t="shared" si="26"/>
        <v>1241430</v>
      </c>
      <c r="N81" s="68">
        <f t="shared" si="27"/>
        <v>1076814</v>
      </c>
      <c r="O81" s="68">
        <f t="shared" si="28"/>
        <v>623809</v>
      </c>
      <c r="P81" s="68">
        <f t="shared" si="29"/>
        <v>1529818</v>
      </c>
      <c r="Q81" s="68">
        <f t="shared" si="30"/>
        <v>996609</v>
      </c>
      <c r="R81" s="68">
        <f t="shared" si="31"/>
        <v>9615821</v>
      </c>
      <c r="S81" s="68">
        <f t="shared" si="32"/>
        <v>1917966</v>
      </c>
      <c r="T81" s="68">
        <f t="shared" si="33"/>
        <v>3470805</v>
      </c>
      <c r="U81" s="68">
        <f t="shared" ref="U81:W81" si="64">N81</f>
        <v>1076814</v>
      </c>
      <c r="V81" s="68">
        <f t="shared" si="64"/>
        <v>623809</v>
      </c>
      <c r="W81" s="68">
        <f t="shared" si="64"/>
        <v>1529818</v>
      </c>
    </row>
    <row r="82" hidden="1">
      <c r="A82" s="67">
        <f>'Monthly Data'!A130</f>
        <v>46997</v>
      </c>
      <c r="B82" s="68">
        <f t="shared" si="15"/>
        <v>117</v>
      </c>
      <c r="C82" s="68">
        <f t="shared" si="16"/>
        <v>36</v>
      </c>
      <c r="D82" s="68">
        <f t="shared" si="17"/>
        <v>115</v>
      </c>
      <c r="E82" s="68">
        <f t="shared" si="18"/>
        <v>60</v>
      </c>
      <c r="F82" s="68">
        <f t="shared" si="19"/>
        <v>59</v>
      </c>
      <c r="G82" s="68">
        <f t="shared" si="20"/>
        <v>45</v>
      </c>
      <c r="H82" s="68">
        <f t="shared" si="21"/>
        <v>105</v>
      </c>
      <c r="I82" s="68">
        <f t="shared" si="22"/>
        <v>61</v>
      </c>
      <c r="J82" s="68">
        <f t="shared" si="23"/>
        <v>1332278</v>
      </c>
      <c r="K82" s="68">
        <f t="shared" si="24"/>
        <v>597075</v>
      </c>
      <c r="L82" s="68">
        <f t="shared" si="25"/>
        <v>2248931</v>
      </c>
      <c r="M82" s="68">
        <f t="shared" si="26"/>
        <v>1262471</v>
      </c>
      <c r="N82" s="68">
        <f t="shared" si="27"/>
        <v>1095379</v>
      </c>
      <c r="O82" s="68">
        <f t="shared" si="28"/>
        <v>623809</v>
      </c>
      <c r="P82" s="68">
        <f t="shared" si="29"/>
        <v>1559523</v>
      </c>
      <c r="Q82" s="68">
        <f t="shared" si="30"/>
        <v>996609</v>
      </c>
      <c r="R82" s="68">
        <f t="shared" si="31"/>
        <v>9716075</v>
      </c>
      <c r="S82" s="68">
        <f t="shared" si="32"/>
        <v>1929353</v>
      </c>
      <c r="T82" s="68">
        <f t="shared" si="33"/>
        <v>3511402</v>
      </c>
      <c r="U82" s="68">
        <f t="shared" ref="U82:W82" si="65">N82</f>
        <v>1095379</v>
      </c>
      <c r="V82" s="68">
        <f t="shared" si="65"/>
        <v>623809</v>
      </c>
      <c r="W82" s="68">
        <f t="shared" si="65"/>
        <v>1559523</v>
      </c>
    </row>
    <row r="83" hidden="1">
      <c r="A83" s="67">
        <f>'Monthly Data'!A131</f>
        <v>47027</v>
      </c>
      <c r="B83" s="68">
        <f t="shared" si="15"/>
        <v>118</v>
      </c>
      <c r="C83" s="68">
        <f t="shared" si="16"/>
        <v>36</v>
      </c>
      <c r="D83" s="68">
        <f t="shared" si="17"/>
        <v>115</v>
      </c>
      <c r="E83" s="68">
        <f t="shared" si="18"/>
        <v>60</v>
      </c>
      <c r="F83" s="68">
        <f t="shared" si="19"/>
        <v>60</v>
      </c>
      <c r="G83" s="68">
        <f t="shared" si="20"/>
        <v>46</v>
      </c>
      <c r="H83" s="68">
        <f t="shared" si="21"/>
        <v>106</v>
      </c>
      <c r="I83" s="68">
        <f t="shared" si="22"/>
        <v>62</v>
      </c>
      <c r="J83" s="68">
        <f t="shared" si="23"/>
        <v>1343665</v>
      </c>
      <c r="K83" s="68">
        <f t="shared" si="24"/>
        <v>597075</v>
      </c>
      <c r="L83" s="68">
        <f t="shared" si="25"/>
        <v>2248931</v>
      </c>
      <c r="M83" s="68">
        <f t="shared" si="26"/>
        <v>1262471</v>
      </c>
      <c r="N83" s="68">
        <f t="shared" si="27"/>
        <v>1113945</v>
      </c>
      <c r="O83" s="68">
        <f t="shared" si="28"/>
        <v>637672</v>
      </c>
      <c r="P83" s="68">
        <f t="shared" si="29"/>
        <v>1574376</v>
      </c>
      <c r="Q83" s="68">
        <f t="shared" si="30"/>
        <v>1012947</v>
      </c>
      <c r="R83" s="68">
        <f t="shared" si="31"/>
        <v>9791082</v>
      </c>
      <c r="S83" s="68">
        <f t="shared" si="32"/>
        <v>1940740</v>
      </c>
      <c r="T83" s="68">
        <f t="shared" si="33"/>
        <v>3511402</v>
      </c>
      <c r="U83" s="68">
        <f t="shared" ref="U83:W83" si="66">N83</f>
        <v>1113945</v>
      </c>
      <c r="V83" s="68">
        <f t="shared" si="66"/>
        <v>637672</v>
      </c>
      <c r="W83" s="68">
        <f t="shared" si="66"/>
        <v>1574376</v>
      </c>
    </row>
    <row r="84" hidden="1">
      <c r="A84" s="67">
        <f>'Monthly Data'!A132</f>
        <v>47058</v>
      </c>
      <c r="B84" s="68">
        <f t="shared" si="15"/>
        <v>120</v>
      </c>
      <c r="C84" s="68">
        <f t="shared" si="16"/>
        <v>37</v>
      </c>
      <c r="D84" s="68">
        <f t="shared" si="17"/>
        <v>116</v>
      </c>
      <c r="E84" s="68">
        <f t="shared" si="18"/>
        <v>61</v>
      </c>
      <c r="F84" s="68">
        <f t="shared" si="19"/>
        <v>60</v>
      </c>
      <c r="G84" s="68">
        <f t="shared" si="20"/>
        <v>46</v>
      </c>
      <c r="H84" s="68">
        <f t="shared" si="21"/>
        <v>108</v>
      </c>
      <c r="I84" s="68">
        <f t="shared" si="22"/>
        <v>62</v>
      </c>
      <c r="J84" s="68">
        <f t="shared" si="23"/>
        <v>1366439</v>
      </c>
      <c r="K84" s="68">
        <f t="shared" si="24"/>
        <v>613660</v>
      </c>
      <c r="L84" s="68">
        <f t="shared" si="25"/>
        <v>2268487</v>
      </c>
      <c r="M84" s="68">
        <f t="shared" si="26"/>
        <v>1283512</v>
      </c>
      <c r="N84" s="68">
        <f t="shared" si="27"/>
        <v>1113945</v>
      </c>
      <c r="O84" s="68">
        <f t="shared" si="28"/>
        <v>637672</v>
      </c>
      <c r="P84" s="68">
        <f t="shared" si="29"/>
        <v>1604081</v>
      </c>
      <c r="Q84" s="68">
        <f t="shared" si="30"/>
        <v>1012947</v>
      </c>
      <c r="R84" s="68">
        <f t="shared" si="31"/>
        <v>9900743</v>
      </c>
      <c r="S84" s="68">
        <f t="shared" si="32"/>
        <v>1980099</v>
      </c>
      <c r="T84" s="68">
        <f t="shared" si="33"/>
        <v>3551999</v>
      </c>
      <c r="U84" s="68">
        <f t="shared" ref="U84:W84" si="67">N84</f>
        <v>1113945</v>
      </c>
      <c r="V84" s="68">
        <f t="shared" si="67"/>
        <v>637672</v>
      </c>
      <c r="W84" s="68">
        <f t="shared" si="67"/>
        <v>1604081</v>
      </c>
    </row>
    <row r="85" hidden="1">
      <c r="A85" s="67">
        <f>'Monthly Data'!A133</f>
        <v>47088</v>
      </c>
      <c r="B85" s="68">
        <f t="shared" si="15"/>
        <v>121</v>
      </c>
      <c r="C85" s="68">
        <f t="shared" si="16"/>
        <v>37</v>
      </c>
      <c r="D85" s="68">
        <f t="shared" si="17"/>
        <v>116</v>
      </c>
      <c r="E85" s="68">
        <f t="shared" si="18"/>
        <v>61</v>
      </c>
      <c r="F85" s="68">
        <f t="shared" si="19"/>
        <v>61</v>
      </c>
      <c r="G85" s="68">
        <f t="shared" si="20"/>
        <v>46</v>
      </c>
      <c r="H85" s="68">
        <f t="shared" si="21"/>
        <v>110</v>
      </c>
      <c r="I85" s="68">
        <f t="shared" si="22"/>
        <v>63</v>
      </c>
      <c r="J85" s="68">
        <f t="shared" si="23"/>
        <v>1377826</v>
      </c>
      <c r="K85" s="68">
        <f t="shared" si="24"/>
        <v>613660</v>
      </c>
      <c r="L85" s="68">
        <f t="shared" si="25"/>
        <v>2268487</v>
      </c>
      <c r="M85" s="68">
        <f t="shared" si="26"/>
        <v>1283512</v>
      </c>
      <c r="N85" s="68">
        <f t="shared" si="27"/>
        <v>1132511</v>
      </c>
      <c r="O85" s="68">
        <f t="shared" si="28"/>
        <v>637672</v>
      </c>
      <c r="P85" s="68">
        <f t="shared" si="29"/>
        <v>1633786</v>
      </c>
      <c r="Q85" s="68">
        <f t="shared" si="30"/>
        <v>1029285</v>
      </c>
      <c r="R85" s="68">
        <f t="shared" si="31"/>
        <v>9976739</v>
      </c>
      <c r="S85" s="68">
        <f t="shared" si="32"/>
        <v>1991486</v>
      </c>
      <c r="T85" s="68">
        <f t="shared" si="33"/>
        <v>3551999</v>
      </c>
      <c r="U85" s="68">
        <f t="shared" ref="U85:W85" si="68">N85</f>
        <v>1132511</v>
      </c>
      <c r="V85" s="68">
        <f t="shared" si="68"/>
        <v>637672</v>
      </c>
      <c r="W85" s="68">
        <f t="shared" si="68"/>
        <v>1633786</v>
      </c>
    </row>
    <row r="86" hidden="1">
      <c r="A86" s="67">
        <f>'Monthly Data'!A134</f>
        <v>47119</v>
      </c>
      <c r="B86" s="68">
        <f t="shared" si="15"/>
        <v>122</v>
      </c>
      <c r="C86" s="68">
        <f t="shared" si="16"/>
        <v>37</v>
      </c>
      <c r="D86" s="68">
        <f t="shared" si="17"/>
        <v>116</v>
      </c>
      <c r="E86" s="68">
        <f t="shared" si="18"/>
        <v>61</v>
      </c>
      <c r="F86" s="68">
        <f t="shared" si="19"/>
        <v>62</v>
      </c>
      <c r="G86" s="68">
        <f t="shared" si="20"/>
        <v>46</v>
      </c>
      <c r="H86" s="68">
        <f t="shared" si="21"/>
        <v>112</v>
      </c>
      <c r="I86" s="68">
        <f t="shared" si="22"/>
        <v>64</v>
      </c>
      <c r="J86" s="68">
        <f t="shared" si="23"/>
        <v>1430890</v>
      </c>
      <c r="K86" s="68">
        <f t="shared" si="24"/>
        <v>632070</v>
      </c>
      <c r="L86" s="68">
        <f t="shared" si="25"/>
        <v>2336542</v>
      </c>
      <c r="M86" s="68">
        <f t="shared" si="26"/>
        <v>1322018</v>
      </c>
      <c r="N86" s="68">
        <f t="shared" si="27"/>
        <v>1185609</v>
      </c>
      <c r="O86" s="68">
        <f t="shared" si="28"/>
        <v>656802</v>
      </c>
      <c r="P86" s="68">
        <f t="shared" si="29"/>
        <v>1713396</v>
      </c>
      <c r="Q86" s="68">
        <f t="shared" si="30"/>
        <v>1076992</v>
      </c>
      <c r="R86" s="68">
        <f t="shared" si="31"/>
        <v>10354319</v>
      </c>
      <c r="S86" s="68">
        <f t="shared" si="32"/>
        <v>2062960</v>
      </c>
      <c r="T86" s="68">
        <f t="shared" si="33"/>
        <v>3658560</v>
      </c>
      <c r="U86" s="68">
        <f t="shared" ref="U86:W86" si="69">N86</f>
        <v>1185609</v>
      </c>
      <c r="V86" s="68">
        <f t="shared" si="69"/>
        <v>656802</v>
      </c>
      <c r="W86" s="68">
        <f t="shared" si="69"/>
        <v>1713396</v>
      </c>
    </row>
    <row r="87" hidden="1">
      <c r="A87" s="67">
        <f>'Monthly Data'!A135</f>
        <v>47150</v>
      </c>
      <c r="B87" s="68">
        <f t="shared" si="15"/>
        <v>124</v>
      </c>
      <c r="C87" s="68">
        <f t="shared" si="16"/>
        <v>38</v>
      </c>
      <c r="D87" s="68">
        <f t="shared" si="17"/>
        <v>116</v>
      </c>
      <c r="E87" s="68">
        <f t="shared" si="18"/>
        <v>62</v>
      </c>
      <c r="F87" s="68">
        <f t="shared" si="19"/>
        <v>63</v>
      </c>
      <c r="G87" s="68">
        <f t="shared" si="20"/>
        <v>47</v>
      </c>
      <c r="H87" s="68">
        <f t="shared" si="21"/>
        <v>113</v>
      </c>
      <c r="I87" s="68">
        <f t="shared" si="22"/>
        <v>64</v>
      </c>
      <c r="J87" s="68">
        <f t="shared" si="23"/>
        <v>1454347</v>
      </c>
      <c r="K87" s="68">
        <f t="shared" si="24"/>
        <v>649153</v>
      </c>
      <c r="L87" s="68">
        <f t="shared" si="25"/>
        <v>2336542</v>
      </c>
      <c r="M87" s="68">
        <f t="shared" si="26"/>
        <v>1343690</v>
      </c>
      <c r="N87" s="68">
        <f t="shared" si="27"/>
        <v>1204732</v>
      </c>
      <c r="O87" s="68">
        <f t="shared" si="28"/>
        <v>671080</v>
      </c>
      <c r="P87" s="68">
        <f t="shared" si="29"/>
        <v>1728694</v>
      </c>
      <c r="Q87" s="68">
        <f t="shared" si="30"/>
        <v>1076992</v>
      </c>
      <c r="R87" s="68">
        <f t="shared" si="31"/>
        <v>10465230</v>
      </c>
      <c r="S87" s="68">
        <f t="shared" si="32"/>
        <v>2103500</v>
      </c>
      <c r="T87" s="68">
        <f t="shared" si="33"/>
        <v>3680232</v>
      </c>
      <c r="U87" s="68">
        <f t="shared" ref="U87:W87" si="70">N87</f>
        <v>1204732</v>
      </c>
      <c r="V87" s="68">
        <f t="shared" si="70"/>
        <v>671080</v>
      </c>
      <c r="W87" s="68">
        <f t="shared" si="70"/>
        <v>1728694</v>
      </c>
    </row>
    <row r="88" hidden="1">
      <c r="A88" s="67">
        <f>'Monthly Data'!A136</f>
        <v>47178</v>
      </c>
      <c r="B88" s="68">
        <f t="shared" si="15"/>
        <v>125</v>
      </c>
      <c r="C88" s="68">
        <f t="shared" si="16"/>
        <v>38</v>
      </c>
      <c r="D88" s="68">
        <f t="shared" si="17"/>
        <v>116</v>
      </c>
      <c r="E88" s="68">
        <f t="shared" si="18"/>
        <v>62</v>
      </c>
      <c r="F88" s="68">
        <f t="shared" si="19"/>
        <v>64</v>
      </c>
      <c r="G88" s="68">
        <f t="shared" si="20"/>
        <v>47</v>
      </c>
      <c r="H88" s="68">
        <f t="shared" si="21"/>
        <v>115</v>
      </c>
      <c r="I88" s="68">
        <f t="shared" si="22"/>
        <v>65</v>
      </c>
      <c r="J88" s="68">
        <f t="shared" si="23"/>
        <v>1466075</v>
      </c>
      <c r="K88" s="68">
        <f t="shared" si="24"/>
        <v>649153</v>
      </c>
      <c r="L88" s="68">
        <f t="shared" si="25"/>
        <v>2336542</v>
      </c>
      <c r="M88" s="68">
        <f t="shared" si="26"/>
        <v>1343690</v>
      </c>
      <c r="N88" s="68">
        <f t="shared" si="27"/>
        <v>1223854</v>
      </c>
      <c r="O88" s="68">
        <f t="shared" si="28"/>
        <v>671080</v>
      </c>
      <c r="P88" s="68">
        <f t="shared" si="29"/>
        <v>1759290</v>
      </c>
      <c r="Q88" s="68">
        <f t="shared" si="30"/>
        <v>1093820</v>
      </c>
      <c r="R88" s="68">
        <f t="shared" si="31"/>
        <v>10543504</v>
      </c>
      <c r="S88" s="68">
        <f t="shared" si="32"/>
        <v>2115228</v>
      </c>
      <c r="T88" s="68">
        <f t="shared" si="33"/>
        <v>3680232</v>
      </c>
      <c r="U88" s="68">
        <f t="shared" ref="U88:W88" si="71">N88</f>
        <v>1223854</v>
      </c>
      <c r="V88" s="68">
        <f t="shared" si="71"/>
        <v>671080</v>
      </c>
      <c r="W88" s="68">
        <f t="shared" si="71"/>
        <v>1759290</v>
      </c>
    </row>
    <row r="89" hidden="1">
      <c r="A89" s="67">
        <f>'Monthly Data'!A137</f>
        <v>47209</v>
      </c>
      <c r="B89" s="68">
        <f t="shared" si="15"/>
        <v>127</v>
      </c>
      <c r="C89" s="68">
        <f t="shared" si="16"/>
        <v>38</v>
      </c>
      <c r="D89" s="68">
        <f t="shared" si="17"/>
        <v>116</v>
      </c>
      <c r="E89" s="68">
        <f t="shared" si="18"/>
        <v>63</v>
      </c>
      <c r="F89" s="68">
        <f t="shared" si="19"/>
        <v>65</v>
      </c>
      <c r="G89" s="68">
        <f t="shared" si="20"/>
        <v>47</v>
      </c>
      <c r="H89" s="68">
        <f t="shared" si="21"/>
        <v>117</v>
      </c>
      <c r="I89" s="68">
        <f t="shared" si="22"/>
        <v>65</v>
      </c>
      <c r="J89" s="68">
        <f t="shared" si="23"/>
        <v>1489533</v>
      </c>
      <c r="K89" s="68">
        <f t="shared" si="24"/>
        <v>649153</v>
      </c>
      <c r="L89" s="68">
        <f t="shared" si="25"/>
        <v>2336542</v>
      </c>
      <c r="M89" s="68">
        <f t="shared" si="26"/>
        <v>1365362</v>
      </c>
      <c r="N89" s="68">
        <f t="shared" si="27"/>
        <v>1242977</v>
      </c>
      <c r="O89" s="68">
        <f t="shared" si="28"/>
        <v>671080</v>
      </c>
      <c r="P89" s="68">
        <f t="shared" si="29"/>
        <v>1789887</v>
      </c>
      <c r="Q89" s="68">
        <f t="shared" si="30"/>
        <v>1093820</v>
      </c>
      <c r="R89" s="68">
        <f t="shared" si="31"/>
        <v>10638354</v>
      </c>
      <c r="S89" s="68">
        <f t="shared" si="32"/>
        <v>2138686</v>
      </c>
      <c r="T89" s="68">
        <f t="shared" si="33"/>
        <v>3701904</v>
      </c>
      <c r="U89" s="68">
        <f t="shared" ref="U89:W89" si="72">N89</f>
        <v>1242977</v>
      </c>
      <c r="V89" s="68">
        <f t="shared" si="72"/>
        <v>671080</v>
      </c>
      <c r="W89" s="68">
        <f t="shared" si="72"/>
        <v>1789887</v>
      </c>
    </row>
    <row r="90" hidden="1">
      <c r="A90" s="67">
        <f>'Monthly Data'!A138</f>
        <v>47239</v>
      </c>
      <c r="B90" s="68">
        <f t="shared" si="15"/>
        <v>128</v>
      </c>
      <c r="C90" s="68">
        <f t="shared" si="16"/>
        <v>39</v>
      </c>
      <c r="D90" s="68">
        <f t="shared" si="17"/>
        <v>116</v>
      </c>
      <c r="E90" s="68">
        <f t="shared" si="18"/>
        <v>63</v>
      </c>
      <c r="F90" s="68">
        <f t="shared" si="19"/>
        <v>66</v>
      </c>
      <c r="G90" s="68">
        <f t="shared" si="20"/>
        <v>47</v>
      </c>
      <c r="H90" s="68">
        <f t="shared" si="21"/>
        <v>118</v>
      </c>
      <c r="I90" s="68">
        <f t="shared" si="22"/>
        <v>66</v>
      </c>
      <c r="J90" s="68">
        <f t="shared" si="23"/>
        <v>1501261</v>
      </c>
      <c r="K90" s="68">
        <f t="shared" si="24"/>
        <v>666236</v>
      </c>
      <c r="L90" s="68">
        <f t="shared" si="25"/>
        <v>2336542</v>
      </c>
      <c r="M90" s="68">
        <f t="shared" si="26"/>
        <v>1365362</v>
      </c>
      <c r="N90" s="68">
        <f t="shared" si="27"/>
        <v>1262100</v>
      </c>
      <c r="O90" s="68">
        <f t="shared" si="28"/>
        <v>671080</v>
      </c>
      <c r="P90" s="68">
        <f t="shared" si="29"/>
        <v>1805185</v>
      </c>
      <c r="Q90" s="68">
        <f t="shared" si="30"/>
        <v>1110648</v>
      </c>
      <c r="R90" s="68">
        <f t="shared" si="31"/>
        <v>10718414</v>
      </c>
      <c r="S90" s="68">
        <f t="shared" si="32"/>
        <v>2167497</v>
      </c>
      <c r="T90" s="68">
        <f t="shared" si="33"/>
        <v>3701904</v>
      </c>
      <c r="U90" s="68">
        <f t="shared" ref="U90:W90" si="73">N90</f>
        <v>1262100</v>
      </c>
      <c r="V90" s="68">
        <f t="shared" si="73"/>
        <v>671080</v>
      </c>
      <c r="W90" s="68">
        <f t="shared" si="73"/>
        <v>1805185</v>
      </c>
    </row>
    <row r="91" hidden="1">
      <c r="A91" s="67">
        <f>'Monthly Data'!A139</f>
        <v>47270</v>
      </c>
      <c r="B91" s="68">
        <f t="shared" si="15"/>
        <v>130</v>
      </c>
      <c r="C91" s="68">
        <f t="shared" si="16"/>
        <v>39</v>
      </c>
      <c r="D91" s="68">
        <f t="shared" si="17"/>
        <v>116</v>
      </c>
      <c r="E91" s="68">
        <f t="shared" si="18"/>
        <v>64</v>
      </c>
      <c r="F91" s="68">
        <f t="shared" si="19"/>
        <v>67</v>
      </c>
      <c r="G91" s="68">
        <f t="shared" si="20"/>
        <v>48</v>
      </c>
      <c r="H91" s="68">
        <f t="shared" si="21"/>
        <v>120</v>
      </c>
      <c r="I91" s="68">
        <f t="shared" si="22"/>
        <v>66</v>
      </c>
      <c r="J91" s="68">
        <f t="shared" si="23"/>
        <v>1524718</v>
      </c>
      <c r="K91" s="68">
        <f t="shared" si="24"/>
        <v>666236</v>
      </c>
      <c r="L91" s="68">
        <f t="shared" si="25"/>
        <v>2336542</v>
      </c>
      <c r="M91" s="68">
        <f t="shared" si="26"/>
        <v>1387035</v>
      </c>
      <c r="N91" s="68">
        <f t="shared" si="27"/>
        <v>1281222</v>
      </c>
      <c r="O91" s="68">
        <f t="shared" si="28"/>
        <v>685358</v>
      </c>
      <c r="P91" s="68">
        <f t="shared" si="29"/>
        <v>1835781</v>
      </c>
      <c r="Q91" s="68">
        <f t="shared" si="30"/>
        <v>1110648</v>
      </c>
      <c r="R91" s="68">
        <f t="shared" si="31"/>
        <v>10827540</v>
      </c>
      <c r="S91" s="68">
        <f t="shared" si="32"/>
        <v>2190954</v>
      </c>
      <c r="T91" s="68">
        <f t="shared" si="33"/>
        <v>3723577</v>
      </c>
      <c r="U91" s="68">
        <f t="shared" ref="U91:W91" si="74">N91</f>
        <v>1281222</v>
      </c>
      <c r="V91" s="68">
        <f t="shared" si="74"/>
        <v>685358</v>
      </c>
      <c r="W91" s="68">
        <f t="shared" si="74"/>
        <v>1835781</v>
      </c>
    </row>
    <row r="92" hidden="1">
      <c r="A92" s="67">
        <f>'Monthly Data'!A140</f>
        <v>47300</v>
      </c>
      <c r="B92" s="68">
        <f t="shared" si="15"/>
        <v>131</v>
      </c>
      <c r="C92" s="68">
        <f t="shared" si="16"/>
        <v>39</v>
      </c>
      <c r="D92" s="68">
        <f t="shared" si="17"/>
        <v>116</v>
      </c>
      <c r="E92" s="68">
        <f t="shared" si="18"/>
        <v>64</v>
      </c>
      <c r="F92" s="68">
        <f t="shared" si="19"/>
        <v>68</v>
      </c>
      <c r="G92" s="68">
        <f t="shared" si="20"/>
        <v>48</v>
      </c>
      <c r="H92" s="68">
        <f t="shared" si="21"/>
        <v>122</v>
      </c>
      <c r="I92" s="68">
        <f t="shared" si="22"/>
        <v>67</v>
      </c>
      <c r="J92" s="68">
        <f t="shared" si="23"/>
        <v>1536447</v>
      </c>
      <c r="K92" s="68">
        <f t="shared" si="24"/>
        <v>666236</v>
      </c>
      <c r="L92" s="68">
        <f t="shared" si="25"/>
        <v>2336542</v>
      </c>
      <c r="M92" s="68">
        <f t="shared" si="26"/>
        <v>1387035</v>
      </c>
      <c r="N92" s="68">
        <f t="shared" si="27"/>
        <v>1300345</v>
      </c>
      <c r="O92" s="68">
        <f t="shared" si="28"/>
        <v>685358</v>
      </c>
      <c r="P92" s="68">
        <f t="shared" si="29"/>
        <v>1866378</v>
      </c>
      <c r="Q92" s="68">
        <f t="shared" si="30"/>
        <v>1127476</v>
      </c>
      <c r="R92" s="68">
        <f t="shared" si="31"/>
        <v>10905817</v>
      </c>
      <c r="S92" s="68">
        <f t="shared" si="32"/>
        <v>2202683</v>
      </c>
      <c r="T92" s="68">
        <f t="shared" si="33"/>
        <v>3723577</v>
      </c>
      <c r="U92" s="68">
        <f t="shared" ref="U92:W92" si="75">N92</f>
        <v>1300345</v>
      </c>
      <c r="V92" s="68">
        <f t="shared" si="75"/>
        <v>685358</v>
      </c>
      <c r="W92" s="68">
        <f t="shared" si="75"/>
        <v>1866378</v>
      </c>
    </row>
    <row r="93" hidden="1">
      <c r="A93" s="67">
        <f>'Monthly Data'!A141</f>
        <v>47331</v>
      </c>
      <c r="B93" s="68">
        <f t="shared" si="15"/>
        <v>132</v>
      </c>
      <c r="C93" s="68">
        <f t="shared" si="16"/>
        <v>40</v>
      </c>
      <c r="D93" s="68">
        <f t="shared" si="17"/>
        <v>116</v>
      </c>
      <c r="E93" s="68">
        <f t="shared" si="18"/>
        <v>64</v>
      </c>
      <c r="F93" s="68">
        <f t="shared" si="19"/>
        <v>69</v>
      </c>
      <c r="G93" s="68">
        <f t="shared" si="20"/>
        <v>48</v>
      </c>
      <c r="H93" s="68">
        <f t="shared" si="21"/>
        <v>123</v>
      </c>
      <c r="I93" s="68">
        <f t="shared" si="22"/>
        <v>67</v>
      </c>
      <c r="J93" s="68">
        <f t="shared" si="23"/>
        <v>1548176</v>
      </c>
      <c r="K93" s="68">
        <f t="shared" si="24"/>
        <v>683319</v>
      </c>
      <c r="L93" s="68">
        <f t="shared" si="25"/>
        <v>2336542</v>
      </c>
      <c r="M93" s="68">
        <f t="shared" si="26"/>
        <v>1387035</v>
      </c>
      <c r="N93" s="68">
        <f t="shared" si="27"/>
        <v>1319468</v>
      </c>
      <c r="O93" s="68">
        <f t="shared" si="28"/>
        <v>685358</v>
      </c>
      <c r="P93" s="68">
        <f t="shared" si="29"/>
        <v>1881676</v>
      </c>
      <c r="Q93" s="68">
        <f t="shared" si="30"/>
        <v>1127476</v>
      </c>
      <c r="R93" s="68">
        <f t="shared" si="31"/>
        <v>10969050</v>
      </c>
      <c r="S93" s="68">
        <f t="shared" si="32"/>
        <v>2231495</v>
      </c>
      <c r="T93" s="68">
        <f t="shared" si="33"/>
        <v>3723577</v>
      </c>
      <c r="U93" s="68">
        <f t="shared" ref="U93:W93" si="76">N93</f>
        <v>1319468</v>
      </c>
      <c r="V93" s="68">
        <f t="shared" si="76"/>
        <v>685358</v>
      </c>
      <c r="W93" s="68">
        <f t="shared" si="76"/>
        <v>1881676</v>
      </c>
    </row>
    <row r="94" hidden="1">
      <c r="A94" s="67">
        <f>'Monthly Data'!A142</f>
        <v>47362</v>
      </c>
      <c r="B94" s="68">
        <f t="shared" si="15"/>
        <v>134</v>
      </c>
      <c r="C94" s="68">
        <f t="shared" si="16"/>
        <v>40</v>
      </c>
      <c r="D94" s="68">
        <f t="shared" si="17"/>
        <v>116</v>
      </c>
      <c r="E94" s="68">
        <f t="shared" si="18"/>
        <v>65</v>
      </c>
      <c r="F94" s="68">
        <f t="shared" si="19"/>
        <v>70</v>
      </c>
      <c r="G94" s="68">
        <f t="shared" si="20"/>
        <v>48</v>
      </c>
      <c r="H94" s="68">
        <f t="shared" si="21"/>
        <v>125</v>
      </c>
      <c r="I94" s="68">
        <f t="shared" si="22"/>
        <v>68</v>
      </c>
      <c r="J94" s="68">
        <f t="shared" si="23"/>
        <v>1571633</v>
      </c>
      <c r="K94" s="68">
        <f t="shared" si="24"/>
        <v>683319</v>
      </c>
      <c r="L94" s="68">
        <f t="shared" si="25"/>
        <v>2336542</v>
      </c>
      <c r="M94" s="68">
        <f t="shared" si="26"/>
        <v>1408707</v>
      </c>
      <c r="N94" s="68">
        <f t="shared" si="27"/>
        <v>1338591</v>
      </c>
      <c r="O94" s="68">
        <f t="shared" si="28"/>
        <v>685358</v>
      </c>
      <c r="P94" s="68">
        <f t="shared" si="29"/>
        <v>1912272</v>
      </c>
      <c r="Q94" s="68">
        <f t="shared" si="30"/>
        <v>1144304</v>
      </c>
      <c r="R94" s="68">
        <f t="shared" si="31"/>
        <v>11080726</v>
      </c>
      <c r="S94" s="68">
        <f t="shared" si="32"/>
        <v>2254952</v>
      </c>
      <c r="T94" s="68">
        <f t="shared" si="33"/>
        <v>3745249</v>
      </c>
      <c r="U94" s="68">
        <f t="shared" ref="U94:W94" si="77">N94</f>
        <v>1338591</v>
      </c>
      <c r="V94" s="68">
        <f t="shared" si="77"/>
        <v>685358</v>
      </c>
      <c r="W94" s="68">
        <f t="shared" si="77"/>
        <v>1912272</v>
      </c>
    </row>
    <row r="95" hidden="1">
      <c r="A95" s="67">
        <f>'Monthly Data'!A143</f>
        <v>47392</v>
      </c>
      <c r="B95" s="68">
        <f t="shared" si="15"/>
        <v>135</v>
      </c>
      <c r="C95" s="68">
        <f t="shared" si="16"/>
        <v>40</v>
      </c>
      <c r="D95" s="68">
        <f t="shared" si="17"/>
        <v>116</v>
      </c>
      <c r="E95" s="68">
        <f t="shared" si="18"/>
        <v>65</v>
      </c>
      <c r="F95" s="68">
        <f t="shared" si="19"/>
        <v>71</v>
      </c>
      <c r="G95" s="68">
        <f t="shared" si="20"/>
        <v>49</v>
      </c>
      <c r="H95" s="68">
        <f t="shared" si="21"/>
        <v>127</v>
      </c>
      <c r="I95" s="68">
        <f t="shared" si="22"/>
        <v>68</v>
      </c>
      <c r="J95" s="68">
        <f t="shared" si="23"/>
        <v>1583361</v>
      </c>
      <c r="K95" s="68">
        <f t="shared" si="24"/>
        <v>683319</v>
      </c>
      <c r="L95" s="68">
        <f t="shared" si="25"/>
        <v>2336542</v>
      </c>
      <c r="M95" s="68">
        <f t="shared" si="26"/>
        <v>1408707</v>
      </c>
      <c r="N95" s="68">
        <f t="shared" si="27"/>
        <v>1357713</v>
      </c>
      <c r="O95" s="68">
        <f t="shared" si="28"/>
        <v>699637</v>
      </c>
      <c r="P95" s="68">
        <f t="shared" si="29"/>
        <v>1942869</v>
      </c>
      <c r="Q95" s="68">
        <f t="shared" si="30"/>
        <v>1144304</v>
      </c>
      <c r="R95" s="68">
        <f t="shared" si="31"/>
        <v>11156452</v>
      </c>
      <c r="S95" s="68">
        <f t="shared" si="32"/>
        <v>2266680</v>
      </c>
      <c r="T95" s="68">
        <f t="shared" si="33"/>
        <v>3745249</v>
      </c>
      <c r="U95" s="68">
        <f t="shared" ref="U95:W95" si="78">N95</f>
        <v>1357713</v>
      </c>
      <c r="V95" s="68">
        <f t="shared" si="78"/>
        <v>699637</v>
      </c>
      <c r="W95" s="68">
        <f t="shared" si="78"/>
        <v>1942869</v>
      </c>
    </row>
    <row r="96" hidden="1">
      <c r="A96" s="67">
        <f>'Monthly Data'!A144</f>
        <v>47423</v>
      </c>
      <c r="B96" s="68">
        <f t="shared" si="15"/>
        <v>137</v>
      </c>
      <c r="C96" s="68">
        <f t="shared" si="16"/>
        <v>41</v>
      </c>
      <c r="D96" s="68">
        <f t="shared" si="17"/>
        <v>116</v>
      </c>
      <c r="E96" s="68">
        <f t="shared" si="18"/>
        <v>66</v>
      </c>
      <c r="F96" s="68">
        <f t="shared" si="19"/>
        <v>72</v>
      </c>
      <c r="G96" s="68">
        <f t="shared" si="20"/>
        <v>49</v>
      </c>
      <c r="H96" s="68">
        <f t="shared" si="21"/>
        <v>128</v>
      </c>
      <c r="I96" s="68">
        <f t="shared" si="22"/>
        <v>69</v>
      </c>
      <c r="J96" s="68">
        <f t="shared" si="23"/>
        <v>1606819</v>
      </c>
      <c r="K96" s="68">
        <f t="shared" si="24"/>
        <v>700402</v>
      </c>
      <c r="L96" s="68">
        <f t="shared" si="25"/>
        <v>2336542</v>
      </c>
      <c r="M96" s="68">
        <f t="shared" si="26"/>
        <v>1430380</v>
      </c>
      <c r="N96" s="68">
        <f t="shared" si="27"/>
        <v>1376836</v>
      </c>
      <c r="O96" s="68">
        <f t="shared" si="28"/>
        <v>699637</v>
      </c>
      <c r="P96" s="68">
        <f t="shared" si="29"/>
        <v>1958167</v>
      </c>
      <c r="Q96" s="68">
        <f t="shared" si="30"/>
        <v>1161132</v>
      </c>
      <c r="R96" s="68">
        <f t="shared" si="31"/>
        <v>11269915</v>
      </c>
      <c r="S96" s="68">
        <f t="shared" si="32"/>
        <v>2307221</v>
      </c>
      <c r="T96" s="68">
        <f t="shared" si="33"/>
        <v>3766922</v>
      </c>
      <c r="U96" s="68">
        <f t="shared" ref="U96:W96" si="79">N96</f>
        <v>1376836</v>
      </c>
      <c r="V96" s="68">
        <f t="shared" si="79"/>
        <v>699637</v>
      </c>
      <c r="W96" s="68">
        <f t="shared" si="79"/>
        <v>1958167</v>
      </c>
    </row>
    <row r="97" hidden="1">
      <c r="A97" s="67">
        <f>'Monthly Data'!A145</f>
        <v>47453</v>
      </c>
      <c r="B97" s="68">
        <f t="shared" si="15"/>
        <v>138</v>
      </c>
      <c r="C97" s="68">
        <f t="shared" si="16"/>
        <v>41</v>
      </c>
      <c r="D97" s="68">
        <f t="shared" si="17"/>
        <v>116</v>
      </c>
      <c r="E97" s="68">
        <f t="shared" si="18"/>
        <v>66</v>
      </c>
      <c r="F97" s="68">
        <f t="shared" si="19"/>
        <v>73</v>
      </c>
      <c r="G97" s="68">
        <f t="shared" si="20"/>
        <v>49</v>
      </c>
      <c r="H97" s="68">
        <f t="shared" si="21"/>
        <v>130</v>
      </c>
      <c r="I97" s="68">
        <f t="shared" si="22"/>
        <v>69</v>
      </c>
      <c r="J97" s="68">
        <f t="shared" si="23"/>
        <v>1618547</v>
      </c>
      <c r="K97" s="68">
        <f t="shared" si="24"/>
        <v>700402</v>
      </c>
      <c r="L97" s="68">
        <f t="shared" si="25"/>
        <v>2336542</v>
      </c>
      <c r="M97" s="68">
        <f t="shared" si="26"/>
        <v>1430380</v>
      </c>
      <c r="N97" s="68">
        <f t="shared" si="27"/>
        <v>1395959</v>
      </c>
      <c r="O97" s="68">
        <f t="shared" si="28"/>
        <v>699637</v>
      </c>
      <c r="P97" s="68">
        <f t="shared" si="29"/>
        <v>1988763</v>
      </c>
      <c r="Q97" s="68">
        <f t="shared" si="30"/>
        <v>1161132</v>
      </c>
      <c r="R97" s="68">
        <f t="shared" si="31"/>
        <v>11331362</v>
      </c>
      <c r="S97" s="68">
        <f t="shared" si="32"/>
        <v>2318949</v>
      </c>
      <c r="T97" s="68">
        <f t="shared" si="33"/>
        <v>3766922</v>
      </c>
      <c r="U97" s="68">
        <f t="shared" ref="U97:W97" si="80">N97</f>
        <v>1395959</v>
      </c>
      <c r="V97" s="68">
        <f t="shared" si="80"/>
        <v>699637</v>
      </c>
      <c r="W97" s="68">
        <f t="shared" si="80"/>
        <v>1988763</v>
      </c>
    </row>
    <row r="98" hidden="1">
      <c r="A98" s="67">
        <f>DATE(2030,1,1)</f>
        <v>47484</v>
      </c>
      <c r="B98" s="68">
        <f t="shared" si="15"/>
        <v>139</v>
      </c>
      <c r="C98" s="68">
        <f t="shared" si="16"/>
        <v>41</v>
      </c>
      <c r="D98" s="68">
        <f t="shared" si="17"/>
        <v>116</v>
      </c>
      <c r="E98" s="68">
        <f t="shared" si="18"/>
        <v>66</v>
      </c>
      <c r="F98" s="68">
        <f t="shared" si="19"/>
        <v>74</v>
      </c>
      <c r="G98" s="68">
        <f t="shared" si="20"/>
        <v>49</v>
      </c>
      <c r="H98" s="68">
        <f t="shared" si="21"/>
        <v>131</v>
      </c>
      <c r="I98" s="68">
        <f t="shared" si="22"/>
        <v>70</v>
      </c>
      <c r="J98" s="68">
        <f t="shared" si="23"/>
        <v>1679184</v>
      </c>
      <c r="K98" s="68">
        <f t="shared" si="24"/>
        <v>721414</v>
      </c>
      <c r="L98" s="68">
        <f t="shared" si="25"/>
        <v>2406638</v>
      </c>
      <c r="M98" s="68">
        <f t="shared" si="26"/>
        <v>1473291</v>
      </c>
      <c r="N98" s="68">
        <f t="shared" si="27"/>
        <v>1457534</v>
      </c>
      <c r="O98" s="68">
        <f t="shared" si="28"/>
        <v>720626</v>
      </c>
      <c r="P98" s="68">
        <f t="shared" si="29"/>
        <v>2064183</v>
      </c>
      <c r="Q98" s="68">
        <f t="shared" si="30"/>
        <v>1213298</v>
      </c>
      <c r="R98" s="68">
        <f t="shared" si="31"/>
        <v>11736168</v>
      </c>
      <c r="S98" s="68">
        <f t="shared" si="32"/>
        <v>2400598</v>
      </c>
      <c r="T98" s="68">
        <f t="shared" si="33"/>
        <v>3879929</v>
      </c>
      <c r="U98" s="68">
        <f t="shared" ref="U98:W98" si="81">N98</f>
        <v>1457534</v>
      </c>
      <c r="V98" s="68">
        <f t="shared" si="81"/>
        <v>720626</v>
      </c>
      <c r="W98" s="68">
        <f t="shared" si="81"/>
        <v>2064183</v>
      </c>
    </row>
    <row r="99" hidden="1">
      <c r="A99" s="67">
        <f>DATE(2030,2,1)</f>
        <v>47515</v>
      </c>
      <c r="B99" s="68">
        <f t="shared" si="15"/>
        <v>140</v>
      </c>
      <c r="C99" s="68">
        <f t="shared" si="16"/>
        <v>42</v>
      </c>
      <c r="D99" s="68">
        <f t="shared" si="17"/>
        <v>116</v>
      </c>
      <c r="E99" s="68">
        <f t="shared" si="18"/>
        <v>67</v>
      </c>
      <c r="F99" s="68">
        <f t="shared" si="19"/>
        <v>75</v>
      </c>
      <c r="G99" s="68">
        <f t="shared" si="20"/>
        <v>50</v>
      </c>
      <c r="H99" s="68">
        <f t="shared" si="21"/>
        <v>133</v>
      </c>
      <c r="I99" s="68">
        <f t="shared" si="22"/>
        <v>70</v>
      </c>
      <c r="J99" s="68">
        <f t="shared" si="23"/>
        <v>1691265</v>
      </c>
      <c r="K99" s="68">
        <f t="shared" si="24"/>
        <v>739009</v>
      </c>
      <c r="L99" s="68">
        <f t="shared" si="25"/>
        <v>2406638</v>
      </c>
      <c r="M99" s="68">
        <f t="shared" si="26"/>
        <v>1495614</v>
      </c>
      <c r="N99" s="68">
        <f t="shared" si="27"/>
        <v>1477230</v>
      </c>
      <c r="O99" s="68">
        <f t="shared" si="28"/>
        <v>735332</v>
      </c>
      <c r="P99" s="68">
        <f t="shared" si="29"/>
        <v>2095697</v>
      </c>
      <c r="Q99" s="68">
        <f t="shared" si="30"/>
        <v>1213298</v>
      </c>
      <c r="R99" s="68">
        <f t="shared" si="31"/>
        <v>11854083</v>
      </c>
      <c r="S99" s="68">
        <f t="shared" si="32"/>
        <v>2430274</v>
      </c>
      <c r="T99" s="68">
        <f t="shared" si="33"/>
        <v>3902252</v>
      </c>
      <c r="U99" s="68">
        <f t="shared" ref="U99:W99" si="82">N99</f>
        <v>1477230</v>
      </c>
      <c r="V99" s="68">
        <f t="shared" si="82"/>
        <v>735332</v>
      </c>
      <c r="W99" s="68">
        <f t="shared" si="82"/>
        <v>2095697</v>
      </c>
    </row>
    <row r="100" hidden="1">
      <c r="A100" s="67">
        <f>DATE(2030,3,1)</f>
        <v>47543</v>
      </c>
      <c r="B100" s="68">
        <f t="shared" si="15"/>
        <v>142</v>
      </c>
      <c r="C100" s="68">
        <f t="shared" si="16"/>
        <v>42</v>
      </c>
      <c r="D100" s="68">
        <f t="shared" si="17"/>
        <v>116</v>
      </c>
      <c r="E100" s="68">
        <f t="shared" si="18"/>
        <v>67</v>
      </c>
      <c r="F100" s="68">
        <f t="shared" si="19"/>
        <v>76</v>
      </c>
      <c r="G100" s="68">
        <f t="shared" si="20"/>
        <v>50</v>
      </c>
      <c r="H100" s="68">
        <f t="shared" si="21"/>
        <v>134</v>
      </c>
      <c r="I100" s="68">
        <f t="shared" si="22"/>
        <v>71</v>
      </c>
      <c r="J100" s="68">
        <f t="shared" si="23"/>
        <v>1715425</v>
      </c>
      <c r="K100" s="68">
        <f t="shared" si="24"/>
        <v>739009</v>
      </c>
      <c r="L100" s="68">
        <f t="shared" si="25"/>
        <v>2406638</v>
      </c>
      <c r="M100" s="68">
        <f t="shared" si="26"/>
        <v>1495614</v>
      </c>
      <c r="N100" s="68">
        <f t="shared" si="27"/>
        <v>1496927</v>
      </c>
      <c r="O100" s="68">
        <f t="shared" si="28"/>
        <v>735332</v>
      </c>
      <c r="P100" s="68">
        <f t="shared" si="29"/>
        <v>2111455</v>
      </c>
      <c r="Q100" s="68">
        <f t="shared" si="30"/>
        <v>1230631</v>
      </c>
      <c r="R100" s="68">
        <f t="shared" si="31"/>
        <v>11931031</v>
      </c>
      <c r="S100" s="68">
        <f t="shared" si="32"/>
        <v>2454434</v>
      </c>
      <c r="T100" s="68">
        <f t="shared" si="33"/>
        <v>3902252</v>
      </c>
      <c r="U100" s="68">
        <f t="shared" ref="U100:W100" si="83">N100</f>
        <v>1496927</v>
      </c>
      <c r="V100" s="68">
        <f t="shared" si="83"/>
        <v>735332</v>
      </c>
      <c r="W100" s="68">
        <f t="shared" si="83"/>
        <v>2111455</v>
      </c>
    </row>
    <row r="101" hidden="1">
      <c r="A101" s="67">
        <f>DATE(2030,4,1)</f>
        <v>47574</v>
      </c>
      <c r="B101" s="68">
        <f t="shared" si="15"/>
        <v>143</v>
      </c>
      <c r="C101" s="68">
        <f t="shared" si="16"/>
        <v>42</v>
      </c>
      <c r="D101" s="68">
        <f t="shared" si="17"/>
        <v>115</v>
      </c>
      <c r="E101" s="68">
        <f t="shared" si="18"/>
        <v>67</v>
      </c>
      <c r="F101" s="68">
        <f t="shared" si="19"/>
        <v>77</v>
      </c>
      <c r="G101" s="68">
        <f t="shared" si="20"/>
        <v>50</v>
      </c>
      <c r="H101" s="68">
        <f t="shared" si="21"/>
        <v>135</v>
      </c>
      <c r="I101" s="68">
        <f t="shared" si="22"/>
        <v>71</v>
      </c>
      <c r="J101" s="68">
        <f t="shared" si="23"/>
        <v>1727506</v>
      </c>
      <c r="K101" s="68">
        <f t="shared" si="24"/>
        <v>739009</v>
      </c>
      <c r="L101" s="68">
        <f t="shared" si="25"/>
        <v>2385891</v>
      </c>
      <c r="M101" s="68">
        <f t="shared" si="26"/>
        <v>1495614</v>
      </c>
      <c r="N101" s="68">
        <f t="shared" si="27"/>
        <v>1516623</v>
      </c>
      <c r="O101" s="68">
        <f t="shared" si="28"/>
        <v>735332</v>
      </c>
      <c r="P101" s="68">
        <f t="shared" si="29"/>
        <v>2127212</v>
      </c>
      <c r="Q101" s="68">
        <f t="shared" si="30"/>
        <v>1230631</v>
      </c>
      <c r="R101" s="68">
        <f t="shared" si="31"/>
        <v>11957818</v>
      </c>
      <c r="S101" s="68">
        <f t="shared" si="32"/>
        <v>2466515</v>
      </c>
      <c r="T101" s="68">
        <f t="shared" si="33"/>
        <v>3881505</v>
      </c>
      <c r="U101" s="68">
        <f t="shared" ref="U101:W101" si="84">N101</f>
        <v>1516623</v>
      </c>
      <c r="V101" s="68">
        <f t="shared" si="84"/>
        <v>735332</v>
      </c>
      <c r="W101" s="68">
        <f t="shared" si="84"/>
        <v>2127212</v>
      </c>
    </row>
    <row r="102" hidden="1">
      <c r="A102" s="67">
        <f>DATE(2030,5,1)</f>
        <v>47604</v>
      </c>
      <c r="B102" s="68">
        <f t="shared" si="15"/>
        <v>144</v>
      </c>
      <c r="C102" s="68">
        <f t="shared" si="16"/>
        <v>42</v>
      </c>
      <c r="D102" s="68">
        <f t="shared" si="17"/>
        <v>115</v>
      </c>
      <c r="E102" s="68">
        <f t="shared" si="18"/>
        <v>67</v>
      </c>
      <c r="F102" s="68">
        <f t="shared" si="19"/>
        <v>78</v>
      </c>
      <c r="G102" s="68">
        <f t="shared" si="20"/>
        <v>50</v>
      </c>
      <c r="H102" s="68">
        <f t="shared" si="21"/>
        <v>137</v>
      </c>
      <c r="I102" s="68">
        <f t="shared" si="22"/>
        <v>72</v>
      </c>
      <c r="J102" s="68">
        <f t="shared" si="23"/>
        <v>1739586</v>
      </c>
      <c r="K102" s="68">
        <f t="shared" si="24"/>
        <v>739009</v>
      </c>
      <c r="L102" s="68">
        <f t="shared" si="25"/>
        <v>2385891</v>
      </c>
      <c r="M102" s="68">
        <f t="shared" si="26"/>
        <v>1495614</v>
      </c>
      <c r="N102" s="68">
        <f t="shared" si="27"/>
        <v>1536320</v>
      </c>
      <c r="O102" s="68">
        <f t="shared" si="28"/>
        <v>735332</v>
      </c>
      <c r="P102" s="68">
        <f t="shared" si="29"/>
        <v>2158726</v>
      </c>
      <c r="Q102" s="68">
        <f t="shared" si="30"/>
        <v>1247964</v>
      </c>
      <c r="R102" s="68">
        <f t="shared" si="31"/>
        <v>12038442</v>
      </c>
      <c r="S102" s="68">
        <f t="shared" si="32"/>
        <v>2478595</v>
      </c>
      <c r="T102" s="68">
        <f t="shared" si="33"/>
        <v>3881505</v>
      </c>
      <c r="U102" s="68">
        <f t="shared" ref="U102:W102" si="85">N102</f>
        <v>1536320</v>
      </c>
      <c r="V102" s="68">
        <f t="shared" si="85"/>
        <v>735332</v>
      </c>
      <c r="W102" s="68">
        <f t="shared" si="85"/>
        <v>2158726</v>
      </c>
    </row>
    <row r="103" hidden="1">
      <c r="A103" s="67">
        <f>DATE(2030,6,1)</f>
        <v>47635</v>
      </c>
      <c r="B103" s="68">
        <f t="shared" si="15"/>
        <v>145</v>
      </c>
      <c r="C103" s="68">
        <f t="shared" si="16"/>
        <v>43</v>
      </c>
      <c r="D103" s="68">
        <f t="shared" si="17"/>
        <v>115</v>
      </c>
      <c r="E103" s="68">
        <f t="shared" si="18"/>
        <v>68</v>
      </c>
      <c r="F103" s="68">
        <f t="shared" si="19"/>
        <v>80</v>
      </c>
      <c r="G103" s="68">
        <f t="shared" si="20"/>
        <v>51</v>
      </c>
      <c r="H103" s="68">
        <f t="shared" si="21"/>
        <v>138</v>
      </c>
      <c r="I103" s="68">
        <f t="shared" si="22"/>
        <v>72</v>
      </c>
      <c r="J103" s="68">
        <f t="shared" si="23"/>
        <v>1751667</v>
      </c>
      <c r="K103" s="68">
        <f t="shared" si="24"/>
        <v>756605</v>
      </c>
      <c r="L103" s="68">
        <f t="shared" si="25"/>
        <v>2385891</v>
      </c>
      <c r="M103" s="68">
        <f t="shared" si="26"/>
        <v>1517936</v>
      </c>
      <c r="N103" s="68">
        <f t="shared" si="27"/>
        <v>1575712</v>
      </c>
      <c r="O103" s="68">
        <f t="shared" si="28"/>
        <v>750039</v>
      </c>
      <c r="P103" s="68">
        <f t="shared" si="29"/>
        <v>2174483</v>
      </c>
      <c r="Q103" s="68">
        <f t="shared" si="30"/>
        <v>1247964</v>
      </c>
      <c r="R103" s="68">
        <f t="shared" si="31"/>
        <v>12160297</v>
      </c>
      <c r="S103" s="68">
        <f t="shared" si="32"/>
        <v>2508272</v>
      </c>
      <c r="T103" s="68">
        <f t="shared" si="33"/>
        <v>3903827</v>
      </c>
      <c r="U103" s="68">
        <f t="shared" ref="U103:W103" si="86">N103</f>
        <v>1575712</v>
      </c>
      <c r="V103" s="68">
        <f t="shared" si="86"/>
        <v>750039</v>
      </c>
      <c r="W103" s="68">
        <f t="shared" si="86"/>
        <v>2174483</v>
      </c>
    </row>
    <row r="104" hidden="1">
      <c r="A104" s="67">
        <f>DATE(2030,7,1)</f>
        <v>47665</v>
      </c>
      <c r="B104" s="68">
        <f t="shared" si="15"/>
        <v>146</v>
      </c>
      <c r="C104" s="68">
        <f t="shared" si="16"/>
        <v>43</v>
      </c>
      <c r="D104" s="68">
        <f t="shared" si="17"/>
        <v>115</v>
      </c>
      <c r="E104" s="68">
        <f t="shared" si="18"/>
        <v>68</v>
      </c>
      <c r="F104" s="68">
        <f t="shared" si="19"/>
        <v>81</v>
      </c>
      <c r="G104" s="68">
        <f t="shared" si="20"/>
        <v>51</v>
      </c>
      <c r="H104" s="68">
        <f t="shared" si="21"/>
        <v>139</v>
      </c>
      <c r="I104" s="68">
        <f t="shared" si="22"/>
        <v>73</v>
      </c>
      <c r="J104" s="68">
        <f t="shared" si="23"/>
        <v>1763747</v>
      </c>
      <c r="K104" s="68">
        <f t="shared" si="24"/>
        <v>756605</v>
      </c>
      <c r="L104" s="68">
        <f t="shared" si="25"/>
        <v>2385891</v>
      </c>
      <c r="M104" s="68">
        <f t="shared" si="26"/>
        <v>1517936</v>
      </c>
      <c r="N104" s="68">
        <f t="shared" si="27"/>
        <v>1595409</v>
      </c>
      <c r="O104" s="68">
        <f t="shared" si="28"/>
        <v>750039</v>
      </c>
      <c r="P104" s="68">
        <f t="shared" si="29"/>
        <v>2190240</v>
      </c>
      <c r="Q104" s="68">
        <f t="shared" si="30"/>
        <v>1265297</v>
      </c>
      <c r="R104" s="68">
        <f t="shared" si="31"/>
        <v>12225164</v>
      </c>
      <c r="S104" s="68">
        <f t="shared" si="32"/>
        <v>2520352</v>
      </c>
      <c r="T104" s="68">
        <f t="shared" si="33"/>
        <v>3903827</v>
      </c>
      <c r="U104" s="68">
        <f t="shared" ref="U104:W104" si="87">N104</f>
        <v>1595409</v>
      </c>
      <c r="V104" s="68">
        <f t="shared" si="87"/>
        <v>750039</v>
      </c>
      <c r="W104" s="68">
        <f t="shared" si="87"/>
        <v>2190240</v>
      </c>
    </row>
    <row r="105" hidden="1">
      <c r="A105" s="67">
        <f>DATE(2030,8,1)</f>
        <v>47696</v>
      </c>
      <c r="B105" s="68">
        <f t="shared" si="15"/>
        <v>147</v>
      </c>
      <c r="C105" s="68">
        <f t="shared" si="16"/>
        <v>43</v>
      </c>
      <c r="D105" s="68">
        <f t="shared" si="17"/>
        <v>115</v>
      </c>
      <c r="E105" s="68">
        <f t="shared" si="18"/>
        <v>68</v>
      </c>
      <c r="F105" s="68">
        <f t="shared" si="19"/>
        <v>82</v>
      </c>
      <c r="G105" s="68">
        <f t="shared" si="20"/>
        <v>51</v>
      </c>
      <c r="H105" s="68">
        <f t="shared" si="21"/>
        <v>141</v>
      </c>
      <c r="I105" s="68">
        <f t="shared" si="22"/>
        <v>73</v>
      </c>
      <c r="J105" s="68">
        <f t="shared" si="23"/>
        <v>1775828</v>
      </c>
      <c r="K105" s="68">
        <f t="shared" si="24"/>
        <v>756605</v>
      </c>
      <c r="L105" s="68">
        <f t="shared" si="25"/>
        <v>2385891</v>
      </c>
      <c r="M105" s="68">
        <f t="shared" si="26"/>
        <v>1517936</v>
      </c>
      <c r="N105" s="68">
        <f t="shared" si="27"/>
        <v>1615105</v>
      </c>
      <c r="O105" s="68">
        <f t="shared" si="28"/>
        <v>750039</v>
      </c>
      <c r="P105" s="68">
        <f t="shared" si="29"/>
        <v>2221754</v>
      </c>
      <c r="Q105" s="68">
        <f t="shared" si="30"/>
        <v>1265297</v>
      </c>
      <c r="R105" s="68">
        <f t="shared" si="31"/>
        <v>12288455</v>
      </c>
      <c r="S105" s="68">
        <f t="shared" si="32"/>
        <v>2532433</v>
      </c>
      <c r="T105" s="68">
        <f t="shared" si="33"/>
        <v>3903827</v>
      </c>
      <c r="U105" s="68">
        <f t="shared" ref="U105:W105" si="88">N105</f>
        <v>1615105</v>
      </c>
      <c r="V105" s="68">
        <f t="shared" si="88"/>
        <v>750039</v>
      </c>
      <c r="W105" s="68">
        <f t="shared" si="88"/>
        <v>2221754</v>
      </c>
    </row>
    <row r="106" hidden="1">
      <c r="A106" s="67">
        <f>DATE(2030,9,1)</f>
        <v>47727</v>
      </c>
      <c r="B106" s="68">
        <f t="shared" si="15"/>
        <v>149</v>
      </c>
      <c r="C106" s="68">
        <f t="shared" si="16"/>
        <v>43</v>
      </c>
      <c r="D106" s="68">
        <f t="shared" si="17"/>
        <v>115</v>
      </c>
      <c r="E106" s="68">
        <f t="shared" si="18"/>
        <v>68</v>
      </c>
      <c r="F106" s="68">
        <f t="shared" si="19"/>
        <v>83</v>
      </c>
      <c r="G106" s="68">
        <f t="shared" si="20"/>
        <v>51</v>
      </c>
      <c r="H106" s="68">
        <f t="shared" si="21"/>
        <v>142</v>
      </c>
      <c r="I106" s="68">
        <f t="shared" si="22"/>
        <v>74</v>
      </c>
      <c r="J106" s="68">
        <f t="shared" si="23"/>
        <v>1799989</v>
      </c>
      <c r="K106" s="68">
        <f t="shared" si="24"/>
        <v>756605</v>
      </c>
      <c r="L106" s="68">
        <f t="shared" si="25"/>
        <v>2385891</v>
      </c>
      <c r="M106" s="68">
        <f t="shared" si="26"/>
        <v>1517936</v>
      </c>
      <c r="N106" s="68">
        <f t="shared" si="27"/>
        <v>1634802</v>
      </c>
      <c r="O106" s="68">
        <f t="shared" si="28"/>
        <v>750039</v>
      </c>
      <c r="P106" s="68">
        <f t="shared" si="29"/>
        <v>2237512</v>
      </c>
      <c r="Q106" s="68">
        <f t="shared" si="30"/>
        <v>1282630</v>
      </c>
      <c r="R106" s="68">
        <f t="shared" si="31"/>
        <v>12365404</v>
      </c>
      <c r="S106" s="68">
        <f t="shared" si="32"/>
        <v>2556594</v>
      </c>
      <c r="T106" s="68">
        <f t="shared" si="33"/>
        <v>3903827</v>
      </c>
      <c r="U106" s="68">
        <f t="shared" ref="U106:W106" si="89">N106</f>
        <v>1634802</v>
      </c>
      <c r="V106" s="68">
        <f t="shared" si="89"/>
        <v>750039</v>
      </c>
      <c r="W106" s="68">
        <f t="shared" si="89"/>
        <v>2237512</v>
      </c>
    </row>
    <row r="107" hidden="1">
      <c r="A107" s="67">
        <f>DATE(2030,10,1)</f>
        <v>47757</v>
      </c>
      <c r="B107" s="68">
        <f t="shared" si="15"/>
        <v>150</v>
      </c>
      <c r="C107" s="68">
        <f t="shared" si="16"/>
        <v>44</v>
      </c>
      <c r="D107" s="68">
        <f t="shared" si="17"/>
        <v>114</v>
      </c>
      <c r="E107" s="68">
        <f t="shared" si="18"/>
        <v>69</v>
      </c>
      <c r="F107" s="68">
        <f t="shared" si="19"/>
        <v>84</v>
      </c>
      <c r="G107" s="68">
        <f t="shared" si="20"/>
        <v>52</v>
      </c>
      <c r="H107" s="68">
        <f t="shared" si="21"/>
        <v>143</v>
      </c>
      <c r="I107" s="68">
        <f t="shared" si="22"/>
        <v>74</v>
      </c>
      <c r="J107" s="68">
        <f t="shared" si="23"/>
        <v>1812069</v>
      </c>
      <c r="K107" s="68">
        <f t="shared" si="24"/>
        <v>774200</v>
      </c>
      <c r="L107" s="68">
        <f t="shared" si="25"/>
        <v>2365144</v>
      </c>
      <c r="M107" s="68">
        <f t="shared" si="26"/>
        <v>1540259</v>
      </c>
      <c r="N107" s="68">
        <f t="shared" si="27"/>
        <v>1654498</v>
      </c>
      <c r="O107" s="68">
        <f t="shared" si="28"/>
        <v>764746</v>
      </c>
      <c r="P107" s="68">
        <f t="shared" si="29"/>
        <v>2253269</v>
      </c>
      <c r="Q107" s="68">
        <f t="shared" si="30"/>
        <v>1282630</v>
      </c>
      <c r="R107" s="68">
        <f t="shared" si="31"/>
        <v>12446815</v>
      </c>
      <c r="S107" s="68">
        <f t="shared" si="32"/>
        <v>2586269</v>
      </c>
      <c r="T107" s="68">
        <f t="shared" si="33"/>
        <v>3905403</v>
      </c>
      <c r="U107" s="68">
        <f t="shared" ref="U107:W107" si="90">N107</f>
        <v>1654498</v>
      </c>
      <c r="V107" s="68">
        <f t="shared" si="90"/>
        <v>764746</v>
      </c>
      <c r="W107" s="68">
        <f t="shared" si="90"/>
        <v>2253269</v>
      </c>
    </row>
    <row r="108" hidden="1">
      <c r="A108" s="67">
        <f>DATE(2030,11,1)</f>
        <v>47788</v>
      </c>
      <c r="B108" s="68">
        <f t="shared" si="15"/>
        <v>151</v>
      </c>
      <c r="C108" s="68">
        <f t="shared" si="16"/>
        <v>44</v>
      </c>
      <c r="D108" s="68">
        <f t="shared" si="17"/>
        <v>114</v>
      </c>
      <c r="E108" s="68">
        <f t="shared" si="18"/>
        <v>69</v>
      </c>
      <c r="F108" s="68">
        <f t="shared" si="19"/>
        <v>85</v>
      </c>
      <c r="G108" s="68">
        <f t="shared" si="20"/>
        <v>52</v>
      </c>
      <c r="H108" s="68">
        <f t="shared" si="21"/>
        <v>145</v>
      </c>
      <c r="I108" s="68">
        <f t="shared" si="22"/>
        <v>75</v>
      </c>
      <c r="J108" s="68">
        <f t="shared" si="23"/>
        <v>1824150</v>
      </c>
      <c r="K108" s="68">
        <f t="shared" si="24"/>
        <v>774200</v>
      </c>
      <c r="L108" s="68">
        <f t="shared" si="25"/>
        <v>2365144</v>
      </c>
      <c r="M108" s="68">
        <f t="shared" si="26"/>
        <v>1540259</v>
      </c>
      <c r="N108" s="68">
        <f t="shared" si="27"/>
        <v>1674194</v>
      </c>
      <c r="O108" s="68">
        <f t="shared" si="28"/>
        <v>764746</v>
      </c>
      <c r="P108" s="68">
        <f t="shared" si="29"/>
        <v>2284783</v>
      </c>
      <c r="Q108" s="68">
        <f t="shared" si="30"/>
        <v>1299963</v>
      </c>
      <c r="R108" s="68">
        <f t="shared" si="31"/>
        <v>12527439</v>
      </c>
      <c r="S108" s="68">
        <f t="shared" si="32"/>
        <v>2598350</v>
      </c>
      <c r="T108" s="68">
        <f t="shared" si="33"/>
        <v>3905403</v>
      </c>
      <c r="U108" s="68">
        <f t="shared" ref="U108:W108" si="91">N108</f>
        <v>1674194</v>
      </c>
      <c r="V108" s="68">
        <f t="shared" si="91"/>
        <v>764746</v>
      </c>
      <c r="W108" s="68">
        <f t="shared" si="91"/>
        <v>2284783</v>
      </c>
    </row>
    <row r="109" hidden="1">
      <c r="A109" s="67">
        <f>DATE(2030,12,1)</f>
        <v>47818</v>
      </c>
      <c r="B109" s="68">
        <f t="shared" si="15"/>
        <v>152</v>
      </c>
      <c r="C109" s="68">
        <f t="shared" si="16"/>
        <v>44</v>
      </c>
      <c r="D109" s="68">
        <f t="shared" si="17"/>
        <v>114</v>
      </c>
      <c r="E109" s="68">
        <f t="shared" si="18"/>
        <v>69</v>
      </c>
      <c r="F109" s="68">
        <f t="shared" si="19"/>
        <v>86</v>
      </c>
      <c r="G109" s="68">
        <f t="shared" si="20"/>
        <v>52</v>
      </c>
      <c r="H109" s="68">
        <f t="shared" si="21"/>
        <v>146</v>
      </c>
      <c r="I109" s="68">
        <f t="shared" si="22"/>
        <v>75</v>
      </c>
      <c r="J109" s="68">
        <f t="shared" si="23"/>
        <v>1836230</v>
      </c>
      <c r="K109" s="68">
        <f t="shared" si="24"/>
        <v>774200</v>
      </c>
      <c r="L109" s="68">
        <f t="shared" si="25"/>
        <v>2365144</v>
      </c>
      <c r="M109" s="68">
        <f t="shared" si="26"/>
        <v>1540259</v>
      </c>
      <c r="N109" s="68">
        <f t="shared" si="27"/>
        <v>1693891</v>
      </c>
      <c r="O109" s="68">
        <f t="shared" si="28"/>
        <v>764746</v>
      </c>
      <c r="P109" s="68">
        <f t="shared" si="29"/>
        <v>2300540</v>
      </c>
      <c r="Q109" s="68">
        <f t="shared" si="30"/>
        <v>1299963</v>
      </c>
      <c r="R109" s="68">
        <f t="shared" si="31"/>
        <v>12574973</v>
      </c>
      <c r="S109" s="68">
        <f t="shared" si="32"/>
        <v>2610430</v>
      </c>
      <c r="T109" s="68">
        <f t="shared" si="33"/>
        <v>3905403</v>
      </c>
      <c r="U109" s="68">
        <f t="shared" ref="U109:W109" si="92">N109</f>
        <v>1693891</v>
      </c>
      <c r="V109" s="68">
        <f t="shared" si="92"/>
        <v>764746</v>
      </c>
      <c r="W109" s="68">
        <f t="shared" si="92"/>
        <v>2300540</v>
      </c>
    </row>
    <row r="110" hidden="1">
      <c r="A110" s="67">
        <f>DATE(2031,1,1)</f>
        <v>47849</v>
      </c>
      <c r="B110" s="68">
        <f t="shared" si="15"/>
        <v>153</v>
      </c>
      <c r="C110" s="68">
        <f t="shared" si="16"/>
        <v>44</v>
      </c>
      <c r="D110" s="68">
        <f t="shared" si="17"/>
        <v>114</v>
      </c>
      <c r="E110" s="68">
        <f t="shared" si="18"/>
        <v>69</v>
      </c>
      <c r="F110" s="68">
        <f t="shared" si="19"/>
        <v>87</v>
      </c>
      <c r="G110" s="68">
        <f t="shared" si="20"/>
        <v>52</v>
      </c>
      <c r="H110" s="68">
        <f t="shared" si="21"/>
        <v>147</v>
      </c>
      <c r="I110" s="68">
        <f t="shared" si="22"/>
        <v>75</v>
      </c>
      <c r="J110" s="68">
        <f t="shared" si="23"/>
        <v>1903760</v>
      </c>
      <c r="K110" s="68">
        <f t="shared" si="24"/>
        <v>797426</v>
      </c>
      <c r="L110" s="68">
        <f t="shared" si="25"/>
        <v>2436099</v>
      </c>
      <c r="M110" s="68">
        <f t="shared" si="26"/>
        <v>1586467</v>
      </c>
      <c r="N110" s="68">
        <f t="shared" si="27"/>
        <v>1764995</v>
      </c>
      <c r="O110" s="68">
        <f t="shared" si="28"/>
        <v>787688</v>
      </c>
      <c r="P110" s="68">
        <f t="shared" si="29"/>
        <v>2385786</v>
      </c>
      <c r="Q110" s="68">
        <f t="shared" si="30"/>
        <v>1338962</v>
      </c>
      <c r="R110" s="68">
        <f t="shared" si="31"/>
        <v>13001183</v>
      </c>
      <c r="S110" s="68">
        <f t="shared" si="32"/>
        <v>2701186</v>
      </c>
      <c r="T110" s="68">
        <f t="shared" si="33"/>
        <v>4022566</v>
      </c>
      <c r="U110" s="68">
        <f t="shared" ref="U110:W110" si="93">N110</f>
        <v>1764995</v>
      </c>
      <c r="V110" s="68">
        <f t="shared" si="93"/>
        <v>787688</v>
      </c>
      <c r="W110" s="68">
        <f t="shared" si="93"/>
        <v>2385786</v>
      </c>
    </row>
    <row r="111" hidden="1">
      <c r="A111" s="67">
        <f>DATE(2031,2,1)</f>
        <v>47880</v>
      </c>
      <c r="B111" s="68">
        <f t="shared" si="15"/>
        <v>154</v>
      </c>
      <c r="C111" s="68">
        <f t="shared" si="16"/>
        <v>45</v>
      </c>
      <c r="D111" s="68">
        <f t="shared" si="17"/>
        <v>114</v>
      </c>
      <c r="E111" s="68">
        <f t="shared" si="18"/>
        <v>70</v>
      </c>
      <c r="F111" s="68">
        <f t="shared" si="19"/>
        <v>88</v>
      </c>
      <c r="G111" s="68">
        <f t="shared" si="20"/>
        <v>53</v>
      </c>
      <c r="H111" s="68">
        <f t="shared" si="21"/>
        <v>149</v>
      </c>
      <c r="I111" s="68">
        <f t="shared" si="22"/>
        <v>76</v>
      </c>
      <c r="J111" s="68">
        <f t="shared" si="23"/>
        <v>1916203</v>
      </c>
      <c r="K111" s="68">
        <f t="shared" si="24"/>
        <v>815549</v>
      </c>
      <c r="L111" s="68">
        <f t="shared" si="25"/>
        <v>2436099</v>
      </c>
      <c r="M111" s="68">
        <f t="shared" si="26"/>
        <v>1609459</v>
      </c>
      <c r="N111" s="68">
        <f t="shared" si="27"/>
        <v>1785282</v>
      </c>
      <c r="O111" s="68">
        <f t="shared" si="28"/>
        <v>802836</v>
      </c>
      <c r="P111" s="68">
        <f t="shared" si="29"/>
        <v>2418246</v>
      </c>
      <c r="Q111" s="68">
        <f t="shared" si="30"/>
        <v>1356814</v>
      </c>
      <c r="R111" s="68">
        <f t="shared" si="31"/>
        <v>13140488</v>
      </c>
      <c r="S111" s="68">
        <f t="shared" si="32"/>
        <v>2731752</v>
      </c>
      <c r="T111" s="68">
        <f t="shared" si="33"/>
        <v>4045558</v>
      </c>
      <c r="U111" s="68">
        <f t="shared" ref="U111:W111" si="94">N111</f>
        <v>1785282</v>
      </c>
      <c r="V111" s="68">
        <f t="shared" si="94"/>
        <v>802836</v>
      </c>
      <c r="W111" s="68">
        <f t="shared" si="94"/>
        <v>2418246</v>
      </c>
    </row>
    <row r="112" hidden="1">
      <c r="A112" s="67">
        <f>DATE(2031,3,1)</f>
        <v>47908</v>
      </c>
      <c r="B112" s="68">
        <f t="shared" si="15"/>
        <v>155</v>
      </c>
      <c r="C112" s="68">
        <f t="shared" si="16"/>
        <v>45</v>
      </c>
      <c r="D112" s="68">
        <f t="shared" si="17"/>
        <v>114</v>
      </c>
      <c r="E112" s="68">
        <f t="shared" si="18"/>
        <v>70</v>
      </c>
      <c r="F112" s="68">
        <f t="shared" si="19"/>
        <v>89</v>
      </c>
      <c r="G112" s="68">
        <f t="shared" si="20"/>
        <v>53</v>
      </c>
      <c r="H112" s="68">
        <f t="shared" si="21"/>
        <v>150</v>
      </c>
      <c r="I112" s="68">
        <f t="shared" si="22"/>
        <v>76</v>
      </c>
      <c r="J112" s="68">
        <f t="shared" si="23"/>
        <v>1928646</v>
      </c>
      <c r="K112" s="68">
        <f t="shared" si="24"/>
        <v>815549</v>
      </c>
      <c r="L112" s="68">
        <f t="shared" si="25"/>
        <v>2436099</v>
      </c>
      <c r="M112" s="68">
        <f t="shared" si="26"/>
        <v>1609459</v>
      </c>
      <c r="N112" s="68">
        <f t="shared" si="27"/>
        <v>1805569</v>
      </c>
      <c r="O112" s="68">
        <f t="shared" si="28"/>
        <v>802836</v>
      </c>
      <c r="P112" s="68">
        <f t="shared" si="29"/>
        <v>2434476</v>
      </c>
      <c r="Q112" s="68">
        <f t="shared" si="30"/>
        <v>1356814</v>
      </c>
      <c r="R112" s="68">
        <f t="shared" si="31"/>
        <v>13189448</v>
      </c>
      <c r="S112" s="68">
        <f t="shared" si="32"/>
        <v>2744195</v>
      </c>
      <c r="T112" s="68">
        <f t="shared" si="33"/>
        <v>4045558</v>
      </c>
      <c r="U112" s="68">
        <f t="shared" ref="U112:W112" si="95">N112</f>
        <v>1805569</v>
      </c>
      <c r="V112" s="68">
        <f t="shared" si="95"/>
        <v>802836</v>
      </c>
      <c r="W112" s="68">
        <f t="shared" si="95"/>
        <v>2434476</v>
      </c>
    </row>
    <row r="113" hidden="1">
      <c r="A113" s="67">
        <f>DATE(2031,4,1)</f>
        <v>47939</v>
      </c>
      <c r="B113" s="68">
        <f t="shared" si="15"/>
        <v>156</v>
      </c>
      <c r="C113" s="68">
        <f t="shared" si="16"/>
        <v>45</v>
      </c>
      <c r="D113" s="68">
        <f t="shared" si="17"/>
        <v>113</v>
      </c>
      <c r="E113" s="68">
        <f t="shared" si="18"/>
        <v>70</v>
      </c>
      <c r="F113" s="68">
        <f t="shared" si="19"/>
        <v>90</v>
      </c>
      <c r="G113" s="68">
        <f t="shared" si="20"/>
        <v>53</v>
      </c>
      <c r="H113" s="68">
        <f t="shared" si="21"/>
        <v>151</v>
      </c>
      <c r="I113" s="68">
        <f t="shared" si="22"/>
        <v>77</v>
      </c>
      <c r="J113" s="68">
        <f t="shared" si="23"/>
        <v>1941089</v>
      </c>
      <c r="K113" s="68">
        <f t="shared" si="24"/>
        <v>815549</v>
      </c>
      <c r="L113" s="68">
        <f t="shared" si="25"/>
        <v>2414729</v>
      </c>
      <c r="M113" s="68">
        <f t="shared" si="26"/>
        <v>1609459</v>
      </c>
      <c r="N113" s="68">
        <f t="shared" si="27"/>
        <v>1825857</v>
      </c>
      <c r="O113" s="68">
        <f t="shared" si="28"/>
        <v>802836</v>
      </c>
      <c r="P113" s="68">
        <f t="shared" si="29"/>
        <v>2450705</v>
      </c>
      <c r="Q113" s="68">
        <f t="shared" si="30"/>
        <v>1374667</v>
      </c>
      <c r="R113" s="68">
        <f t="shared" si="31"/>
        <v>13234891</v>
      </c>
      <c r="S113" s="68">
        <f t="shared" si="32"/>
        <v>2756638</v>
      </c>
      <c r="T113" s="68">
        <f t="shared" si="33"/>
        <v>4024188</v>
      </c>
      <c r="U113" s="68">
        <f t="shared" ref="U113:W113" si="96">N113</f>
        <v>1825857</v>
      </c>
      <c r="V113" s="68">
        <f t="shared" si="96"/>
        <v>802836</v>
      </c>
      <c r="W113" s="68">
        <f t="shared" si="96"/>
        <v>2450705</v>
      </c>
    </row>
    <row r="114" hidden="1">
      <c r="A114" s="67">
        <f>DATE(2031,5,1)</f>
        <v>47969</v>
      </c>
      <c r="B114" s="68">
        <f t="shared" si="15"/>
        <v>157</v>
      </c>
      <c r="C114" s="68">
        <f t="shared" si="16"/>
        <v>45</v>
      </c>
      <c r="D114" s="68">
        <f t="shared" si="17"/>
        <v>113</v>
      </c>
      <c r="E114" s="68">
        <f t="shared" si="18"/>
        <v>70</v>
      </c>
      <c r="F114" s="68">
        <f t="shared" si="19"/>
        <v>91</v>
      </c>
      <c r="G114" s="68">
        <f t="shared" si="20"/>
        <v>53</v>
      </c>
      <c r="H114" s="68">
        <f t="shared" si="21"/>
        <v>152</v>
      </c>
      <c r="I114" s="68">
        <f t="shared" si="22"/>
        <v>77</v>
      </c>
      <c r="J114" s="68">
        <f t="shared" si="23"/>
        <v>1953531</v>
      </c>
      <c r="K114" s="68">
        <f t="shared" si="24"/>
        <v>815549</v>
      </c>
      <c r="L114" s="68">
        <f t="shared" si="25"/>
        <v>2414729</v>
      </c>
      <c r="M114" s="68">
        <f t="shared" si="26"/>
        <v>1609459</v>
      </c>
      <c r="N114" s="68">
        <f t="shared" si="27"/>
        <v>1846144</v>
      </c>
      <c r="O114" s="68">
        <f t="shared" si="28"/>
        <v>802836</v>
      </c>
      <c r="P114" s="68">
        <f t="shared" si="29"/>
        <v>2466935</v>
      </c>
      <c r="Q114" s="68">
        <f t="shared" si="30"/>
        <v>1374667</v>
      </c>
      <c r="R114" s="68">
        <f t="shared" si="31"/>
        <v>13283850</v>
      </c>
      <c r="S114" s="68">
        <f t="shared" si="32"/>
        <v>2769080</v>
      </c>
      <c r="T114" s="68">
        <f t="shared" si="33"/>
        <v>4024188</v>
      </c>
      <c r="U114" s="68">
        <f t="shared" ref="U114:W114" si="97">N114</f>
        <v>1846144</v>
      </c>
      <c r="V114" s="68">
        <f t="shared" si="97"/>
        <v>802836</v>
      </c>
      <c r="W114" s="68">
        <f t="shared" si="97"/>
        <v>2466935</v>
      </c>
    </row>
    <row r="115" hidden="1">
      <c r="A115" s="67">
        <f>DATE(2031,6,1)</f>
        <v>48000</v>
      </c>
      <c r="B115" s="68">
        <f t="shared" si="15"/>
        <v>158</v>
      </c>
      <c r="C115" s="68">
        <f t="shared" si="16"/>
        <v>46</v>
      </c>
      <c r="D115" s="68">
        <f t="shared" si="17"/>
        <v>113</v>
      </c>
      <c r="E115" s="68">
        <f t="shared" si="18"/>
        <v>71</v>
      </c>
      <c r="F115" s="68">
        <f t="shared" si="19"/>
        <v>93</v>
      </c>
      <c r="G115" s="68">
        <f t="shared" si="20"/>
        <v>54</v>
      </c>
      <c r="H115" s="68">
        <f t="shared" si="21"/>
        <v>154</v>
      </c>
      <c r="I115" s="68">
        <f t="shared" si="22"/>
        <v>78</v>
      </c>
      <c r="J115" s="68">
        <f t="shared" si="23"/>
        <v>1965974</v>
      </c>
      <c r="K115" s="68">
        <f t="shared" si="24"/>
        <v>833673</v>
      </c>
      <c r="L115" s="68">
        <f t="shared" si="25"/>
        <v>2414729</v>
      </c>
      <c r="M115" s="68">
        <f t="shared" si="26"/>
        <v>1632451</v>
      </c>
      <c r="N115" s="68">
        <f t="shared" si="27"/>
        <v>1886719</v>
      </c>
      <c r="O115" s="68">
        <f t="shared" si="28"/>
        <v>817984</v>
      </c>
      <c r="P115" s="68">
        <f t="shared" si="29"/>
        <v>2499395</v>
      </c>
      <c r="Q115" s="68">
        <f t="shared" si="30"/>
        <v>1392520</v>
      </c>
      <c r="R115" s="68">
        <f t="shared" si="31"/>
        <v>13443445</v>
      </c>
      <c r="S115" s="68">
        <f t="shared" si="32"/>
        <v>2799647</v>
      </c>
      <c r="T115" s="68">
        <f t="shared" si="33"/>
        <v>4047180</v>
      </c>
      <c r="U115" s="68">
        <f t="shared" ref="U115:W115" si="98">N115</f>
        <v>1886719</v>
      </c>
      <c r="V115" s="68">
        <f t="shared" si="98"/>
        <v>817984</v>
      </c>
      <c r="W115" s="68">
        <f t="shared" si="98"/>
        <v>2499395</v>
      </c>
    </row>
    <row r="116" hidden="1">
      <c r="A116" s="67">
        <f>DATE(2031,7,1)</f>
        <v>48030</v>
      </c>
      <c r="B116" s="68">
        <f t="shared" si="15"/>
        <v>159</v>
      </c>
      <c r="C116" s="68">
        <f t="shared" si="16"/>
        <v>46</v>
      </c>
      <c r="D116" s="68">
        <f t="shared" si="17"/>
        <v>113</v>
      </c>
      <c r="E116" s="68">
        <f t="shared" si="18"/>
        <v>71</v>
      </c>
      <c r="F116" s="68">
        <f t="shared" si="19"/>
        <v>94</v>
      </c>
      <c r="G116" s="68">
        <f t="shared" si="20"/>
        <v>54</v>
      </c>
      <c r="H116" s="68">
        <f t="shared" si="21"/>
        <v>155</v>
      </c>
      <c r="I116" s="68">
        <f t="shared" si="22"/>
        <v>78</v>
      </c>
      <c r="J116" s="68">
        <f t="shared" si="23"/>
        <v>1978417</v>
      </c>
      <c r="K116" s="68">
        <f t="shared" si="24"/>
        <v>833673</v>
      </c>
      <c r="L116" s="68">
        <f t="shared" si="25"/>
        <v>2414729</v>
      </c>
      <c r="M116" s="68">
        <f t="shared" si="26"/>
        <v>1632451</v>
      </c>
      <c r="N116" s="68">
        <f t="shared" si="27"/>
        <v>1907006</v>
      </c>
      <c r="O116" s="68">
        <f t="shared" si="28"/>
        <v>817984</v>
      </c>
      <c r="P116" s="68">
        <f t="shared" si="29"/>
        <v>2515625</v>
      </c>
      <c r="Q116" s="68">
        <f t="shared" si="30"/>
        <v>1392520</v>
      </c>
      <c r="R116" s="68">
        <f t="shared" si="31"/>
        <v>13492405</v>
      </c>
      <c r="S116" s="68">
        <f t="shared" si="32"/>
        <v>2812090</v>
      </c>
      <c r="T116" s="68">
        <f t="shared" si="33"/>
        <v>4047180</v>
      </c>
      <c r="U116" s="68">
        <f t="shared" ref="U116:W116" si="99">N116</f>
        <v>1907006</v>
      </c>
      <c r="V116" s="68">
        <f t="shared" si="99"/>
        <v>817984</v>
      </c>
      <c r="W116" s="68">
        <f t="shared" si="99"/>
        <v>2515625</v>
      </c>
    </row>
    <row r="117" hidden="1">
      <c r="A117" s="67">
        <f>DATE(2031,8,1)</f>
        <v>48061</v>
      </c>
      <c r="B117" s="68">
        <f t="shared" si="15"/>
        <v>160</v>
      </c>
      <c r="C117" s="68">
        <f t="shared" si="16"/>
        <v>46</v>
      </c>
      <c r="D117" s="68">
        <f t="shared" si="17"/>
        <v>113</v>
      </c>
      <c r="E117" s="68">
        <f t="shared" si="18"/>
        <v>71</v>
      </c>
      <c r="F117" s="68">
        <f t="shared" si="19"/>
        <v>95</v>
      </c>
      <c r="G117" s="68">
        <f t="shared" si="20"/>
        <v>54</v>
      </c>
      <c r="H117" s="68">
        <f t="shared" si="21"/>
        <v>156</v>
      </c>
      <c r="I117" s="68">
        <f t="shared" si="22"/>
        <v>78</v>
      </c>
      <c r="J117" s="68">
        <f t="shared" si="23"/>
        <v>1990860</v>
      </c>
      <c r="K117" s="68">
        <f t="shared" si="24"/>
        <v>833673</v>
      </c>
      <c r="L117" s="68">
        <f t="shared" si="25"/>
        <v>2414729</v>
      </c>
      <c r="M117" s="68">
        <f t="shared" si="26"/>
        <v>1632451</v>
      </c>
      <c r="N117" s="68">
        <f t="shared" si="27"/>
        <v>1927293</v>
      </c>
      <c r="O117" s="68">
        <f t="shared" si="28"/>
        <v>817984</v>
      </c>
      <c r="P117" s="68">
        <f t="shared" si="29"/>
        <v>2531855</v>
      </c>
      <c r="Q117" s="68">
        <f t="shared" si="30"/>
        <v>1392520</v>
      </c>
      <c r="R117" s="68">
        <f t="shared" si="31"/>
        <v>13541365</v>
      </c>
      <c r="S117" s="68">
        <f t="shared" si="32"/>
        <v>2824533</v>
      </c>
      <c r="T117" s="68">
        <f t="shared" si="33"/>
        <v>4047180</v>
      </c>
      <c r="U117" s="68">
        <f t="shared" ref="U117:W117" si="100">N117</f>
        <v>1927293</v>
      </c>
      <c r="V117" s="68">
        <f t="shared" si="100"/>
        <v>817984</v>
      </c>
      <c r="W117" s="68">
        <f t="shared" si="100"/>
        <v>2531855</v>
      </c>
    </row>
    <row r="118" hidden="1">
      <c r="A118" s="67">
        <f>DATE(2031,9,1)</f>
        <v>48092</v>
      </c>
      <c r="B118" s="68">
        <f t="shared" si="15"/>
        <v>161</v>
      </c>
      <c r="C118" s="68">
        <f t="shared" si="16"/>
        <v>46</v>
      </c>
      <c r="D118" s="68">
        <f t="shared" si="17"/>
        <v>113</v>
      </c>
      <c r="E118" s="68">
        <f t="shared" si="18"/>
        <v>71</v>
      </c>
      <c r="F118" s="68">
        <f t="shared" si="19"/>
        <v>96</v>
      </c>
      <c r="G118" s="68">
        <f t="shared" si="20"/>
        <v>54</v>
      </c>
      <c r="H118" s="68">
        <f t="shared" si="21"/>
        <v>157</v>
      </c>
      <c r="I118" s="68">
        <f t="shared" si="22"/>
        <v>79</v>
      </c>
      <c r="J118" s="68">
        <f t="shared" si="23"/>
        <v>2003303</v>
      </c>
      <c r="K118" s="68">
        <f t="shared" si="24"/>
        <v>833673</v>
      </c>
      <c r="L118" s="68">
        <f t="shared" si="25"/>
        <v>2414729</v>
      </c>
      <c r="M118" s="68">
        <f t="shared" si="26"/>
        <v>1632451</v>
      </c>
      <c r="N118" s="68">
        <f t="shared" si="27"/>
        <v>1947580</v>
      </c>
      <c r="O118" s="68">
        <f t="shared" si="28"/>
        <v>817984</v>
      </c>
      <c r="P118" s="68">
        <f t="shared" si="29"/>
        <v>2548084</v>
      </c>
      <c r="Q118" s="68">
        <f t="shared" si="30"/>
        <v>1410373</v>
      </c>
      <c r="R118" s="68">
        <f t="shared" si="31"/>
        <v>13608177</v>
      </c>
      <c r="S118" s="68">
        <f t="shared" si="32"/>
        <v>2836976</v>
      </c>
      <c r="T118" s="68">
        <f t="shared" si="33"/>
        <v>4047180</v>
      </c>
      <c r="U118" s="68">
        <f t="shared" ref="U118:W118" si="101">N118</f>
        <v>1947580</v>
      </c>
      <c r="V118" s="68">
        <f t="shared" si="101"/>
        <v>817984</v>
      </c>
      <c r="W118" s="68">
        <f t="shared" si="101"/>
        <v>2548084</v>
      </c>
    </row>
    <row r="119" hidden="1">
      <c r="A119" s="67">
        <f>DATE(2031,10,1)</f>
        <v>48122</v>
      </c>
      <c r="B119" s="68">
        <f t="shared" si="15"/>
        <v>162</v>
      </c>
      <c r="C119" s="68">
        <f t="shared" si="16"/>
        <v>47</v>
      </c>
      <c r="D119" s="68">
        <f t="shared" si="17"/>
        <v>112</v>
      </c>
      <c r="E119" s="68">
        <f t="shared" si="18"/>
        <v>72</v>
      </c>
      <c r="F119" s="68">
        <f t="shared" si="19"/>
        <v>97</v>
      </c>
      <c r="G119" s="68">
        <f t="shared" si="20"/>
        <v>55</v>
      </c>
      <c r="H119" s="68">
        <f t="shared" si="21"/>
        <v>159</v>
      </c>
      <c r="I119" s="68">
        <f t="shared" si="22"/>
        <v>79</v>
      </c>
      <c r="J119" s="68">
        <f t="shared" si="23"/>
        <v>2015746</v>
      </c>
      <c r="K119" s="68">
        <f t="shared" si="24"/>
        <v>851796</v>
      </c>
      <c r="L119" s="68">
        <f t="shared" si="25"/>
        <v>2393360</v>
      </c>
      <c r="M119" s="68">
        <f t="shared" si="26"/>
        <v>1655443</v>
      </c>
      <c r="N119" s="68">
        <f t="shared" si="27"/>
        <v>1967868</v>
      </c>
      <c r="O119" s="68">
        <f t="shared" si="28"/>
        <v>833132</v>
      </c>
      <c r="P119" s="68">
        <f t="shared" si="29"/>
        <v>2580544</v>
      </c>
      <c r="Q119" s="68">
        <f t="shared" si="30"/>
        <v>1410373</v>
      </c>
      <c r="R119" s="68">
        <f t="shared" si="31"/>
        <v>13708262</v>
      </c>
      <c r="S119" s="68">
        <f t="shared" si="32"/>
        <v>2867542</v>
      </c>
      <c r="T119" s="68">
        <f t="shared" si="33"/>
        <v>4048803</v>
      </c>
      <c r="U119" s="68">
        <f t="shared" ref="U119:W119" si="102">N119</f>
        <v>1967868</v>
      </c>
      <c r="V119" s="68">
        <f t="shared" si="102"/>
        <v>833132</v>
      </c>
      <c r="W119" s="68">
        <f t="shared" si="102"/>
        <v>2580544</v>
      </c>
    </row>
    <row r="120" hidden="1">
      <c r="A120" s="67">
        <f>DATE(2031,11,1)</f>
        <v>48153</v>
      </c>
      <c r="B120" s="68">
        <f t="shared" si="15"/>
        <v>163</v>
      </c>
      <c r="C120" s="68">
        <f t="shared" si="16"/>
        <v>47</v>
      </c>
      <c r="D120" s="68">
        <f t="shared" si="17"/>
        <v>112</v>
      </c>
      <c r="E120" s="68">
        <f t="shared" si="18"/>
        <v>72</v>
      </c>
      <c r="F120" s="68">
        <f t="shared" si="19"/>
        <v>98</v>
      </c>
      <c r="G120" s="68">
        <f t="shared" si="20"/>
        <v>55</v>
      </c>
      <c r="H120" s="68">
        <f t="shared" si="21"/>
        <v>160</v>
      </c>
      <c r="I120" s="68">
        <f t="shared" si="22"/>
        <v>80</v>
      </c>
      <c r="J120" s="68">
        <f t="shared" si="23"/>
        <v>2028189</v>
      </c>
      <c r="K120" s="68">
        <f t="shared" si="24"/>
        <v>851796</v>
      </c>
      <c r="L120" s="68">
        <f t="shared" si="25"/>
        <v>2393360</v>
      </c>
      <c r="M120" s="68">
        <f t="shared" si="26"/>
        <v>1655443</v>
      </c>
      <c r="N120" s="68">
        <f t="shared" si="27"/>
        <v>1988155</v>
      </c>
      <c r="O120" s="68">
        <f t="shared" si="28"/>
        <v>833132</v>
      </c>
      <c r="P120" s="68">
        <f t="shared" si="29"/>
        <v>2596774</v>
      </c>
      <c r="Q120" s="68">
        <f t="shared" si="30"/>
        <v>1428226</v>
      </c>
      <c r="R120" s="68">
        <f t="shared" si="31"/>
        <v>13775075</v>
      </c>
      <c r="S120" s="68">
        <f t="shared" si="32"/>
        <v>2879985</v>
      </c>
      <c r="T120" s="68">
        <f t="shared" si="33"/>
        <v>4048803</v>
      </c>
      <c r="U120" s="68">
        <f t="shared" ref="U120:W120" si="103">N120</f>
        <v>1988155</v>
      </c>
      <c r="V120" s="68">
        <f t="shared" si="103"/>
        <v>833132</v>
      </c>
      <c r="W120" s="68">
        <f t="shared" si="103"/>
        <v>2596774</v>
      </c>
    </row>
    <row r="121" hidden="1">
      <c r="A121" s="67">
        <f>DATE(2031,12,1)</f>
        <v>48183</v>
      </c>
      <c r="B121" s="68">
        <f t="shared" si="15"/>
        <v>164</v>
      </c>
      <c r="C121" s="68">
        <f t="shared" si="16"/>
        <v>47</v>
      </c>
      <c r="D121" s="68">
        <f t="shared" si="17"/>
        <v>112</v>
      </c>
      <c r="E121" s="68">
        <f t="shared" si="18"/>
        <v>72</v>
      </c>
      <c r="F121" s="68">
        <f t="shared" si="19"/>
        <v>99</v>
      </c>
      <c r="G121" s="68">
        <f t="shared" si="20"/>
        <v>55</v>
      </c>
      <c r="H121" s="68">
        <f t="shared" si="21"/>
        <v>161</v>
      </c>
      <c r="I121" s="68">
        <f t="shared" si="22"/>
        <v>80</v>
      </c>
      <c r="J121" s="68">
        <f t="shared" si="23"/>
        <v>2040632</v>
      </c>
      <c r="K121" s="68">
        <f t="shared" si="24"/>
        <v>851796</v>
      </c>
      <c r="L121" s="68">
        <f t="shared" si="25"/>
        <v>2393360</v>
      </c>
      <c r="M121" s="68">
        <f t="shared" si="26"/>
        <v>1655443</v>
      </c>
      <c r="N121" s="68">
        <f t="shared" si="27"/>
        <v>2008442</v>
      </c>
      <c r="O121" s="68">
        <f t="shared" si="28"/>
        <v>833132</v>
      </c>
      <c r="P121" s="68">
        <f t="shared" si="29"/>
        <v>2613004</v>
      </c>
      <c r="Q121" s="68">
        <f t="shared" si="30"/>
        <v>1428226</v>
      </c>
      <c r="R121" s="68">
        <f t="shared" si="31"/>
        <v>13824035</v>
      </c>
      <c r="S121" s="68">
        <f t="shared" si="32"/>
        <v>2892428</v>
      </c>
      <c r="T121" s="68">
        <f t="shared" si="33"/>
        <v>4048803</v>
      </c>
      <c r="U121" s="68">
        <f t="shared" ref="U121:W121" si="104">N121</f>
        <v>2008442</v>
      </c>
      <c r="V121" s="68">
        <f t="shared" si="104"/>
        <v>833132</v>
      </c>
      <c r="W121" s="68">
        <f t="shared" si="104"/>
        <v>2613004</v>
      </c>
    </row>
    <row r="122" hidden="1">
      <c r="A122" s="67">
        <f>DATE(2032,1,1)</f>
        <v>48214</v>
      </c>
      <c r="B122" s="68">
        <f t="shared" si="15"/>
        <v>165</v>
      </c>
      <c r="C122" s="68">
        <f t="shared" si="16"/>
        <v>47</v>
      </c>
      <c r="D122" s="68">
        <f t="shared" si="17"/>
        <v>112</v>
      </c>
      <c r="E122" s="68">
        <f t="shared" si="18"/>
        <v>72</v>
      </c>
      <c r="F122" s="68">
        <f t="shared" si="19"/>
        <v>100</v>
      </c>
      <c r="G122" s="68">
        <f t="shared" si="20"/>
        <v>55</v>
      </c>
      <c r="H122" s="68">
        <f t="shared" si="21"/>
        <v>162</v>
      </c>
      <c r="I122" s="68">
        <f t="shared" si="22"/>
        <v>80</v>
      </c>
      <c r="J122" s="68">
        <f t="shared" si="23"/>
        <v>2114667</v>
      </c>
      <c r="K122" s="68">
        <f t="shared" si="24"/>
        <v>877350</v>
      </c>
      <c r="L122" s="68">
        <f t="shared" si="25"/>
        <v>2465161</v>
      </c>
      <c r="M122" s="68">
        <f t="shared" si="26"/>
        <v>1705107</v>
      </c>
      <c r="N122" s="68">
        <f t="shared" si="27"/>
        <v>2089592</v>
      </c>
      <c r="O122" s="68">
        <f t="shared" si="28"/>
        <v>858126</v>
      </c>
      <c r="P122" s="68">
        <f t="shared" si="29"/>
        <v>2708111</v>
      </c>
      <c r="Q122" s="68">
        <f t="shared" si="30"/>
        <v>1471072</v>
      </c>
      <c r="R122" s="68">
        <f t="shared" si="31"/>
        <v>14289186</v>
      </c>
      <c r="S122" s="68">
        <f t="shared" si="32"/>
        <v>2992017</v>
      </c>
      <c r="T122" s="68">
        <f t="shared" si="33"/>
        <v>4170268</v>
      </c>
      <c r="U122" s="68">
        <f t="shared" ref="U122:W122" si="105">N122</f>
        <v>2089592</v>
      </c>
      <c r="V122" s="68">
        <f t="shared" si="105"/>
        <v>858126</v>
      </c>
      <c r="W122" s="68">
        <f t="shared" si="105"/>
        <v>2708111</v>
      </c>
    </row>
    <row r="123" hidden="1">
      <c r="A123" s="67">
        <f>DATE(2032,2,1)</f>
        <v>48245</v>
      </c>
      <c r="B123" s="68">
        <f t="shared" si="15"/>
        <v>166</v>
      </c>
      <c r="C123" s="68">
        <f t="shared" si="16"/>
        <v>47</v>
      </c>
      <c r="D123" s="68">
        <f t="shared" si="17"/>
        <v>112</v>
      </c>
      <c r="E123" s="68">
        <f t="shared" si="18"/>
        <v>73</v>
      </c>
      <c r="F123" s="68">
        <f t="shared" si="19"/>
        <v>101</v>
      </c>
      <c r="G123" s="68">
        <f t="shared" si="20"/>
        <v>56</v>
      </c>
      <c r="H123" s="68">
        <f t="shared" si="21"/>
        <v>163</v>
      </c>
      <c r="I123" s="68">
        <f t="shared" si="22"/>
        <v>81</v>
      </c>
      <c r="J123" s="68">
        <f t="shared" si="23"/>
        <v>2127483</v>
      </c>
      <c r="K123" s="68">
        <f t="shared" si="24"/>
        <v>877350</v>
      </c>
      <c r="L123" s="68">
        <f t="shared" si="25"/>
        <v>2465161</v>
      </c>
      <c r="M123" s="68">
        <f t="shared" si="26"/>
        <v>1728789</v>
      </c>
      <c r="N123" s="68">
        <f t="shared" si="27"/>
        <v>2110487</v>
      </c>
      <c r="O123" s="68">
        <f t="shared" si="28"/>
        <v>873728</v>
      </c>
      <c r="P123" s="68">
        <f t="shared" si="29"/>
        <v>2724827</v>
      </c>
      <c r="Q123" s="68">
        <f t="shared" si="30"/>
        <v>1489461</v>
      </c>
      <c r="R123" s="68">
        <f t="shared" si="31"/>
        <v>14397286</v>
      </c>
      <c r="S123" s="68">
        <f t="shared" si="32"/>
        <v>3004833</v>
      </c>
      <c r="T123" s="68">
        <f t="shared" si="33"/>
        <v>4193950</v>
      </c>
      <c r="U123" s="68">
        <f t="shared" ref="U123:W123" si="106">N123</f>
        <v>2110487</v>
      </c>
      <c r="V123" s="68">
        <f t="shared" si="106"/>
        <v>873728</v>
      </c>
      <c r="W123" s="68">
        <f t="shared" si="106"/>
        <v>2724827</v>
      </c>
    </row>
    <row r="124" hidden="1">
      <c r="A124" s="67">
        <f>DATE(2032,3,1)</f>
        <v>48274</v>
      </c>
      <c r="B124" s="68">
        <f t="shared" si="15"/>
        <v>167</v>
      </c>
      <c r="C124" s="68">
        <f t="shared" si="16"/>
        <v>48</v>
      </c>
      <c r="D124" s="68">
        <f t="shared" si="17"/>
        <v>111</v>
      </c>
      <c r="E124" s="68">
        <f t="shared" si="18"/>
        <v>73</v>
      </c>
      <c r="F124" s="68">
        <f t="shared" si="19"/>
        <v>102</v>
      </c>
      <c r="G124" s="68">
        <f t="shared" si="20"/>
        <v>56</v>
      </c>
      <c r="H124" s="68">
        <f t="shared" si="21"/>
        <v>164</v>
      </c>
      <c r="I124" s="68">
        <f t="shared" si="22"/>
        <v>81</v>
      </c>
      <c r="J124" s="68">
        <f t="shared" si="23"/>
        <v>2140299</v>
      </c>
      <c r="K124" s="68">
        <f t="shared" si="24"/>
        <v>896017</v>
      </c>
      <c r="L124" s="68">
        <f t="shared" si="25"/>
        <v>2443150</v>
      </c>
      <c r="M124" s="68">
        <f t="shared" si="26"/>
        <v>1728789</v>
      </c>
      <c r="N124" s="68">
        <f t="shared" si="27"/>
        <v>2131383</v>
      </c>
      <c r="O124" s="68">
        <f t="shared" si="28"/>
        <v>873728</v>
      </c>
      <c r="P124" s="68">
        <f t="shared" si="29"/>
        <v>2741544</v>
      </c>
      <c r="Q124" s="68">
        <f t="shared" si="30"/>
        <v>1489461</v>
      </c>
      <c r="R124" s="68">
        <f t="shared" si="31"/>
        <v>14444371</v>
      </c>
      <c r="S124" s="68">
        <f t="shared" si="32"/>
        <v>3036316</v>
      </c>
      <c r="T124" s="68">
        <f t="shared" si="33"/>
        <v>4171939</v>
      </c>
      <c r="U124" s="68">
        <f t="shared" ref="U124:W124" si="107">N124</f>
        <v>2131383</v>
      </c>
      <c r="V124" s="68">
        <f t="shared" si="107"/>
        <v>873728</v>
      </c>
      <c r="W124" s="68">
        <f t="shared" si="107"/>
        <v>2741544</v>
      </c>
    </row>
    <row r="125" hidden="1">
      <c r="A125" s="67">
        <f>DATE(2032,4,1)</f>
        <v>48305</v>
      </c>
      <c r="B125" s="68">
        <f t="shared" si="15"/>
        <v>167</v>
      </c>
      <c r="C125" s="68">
        <f t="shared" si="16"/>
        <v>48</v>
      </c>
      <c r="D125" s="68">
        <f t="shared" si="17"/>
        <v>111</v>
      </c>
      <c r="E125" s="68">
        <f t="shared" si="18"/>
        <v>73</v>
      </c>
      <c r="F125" s="68">
        <f t="shared" si="19"/>
        <v>103</v>
      </c>
      <c r="G125" s="68">
        <f t="shared" si="20"/>
        <v>56</v>
      </c>
      <c r="H125" s="68">
        <f t="shared" si="21"/>
        <v>165</v>
      </c>
      <c r="I125" s="68">
        <f t="shared" si="22"/>
        <v>82</v>
      </c>
      <c r="J125" s="68">
        <f t="shared" si="23"/>
        <v>2140299</v>
      </c>
      <c r="K125" s="68">
        <f t="shared" si="24"/>
        <v>896017</v>
      </c>
      <c r="L125" s="68">
        <f t="shared" si="25"/>
        <v>2443150</v>
      </c>
      <c r="M125" s="68">
        <f t="shared" si="26"/>
        <v>1728789</v>
      </c>
      <c r="N125" s="68">
        <f t="shared" si="27"/>
        <v>2152279</v>
      </c>
      <c r="O125" s="68">
        <f t="shared" si="28"/>
        <v>873728</v>
      </c>
      <c r="P125" s="68">
        <f t="shared" si="29"/>
        <v>2758261</v>
      </c>
      <c r="Q125" s="68">
        <f t="shared" si="30"/>
        <v>1507849</v>
      </c>
      <c r="R125" s="68">
        <f t="shared" si="31"/>
        <v>14500372</v>
      </c>
      <c r="S125" s="68">
        <f t="shared" si="32"/>
        <v>3036316</v>
      </c>
      <c r="T125" s="68">
        <f t="shared" si="33"/>
        <v>4171939</v>
      </c>
      <c r="U125" s="68">
        <f t="shared" ref="U125:W125" si="108">N125</f>
        <v>2152279</v>
      </c>
      <c r="V125" s="68">
        <f t="shared" si="108"/>
        <v>873728</v>
      </c>
      <c r="W125" s="68">
        <f t="shared" si="108"/>
        <v>2758261</v>
      </c>
    </row>
    <row r="126" hidden="1">
      <c r="A126" s="67">
        <f>DATE(2032,5,1)</f>
        <v>48335</v>
      </c>
      <c r="B126" s="68">
        <f t="shared" si="15"/>
        <v>168</v>
      </c>
      <c r="C126" s="68">
        <f t="shared" si="16"/>
        <v>48</v>
      </c>
      <c r="D126" s="68">
        <f t="shared" si="17"/>
        <v>111</v>
      </c>
      <c r="E126" s="68">
        <f t="shared" si="18"/>
        <v>73</v>
      </c>
      <c r="F126" s="68">
        <f t="shared" si="19"/>
        <v>104</v>
      </c>
      <c r="G126" s="68">
        <f t="shared" si="20"/>
        <v>56</v>
      </c>
      <c r="H126" s="68">
        <f t="shared" si="21"/>
        <v>166</v>
      </c>
      <c r="I126" s="68">
        <f t="shared" si="22"/>
        <v>82</v>
      </c>
      <c r="J126" s="68">
        <f t="shared" si="23"/>
        <v>2153115</v>
      </c>
      <c r="K126" s="68">
        <f t="shared" si="24"/>
        <v>896017</v>
      </c>
      <c r="L126" s="68">
        <f t="shared" si="25"/>
        <v>2443150</v>
      </c>
      <c r="M126" s="68">
        <f t="shared" si="26"/>
        <v>1728789</v>
      </c>
      <c r="N126" s="68">
        <f t="shared" si="27"/>
        <v>2173175</v>
      </c>
      <c r="O126" s="68">
        <f t="shared" si="28"/>
        <v>873728</v>
      </c>
      <c r="P126" s="68">
        <f t="shared" si="29"/>
        <v>2774978</v>
      </c>
      <c r="Q126" s="68">
        <f t="shared" si="30"/>
        <v>1507849</v>
      </c>
      <c r="R126" s="68">
        <f t="shared" si="31"/>
        <v>14550801</v>
      </c>
      <c r="S126" s="68">
        <f t="shared" si="32"/>
        <v>3049132</v>
      </c>
      <c r="T126" s="68">
        <f t="shared" si="33"/>
        <v>4171939</v>
      </c>
      <c r="U126" s="68">
        <f t="shared" ref="U126:W126" si="109">N126</f>
        <v>2173175</v>
      </c>
      <c r="V126" s="68">
        <f t="shared" si="109"/>
        <v>873728</v>
      </c>
      <c r="W126" s="68">
        <f t="shared" si="109"/>
        <v>2774978</v>
      </c>
    </row>
    <row r="127" hidden="1">
      <c r="A127" s="67">
        <f>DATE(2032,6,1)</f>
        <v>48366</v>
      </c>
      <c r="B127" s="68">
        <f t="shared" si="15"/>
        <v>169</v>
      </c>
      <c r="C127" s="68">
        <f t="shared" si="16"/>
        <v>48</v>
      </c>
      <c r="D127" s="68">
        <f t="shared" si="17"/>
        <v>111</v>
      </c>
      <c r="E127" s="68">
        <f t="shared" si="18"/>
        <v>74</v>
      </c>
      <c r="F127" s="68">
        <f t="shared" si="19"/>
        <v>105</v>
      </c>
      <c r="G127" s="68">
        <f t="shared" si="20"/>
        <v>57</v>
      </c>
      <c r="H127" s="68">
        <f t="shared" si="21"/>
        <v>168</v>
      </c>
      <c r="I127" s="68">
        <f t="shared" si="22"/>
        <v>83</v>
      </c>
      <c r="J127" s="68">
        <f t="shared" si="23"/>
        <v>2165931</v>
      </c>
      <c r="K127" s="68">
        <f t="shared" si="24"/>
        <v>896017</v>
      </c>
      <c r="L127" s="68">
        <f t="shared" si="25"/>
        <v>2443150</v>
      </c>
      <c r="M127" s="68">
        <f t="shared" si="26"/>
        <v>1752471</v>
      </c>
      <c r="N127" s="68">
        <f t="shared" si="27"/>
        <v>2194071</v>
      </c>
      <c r="O127" s="68">
        <f t="shared" si="28"/>
        <v>889330</v>
      </c>
      <c r="P127" s="68">
        <f t="shared" si="29"/>
        <v>2808411</v>
      </c>
      <c r="Q127" s="68">
        <f t="shared" si="30"/>
        <v>1526238</v>
      </c>
      <c r="R127" s="68">
        <f t="shared" si="31"/>
        <v>14675619</v>
      </c>
      <c r="S127" s="68">
        <f t="shared" si="32"/>
        <v>3061948</v>
      </c>
      <c r="T127" s="68">
        <f t="shared" si="33"/>
        <v>4195621</v>
      </c>
      <c r="U127" s="68">
        <f t="shared" ref="U127:W127" si="110">N127</f>
        <v>2194071</v>
      </c>
      <c r="V127" s="68">
        <f t="shared" si="110"/>
        <v>889330</v>
      </c>
      <c r="W127" s="68">
        <f t="shared" si="110"/>
        <v>2808411</v>
      </c>
    </row>
    <row r="128" hidden="1">
      <c r="A128" s="67">
        <f>DATE(2032,7,1)</f>
        <v>48396</v>
      </c>
      <c r="B128" s="68">
        <f t="shared" si="15"/>
        <v>170</v>
      </c>
      <c r="C128" s="68">
        <f t="shared" si="16"/>
        <v>48</v>
      </c>
      <c r="D128" s="68">
        <f t="shared" si="17"/>
        <v>110</v>
      </c>
      <c r="E128" s="68">
        <f t="shared" si="18"/>
        <v>74</v>
      </c>
      <c r="F128" s="68">
        <f t="shared" si="19"/>
        <v>106</v>
      </c>
      <c r="G128" s="68">
        <f t="shared" si="20"/>
        <v>57</v>
      </c>
      <c r="H128" s="68">
        <f t="shared" si="21"/>
        <v>169</v>
      </c>
      <c r="I128" s="68">
        <f t="shared" si="22"/>
        <v>83</v>
      </c>
      <c r="J128" s="68">
        <f t="shared" si="23"/>
        <v>2178747</v>
      </c>
      <c r="K128" s="68">
        <f t="shared" si="24"/>
        <v>896017</v>
      </c>
      <c r="L128" s="68">
        <f t="shared" si="25"/>
        <v>2421140</v>
      </c>
      <c r="M128" s="68">
        <f t="shared" si="26"/>
        <v>1752471</v>
      </c>
      <c r="N128" s="68">
        <f t="shared" si="27"/>
        <v>2214967</v>
      </c>
      <c r="O128" s="68">
        <f t="shared" si="28"/>
        <v>889330</v>
      </c>
      <c r="P128" s="68">
        <f t="shared" si="29"/>
        <v>2825128</v>
      </c>
      <c r="Q128" s="68">
        <f t="shared" si="30"/>
        <v>1526238</v>
      </c>
      <c r="R128" s="68">
        <f t="shared" si="31"/>
        <v>14704038</v>
      </c>
      <c r="S128" s="68">
        <f t="shared" si="32"/>
        <v>3074764</v>
      </c>
      <c r="T128" s="68">
        <f t="shared" si="33"/>
        <v>4173611</v>
      </c>
      <c r="U128" s="68">
        <f t="shared" ref="U128:W128" si="111">N128</f>
        <v>2214967</v>
      </c>
      <c r="V128" s="68">
        <f t="shared" si="111"/>
        <v>889330</v>
      </c>
      <c r="W128" s="68">
        <f t="shared" si="111"/>
        <v>2825128</v>
      </c>
    </row>
    <row r="129" hidden="1">
      <c r="A129" s="67">
        <f>DATE(2032,8,1)</f>
        <v>48427</v>
      </c>
      <c r="B129" s="68">
        <f t="shared" si="15"/>
        <v>171</v>
      </c>
      <c r="C129" s="68">
        <f t="shared" si="16"/>
        <v>48</v>
      </c>
      <c r="D129" s="68">
        <f t="shared" si="17"/>
        <v>110</v>
      </c>
      <c r="E129" s="68">
        <f t="shared" si="18"/>
        <v>74</v>
      </c>
      <c r="F129" s="68">
        <f t="shared" si="19"/>
        <v>107</v>
      </c>
      <c r="G129" s="68">
        <f t="shared" si="20"/>
        <v>57</v>
      </c>
      <c r="H129" s="68">
        <f t="shared" si="21"/>
        <v>170</v>
      </c>
      <c r="I129" s="68">
        <f t="shared" si="22"/>
        <v>83</v>
      </c>
      <c r="J129" s="68">
        <f t="shared" si="23"/>
        <v>2191564</v>
      </c>
      <c r="K129" s="68">
        <f t="shared" si="24"/>
        <v>896017</v>
      </c>
      <c r="L129" s="68">
        <f t="shared" si="25"/>
        <v>2421140</v>
      </c>
      <c r="M129" s="68">
        <f t="shared" si="26"/>
        <v>1752471</v>
      </c>
      <c r="N129" s="68">
        <f t="shared" si="27"/>
        <v>2235863</v>
      </c>
      <c r="O129" s="68">
        <f t="shared" si="28"/>
        <v>889330</v>
      </c>
      <c r="P129" s="68">
        <f t="shared" si="29"/>
        <v>2841844</v>
      </c>
      <c r="Q129" s="68">
        <f t="shared" si="30"/>
        <v>1526238</v>
      </c>
      <c r="R129" s="68">
        <f t="shared" si="31"/>
        <v>14754467</v>
      </c>
      <c r="S129" s="68">
        <f t="shared" si="32"/>
        <v>3087581</v>
      </c>
      <c r="T129" s="68">
        <f t="shared" si="33"/>
        <v>4173611</v>
      </c>
      <c r="U129" s="68">
        <f t="shared" ref="U129:W129" si="112">N129</f>
        <v>2235863</v>
      </c>
      <c r="V129" s="68">
        <f t="shared" si="112"/>
        <v>889330</v>
      </c>
      <c r="W129" s="68">
        <f t="shared" si="112"/>
        <v>2841844</v>
      </c>
    </row>
    <row r="130" hidden="1">
      <c r="A130" s="67">
        <f>DATE(2032,9,1)</f>
        <v>48458</v>
      </c>
      <c r="B130" s="68">
        <f t="shared" si="15"/>
        <v>172</v>
      </c>
      <c r="C130" s="68">
        <f t="shared" si="16"/>
        <v>49</v>
      </c>
      <c r="D130" s="68">
        <f t="shared" si="17"/>
        <v>110</v>
      </c>
      <c r="E130" s="68">
        <f t="shared" si="18"/>
        <v>74</v>
      </c>
      <c r="F130" s="68">
        <f t="shared" si="19"/>
        <v>108</v>
      </c>
      <c r="G130" s="68">
        <f t="shared" si="20"/>
        <v>57</v>
      </c>
      <c r="H130" s="68">
        <f t="shared" si="21"/>
        <v>171</v>
      </c>
      <c r="I130" s="68">
        <f t="shared" si="22"/>
        <v>84</v>
      </c>
      <c r="J130" s="68">
        <f t="shared" si="23"/>
        <v>2204380</v>
      </c>
      <c r="K130" s="68">
        <f t="shared" si="24"/>
        <v>914684</v>
      </c>
      <c r="L130" s="68">
        <f t="shared" si="25"/>
        <v>2421140</v>
      </c>
      <c r="M130" s="68">
        <f t="shared" si="26"/>
        <v>1752471</v>
      </c>
      <c r="N130" s="68">
        <f t="shared" si="27"/>
        <v>2256759</v>
      </c>
      <c r="O130" s="68">
        <f t="shared" si="28"/>
        <v>889330</v>
      </c>
      <c r="P130" s="68">
        <f t="shared" si="29"/>
        <v>2858561</v>
      </c>
      <c r="Q130" s="68">
        <f t="shared" si="30"/>
        <v>1544626</v>
      </c>
      <c r="R130" s="68">
        <f t="shared" si="31"/>
        <v>14841951</v>
      </c>
      <c r="S130" s="68">
        <f t="shared" si="32"/>
        <v>3119064</v>
      </c>
      <c r="T130" s="68">
        <f t="shared" si="33"/>
        <v>4173611</v>
      </c>
      <c r="U130" s="68">
        <f t="shared" ref="U130:W130" si="113">N130</f>
        <v>2256759</v>
      </c>
      <c r="V130" s="68">
        <f t="shared" si="113"/>
        <v>889330</v>
      </c>
      <c r="W130" s="68">
        <f t="shared" si="113"/>
        <v>2858561</v>
      </c>
    </row>
    <row r="131" hidden="1">
      <c r="A131" s="67">
        <f>DATE(2032,10,1)</f>
        <v>48488</v>
      </c>
      <c r="B131" s="68">
        <f t="shared" si="15"/>
        <v>172</v>
      </c>
      <c r="C131" s="68">
        <f t="shared" si="16"/>
        <v>49</v>
      </c>
      <c r="D131" s="68">
        <f t="shared" si="17"/>
        <v>110</v>
      </c>
      <c r="E131" s="68">
        <f t="shared" si="18"/>
        <v>75</v>
      </c>
      <c r="F131" s="68">
        <f t="shared" si="19"/>
        <v>109</v>
      </c>
      <c r="G131" s="68">
        <f t="shared" si="20"/>
        <v>58</v>
      </c>
      <c r="H131" s="68">
        <f t="shared" si="21"/>
        <v>172</v>
      </c>
      <c r="I131" s="68">
        <f t="shared" si="22"/>
        <v>84</v>
      </c>
      <c r="J131" s="68">
        <f t="shared" si="23"/>
        <v>2204380</v>
      </c>
      <c r="K131" s="68">
        <f t="shared" si="24"/>
        <v>914684</v>
      </c>
      <c r="L131" s="68">
        <f t="shared" si="25"/>
        <v>2421140</v>
      </c>
      <c r="M131" s="68">
        <f t="shared" si="26"/>
        <v>1776153</v>
      </c>
      <c r="N131" s="68">
        <f t="shared" si="27"/>
        <v>2277655</v>
      </c>
      <c r="O131" s="68">
        <f t="shared" si="28"/>
        <v>904932</v>
      </c>
      <c r="P131" s="68">
        <f t="shared" si="29"/>
        <v>2875278</v>
      </c>
      <c r="Q131" s="68">
        <f t="shared" si="30"/>
        <v>1544626</v>
      </c>
      <c r="R131" s="68">
        <f t="shared" si="31"/>
        <v>14918848</v>
      </c>
      <c r="S131" s="68">
        <f t="shared" si="32"/>
        <v>3119064</v>
      </c>
      <c r="T131" s="68">
        <f t="shared" si="33"/>
        <v>4197293</v>
      </c>
      <c r="U131" s="68">
        <f t="shared" ref="U131:W131" si="114">N131</f>
        <v>2277655</v>
      </c>
      <c r="V131" s="68">
        <f t="shared" si="114"/>
        <v>904932</v>
      </c>
      <c r="W131" s="68">
        <f t="shared" si="114"/>
        <v>2875278</v>
      </c>
    </row>
    <row r="132" hidden="1">
      <c r="A132" s="67">
        <f>DATE(2032,11,1)</f>
        <v>48519</v>
      </c>
      <c r="B132" s="68">
        <f t="shared" si="15"/>
        <v>173</v>
      </c>
      <c r="C132" s="68">
        <f t="shared" si="16"/>
        <v>49</v>
      </c>
      <c r="D132" s="68">
        <f t="shared" si="17"/>
        <v>109</v>
      </c>
      <c r="E132" s="68">
        <f t="shared" si="18"/>
        <v>75</v>
      </c>
      <c r="F132" s="68">
        <f t="shared" si="19"/>
        <v>110</v>
      </c>
      <c r="G132" s="68">
        <f t="shared" si="20"/>
        <v>58</v>
      </c>
      <c r="H132" s="68">
        <f t="shared" si="21"/>
        <v>173</v>
      </c>
      <c r="I132" s="68">
        <f t="shared" si="22"/>
        <v>85</v>
      </c>
      <c r="J132" s="68">
        <f t="shared" si="23"/>
        <v>2217196</v>
      </c>
      <c r="K132" s="68">
        <f t="shared" si="24"/>
        <v>914684</v>
      </c>
      <c r="L132" s="68">
        <f t="shared" si="25"/>
        <v>2399130</v>
      </c>
      <c r="M132" s="68">
        <f t="shared" si="26"/>
        <v>1776153</v>
      </c>
      <c r="N132" s="68">
        <f t="shared" si="27"/>
        <v>2298551</v>
      </c>
      <c r="O132" s="68">
        <f t="shared" si="28"/>
        <v>904932</v>
      </c>
      <c r="P132" s="68">
        <f t="shared" si="29"/>
        <v>2891995</v>
      </c>
      <c r="Q132" s="68">
        <f t="shared" si="30"/>
        <v>1563014</v>
      </c>
      <c r="R132" s="68">
        <f t="shared" si="31"/>
        <v>14965655</v>
      </c>
      <c r="S132" s="68">
        <f t="shared" si="32"/>
        <v>3131880</v>
      </c>
      <c r="T132" s="68">
        <f t="shared" si="33"/>
        <v>4175283</v>
      </c>
      <c r="U132" s="68">
        <f t="shared" ref="U132:W132" si="115">N132</f>
        <v>2298551</v>
      </c>
      <c r="V132" s="68">
        <f t="shared" si="115"/>
        <v>904932</v>
      </c>
      <c r="W132" s="68">
        <f t="shared" si="115"/>
        <v>2891995</v>
      </c>
    </row>
    <row r="133" hidden="1">
      <c r="A133" s="67">
        <f>DATE(2032,12,1)</f>
        <v>48549</v>
      </c>
      <c r="B133" s="68">
        <f t="shared" si="15"/>
        <v>174</v>
      </c>
      <c r="C133" s="68">
        <f t="shared" si="16"/>
        <v>49</v>
      </c>
      <c r="D133" s="68">
        <f t="shared" si="17"/>
        <v>109</v>
      </c>
      <c r="E133" s="68">
        <f t="shared" si="18"/>
        <v>75</v>
      </c>
      <c r="F133" s="68">
        <f t="shared" si="19"/>
        <v>111</v>
      </c>
      <c r="G133" s="68">
        <f t="shared" si="20"/>
        <v>58</v>
      </c>
      <c r="H133" s="68">
        <f t="shared" si="21"/>
        <v>174</v>
      </c>
      <c r="I133" s="68">
        <f t="shared" si="22"/>
        <v>85</v>
      </c>
      <c r="J133" s="68">
        <f t="shared" si="23"/>
        <v>2230012</v>
      </c>
      <c r="K133" s="68">
        <f t="shared" si="24"/>
        <v>914684</v>
      </c>
      <c r="L133" s="68">
        <f t="shared" si="25"/>
        <v>2399130</v>
      </c>
      <c r="M133" s="68">
        <f t="shared" si="26"/>
        <v>1776153</v>
      </c>
      <c r="N133" s="68">
        <f t="shared" si="27"/>
        <v>2319447</v>
      </c>
      <c r="O133" s="68">
        <f t="shared" si="28"/>
        <v>904932</v>
      </c>
      <c r="P133" s="68">
        <f t="shared" si="29"/>
        <v>2908711</v>
      </c>
      <c r="Q133" s="68">
        <f t="shared" si="30"/>
        <v>1563014</v>
      </c>
      <c r="R133" s="68">
        <f t="shared" si="31"/>
        <v>15016083</v>
      </c>
      <c r="S133" s="68">
        <f t="shared" si="32"/>
        <v>3144696</v>
      </c>
      <c r="T133" s="68">
        <f t="shared" si="33"/>
        <v>4175283</v>
      </c>
      <c r="U133" s="68">
        <f t="shared" ref="U133:W133" si="116">N133</f>
        <v>2319447</v>
      </c>
      <c r="V133" s="68">
        <f t="shared" si="116"/>
        <v>904932</v>
      </c>
      <c r="W133" s="68">
        <f t="shared" si="116"/>
        <v>2908711</v>
      </c>
    </row>
    <row r="134" hidden="1"/>
    <row r="135" hidden="1"/>
    <row r="136">
      <c r="A136" s="80" t="s">
        <v>324</v>
      </c>
      <c r="B136" s="80"/>
      <c r="C136" s="80"/>
      <c r="D136" s="80"/>
      <c r="E136" s="80"/>
      <c r="F136" s="80"/>
      <c r="G136" s="80"/>
      <c r="H136" s="80"/>
      <c r="I136" s="80"/>
      <c r="J136" s="71"/>
      <c r="K136" s="71"/>
      <c r="L136" s="71"/>
      <c r="M136" s="71"/>
      <c r="N136" s="71"/>
      <c r="O136" s="71"/>
      <c r="P136" s="71"/>
    </row>
    <row r="137">
      <c r="A137" s="16" t="s">
        <v>325</v>
      </c>
    </row>
    <row r="138">
      <c r="A138" s="16" t="s">
        <v>326</v>
      </c>
      <c r="B138" s="81">
        <v>9000.0</v>
      </c>
    </row>
    <row r="139">
      <c r="A139" s="16" t="s">
        <v>327</v>
      </c>
      <c r="B139" s="82">
        <v>0.03</v>
      </c>
    </row>
    <row r="140">
      <c r="A140" s="16" t="s">
        <v>328</v>
      </c>
      <c r="B140" s="81">
        <v>2900000.0</v>
      </c>
    </row>
    <row r="141">
      <c r="A141" s="16" t="s">
        <v>329</v>
      </c>
      <c r="B141" s="82">
        <v>0.3</v>
      </c>
    </row>
    <row r="142">
      <c r="A142" s="16" t="s">
        <v>330</v>
      </c>
      <c r="B142" s="81">
        <v>180.0</v>
      </c>
    </row>
    <row r="143">
      <c r="A143" s="16" t="s">
        <v>331</v>
      </c>
      <c r="B143" s="81">
        <v>2600000.0</v>
      </c>
    </row>
    <row r="144">
      <c r="A144" s="16" t="s">
        <v>332</v>
      </c>
      <c r="B144" s="82">
        <v>0.07</v>
      </c>
    </row>
    <row r="145">
      <c r="A145" s="16" t="s">
        <v>333</v>
      </c>
      <c r="B145" s="81">
        <v>450.0</v>
      </c>
    </row>
    <row r="146">
      <c r="A146" s="16" t="s">
        <v>334</v>
      </c>
      <c r="B146" s="82">
        <v>0.03</v>
      </c>
    </row>
    <row r="148">
      <c r="A148" s="16" t="s">
        <v>335</v>
      </c>
    </row>
    <row r="149">
      <c r="A149" s="16" t="s">
        <v>336</v>
      </c>
    </row>
    <row r="150" hidden="1">
      <c r="A150" s="80" t="s">
        <v>337</v>
      </c>
    </row>
    <row r="151" ht="48.75" hidden="1" customHeight="1">
      <c r="A151" s="52" t="s">
        <v>2</v>
      </c>
      <c r="B151" s="52" t="s">
        <v>338</v>
      </c>
      <c r="C151" s="52" t="s">
        <v>339</v>
      </c>
      <c r="D151" s="52" t="s">
        <v>340</v>
      </c>
      <c r="E151" s="52" t="s">
        <v>341</v>
      </c>
      <c r="F151" s="52" t="s">
        <v>342</v>
      </c>
      <c r="G151" s="52" t="s">
        <v>343</v>
      </c>
      <c r="H151" s="52" t="s">
        <v>344</v>
      </c>
      <c r="I151" s="52" t="s">
        <v>345</v>
      </c>
      <c r="J151" s="52" t="s">
        <v>346</v>
      </c>
      <c r="K151" s="52" t="s">
        <v>347</v>
      </c>
      <c r="L151" s="52" t="s">
        <v>348</v>
      </c>
      <c r="M151" s="52" t="s">
        <v>349</v>
      </c>
      <c r="N151" s="52" t="s">
        <v>350</v>
      </c>
      <c r="O151" s="52" t="s">
        <v>17</v>
      </c>
      <c r="P151" s="52" t="s">
        <v>322</v>
      </c>
    </row>
    <row r="152" hidden="1">
      <c r="A152" s="67">
        <f>'Revenue &amp; Demand'!A28</f>
        <v>46023</v>
      </c>
      <c r="B152" s="68">
        <f>'Revenue &amp; Demand'!D28</f>
        <v>59</v>
      </c>
      <c r="C152" s="68">
        <f t="shared" ref="C152:C235" si="117">ROUND(B152*$B$138*(1+$B$139)^(YEAR(A152)-2026),0)</f>
        <v>531000</v>
      </c>
      <c r="D152" s="68">
        <f t="shared" ref="D152:D235" si="118">V50</f>
        <v>522667</v>
      </c>
      <c r="E152" s="68">
        <f t="shared" ref="E152:E235" si="119">SUM(C152:D152)</f>
        <v>1053667</v>
      </c>
      <c r="F152" s="68">
        <f t="shared" ref="F152:F235" si="120">W50</f>
        <v>980000</v>
      </c>
      <c r="G152" s="68">
        <f t="shared" ref="G152:G235" si="121">ROUND($B$140*(1+$B$141)^(YEAR(A152)-2026),0)</f>
        <v>2900000</v>
      </c>
      <c r="H152" s="68">
        <f>MAX(0,'Revenue &amp; Demand'!I28)</f>
        <v>0</v>
      </c>
      <c r="I152" s="68">
        <f t="shared" ref="I152:I235" si="122">ROUND(H152*$B$142,0)</f>
        <v>0</v>
      </c>
      <c r="J152" s="68">
        <f t="shared" ref="J152:J235" si="123">SUM(F152:G152,I152)</f>
        <v>3880000</v>
      </c>
      <c r="K152" s="68">
        <f t="shared" ref="K152:K235" si="124">Q50</f>
        <v>770000</v>
      </c>
      <c r="L152" s="68">
        <f t="shared" ref="L152:L235" si="125">ROUND($B$143*(1+$B$144)^(YEAR(A152)-2026),0)</f>
        <v>2600000</v>
      </c>
      <c r="M152" s="68">
        <f t="shared" ref="M152:M235" si="126">SUM(B50:I50)</f>
        <v>480</v>
      </c>
      <c r="N152" s="68">
        <f t="shared" ref="N152:N235" si="127">ROUND(M152*$B$145*(1+$B$146)^(YEAR(A152)-2026),0)</f>
        <v>216000</v>
      </c>
      <c r="O152" s="68">
        <f t="shared" ref="O152:O235" si="128">SUM(K152:L152,N152)</f>
        <v>3586000</v>
      </c>
      <c r="P152" s="68">
        <f t="shared" ref="P152:P235" si="129">SUM(E152-C152-D152,J152-F152-G152-I152,O152-K152-L152-N152)</f>
        <v>0</v>
      </c>
    </row>
    <row r="153" hidden="1">
      <c r="A153" s="67">
        <f>'Revenue &amp; Demand'!A29</f>
        <v>46054</v>
      </c>
      <c r="B153" s="68">
        <f>'Revenue &amp; Demand'!D29</f>
        <v>61</v>
      </c>
      <c r="C153" s="68">
        <f t="shared" si="117"/>
        <v>549000</v>
      </c>
      <c r="D153" s="68">
        <f t="shared" si="118"/>
        <v>522667</v>
      </c>
      <c r="E153" s="68">
        <f t="shared" si="119"/>
        <v>1071667</v>
      </c>
      <c r="F153" s="68">
        <f t="shared" si="120"/>
        <v>980000</v>
      </c>
      <c r="G153" s="68">
        <f t="shared" si="121"/>
        <v>2900000</v>
      </c>
      <c r="H153" s="68">
        <f>MAX(0,'Revenue &amp; Demand'!I29-'Revenue &amp; Demand'!I28)</f>
        <v>0</v>
      </c>
      <c r="I153" s="68">
        <f t="shared" si="122"/>
        <v>0</v>
      </c>
      <c r="J153" s="68">
        <f t="shared" si="123"/>
        <v>3880000</v>
      </c>
      <c r="K153" s="68">
        <f t="shared" si="124"/>
        <v>770000</v>
      </c>
      <c r="L153" s="68">
        <f t="shared" si="125"/>
        <v>2600000</v>
      </c>
      <c r="M153" s="68">
        <f t="shared" si="126"/>
        <v>480</v>
      </c>
      <c r="N153" s="68">
        <f t="shared" si="127"/>
        <v>216000</v>
      </c>
      <c r="O153" s="68">
        <f t="shared" si="128"/>
        <v>3586000</v>
      </c>
      <c r="P153" s="68">
        <f t="shared" si="129"/>
        <v>0</v>
      </c>
    </row>
    <row r="154" hidden="1">
      <c r="A154" s="67">
        <f>'Revenue &amp; Demand'!A30</f>
        <v>46082</v>
      </c>
      <c r="B154" s="68">
        <f>'Revenue &amp; Demand'!D30</f>
        <v>64</v>
      </c>
      <c r="C154" s="68">
        <f t="shared" si="117"/>
        <v>576000</v>
      </c>
      <c r="D154" s="68">
        <f t="shared" si="118"/>
        <v>522667</v>
      </c>
      <c r="E154" s="68">
        <f t="shared" si="119"/>
        <v>1098667</v>
      </c>
      <c r="F154" s="68">
        <f t="shared" si="120"/>
        <v>980000</v>
      </c>
      <c r="G154" s="68">
        <f t="shared" si="121"/>
        <v>2900000</v>
      </c>
      <c r="H154" s="68">
        <f>MAX(0,'Revenue &amp; Demand'!I30-'Revenue &amp; Demand'!I29)</f>
        <v>0</v>
      </c>
      <c r="I154" s="68">
        <f t="shared" si="122"/>
        <v>0</v>
      </c>
      <c r="J154" s="68">
        <f t="shared" si="123"/>
        <v>3880000</v>
      </c>
      <c r="K154" s="68">
        <f t="shared" si="124"/>
        <v>770000</v>
      </c>
      <c r="L154" s="68">
        <f t="shared" si="125"/>
        <v>2600000</v>
      </c>
      <c r="M154" s="68">
        <f t="shared" si="126"/>
        <v>480</v>
      </c>
      <c r="N154" s="68">
        <f t="shared" si="127"/>
        <v>216000</v>
      </c>
      <c r="O154" s="68">
        <f t="shared" si="128"/>
        <v>3586000</v>
      </c>
      <c r="P154" s="68">
        <f t="shared" si="129"/>
        <v>0</v>
      </c>
    </row>
    <row r="155" hidden="1">
      <c r="A155" s="67">
        <f>'Revenue &amp; Demand'!A31</f>
        <v>46113</v>
      </c>
      <c r="B155" s="68">
        <f>'Revenue &amp; Demand'!D31</f>
        <v>65</v>
      </c>
      <c r="C155" s="68">
        <f t="shared" si="117"/>
        <v>585000</v>
      </c>
      <c r="D155" s="68">
        <f t="shared" si="118"/>
        <v>522667</v>
      </c>
      <c r="E155" s="68">
        <f t="shared" si="119"/>
        <v>1107667</v>
      </c>
      <c r="F155" s="68">
        <f t="shared" si="120"/>
        <v>980000</v>
      </c>
      <c r="G155" s="68">
        <f t="shared" si="121"/>
        <v>2900000</v>
      </c>
      <c r="H155" s="68">
        <f>MAX(0,'Revenue &amp; Demand'!I31-'Revenue &amp; Demand'!I30)</f>
        <v>0</v>
      </c>
      <c r="I155" s="68">
        <f t="shared" si="122"/>
        <v>0</v>
      </c>
      <c r="J155" s="68">
        <f t="shared" si="123"/>
        <v>3880000</v>
      </c>
      <c r="K155" s="68">
        <f t="shared" si="124"/>
        <v>770000</v>
      </c>
      <c r="L155" s="68">
        <f t="shared" si="125"/>
        <v>2600000</v>
      </c>
      <c r="M155" s="68">
        <f t="shared" si="126"/>
        <v>480</v>
      </c>
      <c r="N155" s="68">
        <f t="shared" si="127"/>
        <v>216000</v>
      </c>
      <c r="O155" s="68">
        <f t="shared" si="128"/>
        <v>3586000</v>
      </c>
      <c r="P155" s="68">
        <f t="shared" si="129"/>
        <v>0</v>
      </c>
    </row>
    <row r="156" hidden="1">
      <c r="A156" s="67">
        <f>'Revenue &amp; Demand'!A32</f>
        <v>46143</v>
      </c>
      <c r="B156" s="68">
        <f>'Revenue &amp; Demand'!D32</f>
        <v>68</v>
      </c>
      <c r="C156" s="68">
        <f t="shared" si="117"/>
        <v>612000</v>
      </c>
      <c r="D156" s="68">
        <f t="shared" si="118"/>
        <v>522667</v>
      </c>
      <c r="E156" s="68">
        <f t="shared" si="119"/>
        <v>1134667</v>
      </c>
      <c r="F156" s="68">
        <f t="shared" si="120"/>
        <v>980000</v>
      </c>
      <c r="G156" s="68">
        <f t="shared" si="121"/>
        <v>2900000</v>
      </c>
      <c r="H156" s="68">
        <f>MAX(0,'Revenue &amp; Demand'!I32-'Revenue &amp; Demand'!I31)</f>
        <v>0</v>
      </c>
      <c r="I156" s="68">
        <f t="shared" si="122"/>
        <v>0</v>
      </c>
      <c r="J156" s="68">
        <f t="shared" si="123"/>
        <v>3880000</v>
      </c>
      <c r="K156" s="68">
        <f t="shared" si="124"/>
        <v>770000</v>
      </c>
      <c r="L156" s="68">
        <f t="shared" si="125"/>
        <v>2600000</v>
      </c>
      <c r="M156" s="68">
        <f t="shared" si="126"/>
        <v>480</v>
      </c>
      <c r="N156" s="68">
        <f t="shared" si="127"/>
        <v>216000</v>
      </c>
      <c r="O156" s="68">
        <f t="shared" si="128"/>
        <v>3586000</v>
      </c>
      <c r="P156" s="68">
        <f t="shared" si="129"/>
        <v>0</v>
      </c>
    </row>
    <row r="157" hidden="1">
      <c r="A157" s="67">
        <f>'Revenue &amp; Demand'!A33</f>
        <v>46174</v>
      </c>
      <c r="B157" s="68">
        <f>'Revenue &amp; Demand'!D33</f>
        <v>70</v>
      </c>
      <c r="C157" s="68">
        <f t="shared" si="117"/>
        <v>630000</v>
      </c>
      <c r="D157" s="68">
        <f t="shared" si="118"/>
        <v>522667</v>
      </c>
      <c r="E157" s="68">
        <f t="shared" si="119"/>
        <v>1152667</v>
      </c>
      <c r="F157" s="68">
        <f t="shared" si="120"/>
        <v>980000</v>
      </c>
      <c r="G157" s="68">
        <f t="shared" si="121"/>
        <v>2900000</v>
      </c>
      <c r="H157" s="68">
        <f>MAX(0,'Revenue &amp; Demand'!I33-'Revenue &amp; Demand'!I32)</f>
        <v>0</v>
      </c>
      <c r="I157" s="68">
        <f t="shared" si="122"/>
        <v>0</v>
      </c>
      <c r="J157" s="68">
        <f t="shared" si="123"/>
        <v>3880000</v>
      </c>
      <c r="K157" s="68">
        <f t="shared" si="124"/>
        <v>770000</v>
      </c>
      <c r="L157" s="68">
        <f t="shared" si="125"/>
        <v>2600000</v>
      </c>
      <c r="M157" s="68">
        <f t="shared" si="126"/>
        <v>480</v>
      </c>
      <c r="N157" s="68">
        <f t="shared" si="127"/>
        <v>216000</v>
      </c>
      <c r="O157" s="68">
        <f t="shared" si="128"/>
        <v>3586000</v>
      </c>
      <c r="P157" s="68">
        <f t="shared" si="129"/>
        <v>0</v>
      </c>
    </row>
    <row r="158" hidden="1">
      <c r="A158" s="67">
        <f>'Revenue &amp; Demand'!A34</f>
        <v>46204</v>
      </c>
      <c r="B158" s="68">
        <f>'Revenue &amp; Demand'!D34</f>
        <v>71</v>
      </c>
      <c r="C158" s="68">
        <f t="shared" si="117"/>
        <v>639000</v>
      </c>
      <c r="D158" s="68">
        <f t="shared" si="118"/>
        <v>522667</v>
      </c>
      <c r="E158" s="68">
        <f t="shared" si="119"/>
        <v>1161667</v>
      </c>
      <c r="F158" s="68">
        <f t="shared" si="120"/>
        <v>980000</v>
      </c>
      <c r="G158" s="68">
        <f t="shared" si="121"/>
        <v>2900000</v>
      </c>
      <c r="H158" s="68">
        <f>MAX(0,'Revenue &amp; Demand'!I34-'Revenue &amp; Demand'!I33)</f>
        <v>0</v>
      </c>
      <c r="I158" s="68">
        <f t="shared" si="122"/>
        <v>0</v>
      </c>
      <c r="J158" s="68">
        <f t="shared" si="123"/>
        <v>3880000</v>
      </c>
      <c r="K158" s="68">
        <f t="shared" si="124"/>
        <v>770000</v>
      </c>
      <c r="L158" s="68">
        <f t="shared" si="125"/>
        <v>2600000</v>
      </c>
      <c r="M158" s="68">
        <f t="shared" si="126"/>
        <v>480</v>
      </c>
      <c r="N158" s="68">
        <f t="shared" si="127"/>
        <v>216000</v>
      </c>
      <c r="O158" s="68">
        <f t="shared" si="128"/>
        <v>3586000</v>
      </c>
      <c r="P158" s="68">
        <f t="shared" si="129"/>
        <v>0</v>
      </c>
    </row>
    <row r="159" hidden="1">
      <c r="A159" s="67">
        <f>'Revenue &amp; Demand'!A35</f>
        <v>46235</v>
      </c>
      <c r="B159" s="68">
        <f>'Revenue &amp; Demand'!D35</f>
        <v>74</v>
      </c>
      <c r="C159" s="68">
        <f t="shared" si="117"/>
        <v>666000</v>
      </c>
      <c r="D159" s="68">
        <f t="shared" si="118"/>
        <v>522667</v>
      </c>
      <c r="E159" s="68">
        <f t="shared" si="119"/>
        <v>1188667</v>
      </c>
      <c r="F159" s="68">
        <f t="shared" si="120"/>
        <v>980000</v>
      </c>
      <c r="G159" s="68">
        <f t="shared" si="121"/>
        <v>2900000</v>
      </c>
      <c r="H159" s="68">
        <f>MAX(0,'Revenue &amp; Demand'!I35-'Revenue &amp; Demand'!I34)</f>
        <v>0</v>
      </c>
      <c r="I159" s="68">
        <f t="shared" si="122"/>
        <v>0</v>
      </c>
      <c r="J159" s="68">
        <f t="shared" si="123"/>
        <v>3880000</v>
      </c>
      <c r="K159" s="68">
        <f t="shared" si="124"/>
        <v>770000</v>
      </c>
      <c r="L159" s="68">
        <f t="shared" si="125"/>
        <v>2600000</v>
      </c>
      <c r="M159" s="68">
        <f t="shared" si="126"/>
        <v>480</v>
      </c>
      <c r="N159" s="68">
        <f t="shared" si="127"/>
        <v>216000</v>
      </c>
      <c r="O159" s="68">
        <f t="shared" si="128"/>
        <v>3586000</v>
      </c>
      <c r="P159" s="68">
        <f t="shared" si="129"/>
        <v>0</v>
      </c>
    </row>
    <row r="160" hidden="1">
      <c r="A160" s="67">
        <f>'Revenue &amp; Demand'!A36</f>
        <v>46266</v>
      </c>
      <c r="B160" s="68">
        <f>'Revenue &amp; Demand'!D36</f>
        <v>76</v>
      </c>
      <c r="C160" s="68">
        <f t="shared" si="117"/>
        <v>684000</v>
      </c>
      <c r="D160" s="68">
        <f t="shared" si="118"/>
        <v>522667</v>
      </c>
      <c r="E160" s="68">
        <f t="shared" si="119"/>
        <v>1206667</v>
      </c>
      <c r="F160" s="68">
        <f t="shared" si="120"/>
        <v>980000</v>
      </c>
      <c r="G160" s="68">
        <f t="shared" si="121"/>
        <v>2900000</v>
      </c>
      <c r="H160" s="68">
        <f>MAX(0,'Revenue &amp; Demand'!I36-'Revenue &amp; Demand'!I35)</f>
        <v>0</v>
      </c>
      <c r="I160" s="68">
        <f t="shared" si="122"/>
        <v>0</v>
      </c>
      <c r="J160" s="68">
        <f t="shared" si="123"/>
        <v>3880000</v>
      </c>
      <c r="K160" s="68">
        <f t="shared" si="124"/>
        <v>770000</v>
      </c>
      <c r="L160" s="68">
        <f t="shared" si="125"/>
        <v>2600000</v>
      </c>
      <c r="M160" s="68">
        <f t="shared" si="126"/>
        <v>480</v>
      </c>
      <c r="N160" s="68">
        <f t="shared" si="127"/>
        <v>216000</v>
      </c>
      <c r="O160" s="68">
        <f t="shared" si="128"/>
        <v>3586000</v>
      </c>
      <c r="P160" s="68">
        <f t="shared" si="129"/>
        <v>0</v>
      </c>
    </row>
    <row r="161" hidden="1">
      <c r="A161" s="67">
        <f>'Revenue &amp; Demand'!A37</f>
        <v>46296</v>
      </c>
      <c r="B161" s="68">
        <f>'Revenue &amp; Demand'!D37</f>
        <v>76</v>
      </c>
      <c r="C161" s="68">
        <f t="shared" si="117"/>
        <v>684000</v>
      </c>
      <c r="D161" s="68">
        <f t="shared" si="118"/>
        <v>522667</v>
      </c>
      <c r="E161" s="68">
        <f t="shared" si="119"/>
        <v>1206667</v>
      </c>
      <c r="F161" s="68">
        <f t="shared" si="120"/>
        <v>980000</v>
      </c>
      <c r="G161" s="68">
        <f t="shared" si="121"/>
        <v>2900000</v>
      </c>
      <c r="H161" s="68">
        <f>MAX(0,'Revenue &amp; Demand'!I37-'Revenue &amp; Demand'!I36)</f>
        <v>0</v>
      </c>
      <c r="I161" s="68">
        <f t="shared" si="122"/>
        <v>0</v>
      </c>
      <c r="J161" s="68">
        <f t="shared" si="123"/>
        <v>3880000</v>
      </c>
      <c r="K161" s="68">
        <f t="shared" si="124"/>
        <v>770000</v>
      </c>
      <c r="L161" s="68">
        <f t="shared" si="125"/>
        <v>2600000</v>
      </c>
      <c r="M161" s="68">
        <f t="shared" si="126"/>
        <v>480</v>
      </c>
      <c r="N161" s="68">
        <f t="shared" si="127"/>
        <v>216000</v>
      </c>
      <c r="O161" s="68">
        <f t="shared" si="128"/>
        <v>3586000</v>
      </c>
      <c r="P161" s="68">
        <f t="shared" si="129"/>
        <v>0</v>
      </c>
    </row>
    <row r="162" hidden="1">
      <c r="A162" s="67">
        <f>'Revenue &amp; Demand'!A38</f>
        <v>46327</v>
      </c>
      <c r="B162" s="68">
        <f>'Revenue &amp; Demand'!D38</f>
        <v>78</v>
      </c>
      <c r="C162" s="68">
        <f t="shared" si="117"/>
        <v>702000</v>
      </c>
      <c r="D162" s="68">
        <f t="shared" si="118"/>
        <v>522667</v>
      </c>
      <c r="E162" s="68">
        <f t="shared" si="119"/>
        <v>1224667</v>
      </c>
      <c r="F162" s="68">
        <f t="shared" si="120"/>
        <v>980000</v>
      </c>
      <c r="G162" s="68">
        <f t="shared" si="121"/>
        <v>2900000</v>
      </c>
      <c r="H162" s="68">
        <f>MAX(0,'Revenue &amp; Demand'!I38-'Revenue &amp; Demand'!I37)</f>
        <v>0</v>
      </c>
      <c r="I162" s="68">
        <f t="shared" si="122"/>
        <v>0</v>
      </c>
      <c r="J162" s="68">
        <f t="shared" si="123"/>
        <v>3880000</v>
      </c>
      <c r="K162" s="68">
        <f t="shared" si="124"/>
        <v>770000</v>
      </c>
      <c r="L162" s="68">
        <f t="shared" si="125"/>
        <v>2600000</v>
      </c>
      <c r="M162" s="68">
        <f t="shared" si="126"/>
        <v>480</v>
      </c>
      <c r="N162" s="68">
        <f t="shared" si="127"/>
        <v>216000</v>
      </c>
      <c r="O162" s="68">
        <f t="shared" si="128"/>
        <v>3586000</v>
      </c>
      <c r="P162" s="68">
        <f t="shared" si="129"/>
        <v>0</v>
      </c>
    </row>
    <row r="163" hidden="1">
      <c r="A163" s="67">
        <f>'Revenue &amp; Demand'!A39</f>
        <v>46357</v>
      </c>
      <c r="B163" s="68">
        <f>'Revenue &amp; Demand'!D39</f>
        <v>80</v>
      </c>
      <c r="C163" s="68">
        <f t="shared" si="117"/>
        <v>720000</v>
      </c>
      <c r="D163" s="68">
        <f t="shared" si="118"/>
        <v>522667</v>
      </c>
      <c r="E163" s="68">
        <f t="shared" si="119"/>
        <v>1242667</v>
      </c>
      <c r="F163" s="68">
        <f t="shared" si="120"/>
        <v>980000</v>
      </c>
      <c r="G163" s="68">
        <f t="shared" si="121"/>
        <v>2900000</v>
      </c>
      <c r="H163" s="68">
        <f>MAX(0,'Revenue &amp; Demand'!I39-'Revenue &amp; Demand'!I38)</f>
        <v>0</v>
      </c>
      <c r="I163" s="68">
        <f t="shared" si="122"/>
        <v>0</v>
      </c>
      <c r="J163" s="68">
        <f t="shared" si="123"/>
        <v>3880000</v>
      </c>
      <c r="K163" s="68">
        <f t="shared" si="124"/>
        <v>770000</v>
      </c>
      <c r="L163" s="68">
        <f t="shared" si="125"/>
        <v>2600000</v>
      </c>
      <c r="M163" s="68">
        <f t="shared" si="126"/>
        <v>480</v>
      </c>
      <c r="N163" s="68">
        <f t="shared" si="127"/>
        <v>216000</v>
      </c>
      <c r="O163" s="68">
        <f t="shared" si="128"/>
        <v>3586000</v>
      </c>
      <c r="P163" s="68">
        <f t="shared" si="129"/>
        <v>0</v>
      </c>
    </row>
    <row r="164" hidden="1">
      <c r="A164" s="67">
        <f>'Revenue &amp; Demand'!A40</f>
        <v>46388</v>
      </c>
      <c r="B164" s="68">
        <f>'Revenue &amp; Demand'!D40</f>
        <v>77</v>
      </c>
      <c r="C164" s="68">
        <f t="shared" si="117"/>
        <v>713790</v>
      </c>
      <c r="D164" s="68">
        <f t="shared" si="118"/>
        <v>538347</v>
      </c>
      <c r="E164" s="68">
        <f t="shared" si="119"/>
        <v>1252137</v>
      </c>
      <c r="F164" s="68">
        <f t="shared" si="120"/>
        <v>1038240</v>
      </c>
      <c r="G164" s="68">
        <f t="shared" si="121"/>
        <v>3770000</v>
      </c>
      <c r="H164" s="68">
        <f>MAX(0,'Revenue &amp; Demand'!I40-'Revenue &amp; Demand'!I39)</f>
        <v>0</v>
      </c>
      <c r="I164" s="68">
        <f t="shared" si="122"/>
        <v>0</v>
      </c>
      <c r="J164" s="68">
        <f t="shared" si="123"/>
        <v>4808240</v>
      </c>
      <c r="K164" s="68">
        <f t="shared" si="124"/>
        <v>808962</v>
      </c>
      <c r="L164" s="68">
        <f t="shared" si="125"/>
        <v>2782000</v>
      </c>
      <c r="M164" s="68">
        <f t="shared" si="126"/>
        <v>486</v>
      </c>
      <c r="N164" s="68">
        <f t="shared" si="127"/>
        <v>225261</v>
      </c>
      <c r="O164" s="68">
        <f t="shared" si="128"/>
        <v>3816223</v>
      </c>
      <c r="P164" s="68">
        <f t="shared" si="129"/>
        <v>0</v>
      </c>
    </row>
    <row r="165" hidden="1">
      <c r="A165" s="67">
        <f>'Revenue &amp; Demand'!A41</f>
        <v>46419</v>
      </c>
      <c r="B165" s="68">
        <f>'Revenue &amp; Demand'!D41</f>
        <v>79</v>
      </c>
      <c r="C165" s="68">
        <f t="shared" si="117"/>
        <v>732330</v>
      </c>
      <c r="D165" s="68">
        <f t="shared" si="118"/>
        <v>551805</v>
      </c>
      <c r="E165" s="68">
        <f t="shared" si="119"/>
        <v>1284135</v>
      </c>
      <c r="F165" s="68">
        <f t="shared" si="120"/>
        <v>1052660</v>
      </c>
      <c r="G165" s="68">
        <f t="shared" si="121"/>
        <v>3770000</v>
      </c>
      <c r="H165" s="68">
        <f>MAX(0,'Revenue &amp; Demand'!I41-'Revenue &amp; Demand'!I40)</f>
        <v>0</v>
      </c>
      <c r="I165" s="68">
        <f t="shared" si="122"/>
        <v>0</v>
      </c>
      <c r="J165" s="68">
        <f t="shared" si="123"/>
        <v>4822660</v>
      </c>
      <c r="K165" s="68">
        <f t="shared" si="124"/>
        <v>808962</v>
      </c>
      <c r="L165" s="68">
        <f t="shared" si="125"/>
        <v>2782000</v>
      </c>
      <c r="M165" s="68">
        <f t="shared" si="126"/>
        <v>492</v>
      </c>
      <c r="N165" s="68">
        <f t="shared" si="127"/>
        <v>228042</v>
      </c>
      <c r="O165" s="68">
        <f t="shared" si="128"/>
        <v>3819004</v>
      </c>
      <c r="P165" s="68">
        <f t="shared" si="129"/>
        <v>0</v>
      </c>
    </row>
    <row r="166" hidden="1">
      <c r="A166" s="67">
        <f>'Revenue &amp; Demand'!A42</f>
        <v>46447</v>
      </c>
      <c r="B166" s="68">
        <f>'Revenue &amp; Demand'!D42</f>
        <v>82</v>
      </c>
      <c r="C166" s="68">
        <f t="shared" si="117"/>
        <v>760140</v>
      </c>
      <c r="D166" s="68">
        <f t="shared" si="118"/>
        <v>551805</v>
      </c>
      <c r="E166" s="68">
        <f t="shared" si="119"/>
        <v>1311945</v>
      </c>
      <c r="F166" s="68">
        <f t="shared" si="120"/>
        <v>1081500</v>
      </c>
      <c r="G166" s="68">
        <f t="shared" si="121"/>
        <v>3770000</v>
      </c>
      <c r="H166" s="68">
        <f>MAX(0,'Revenue &amp; Demand'!I42-'Revenue &amp; Demand'!I41)</f>
        <v>0</v>
      </c>
      <c r="I166" s="68">
        <f t="shared" si="122"/>
        <v>0</v>
      </c>
      <c r="J166" s="68">
        <f t="shared" si="123"/>
        <v>4851500</v>
      </c>
      <c r="K166" s="68">
        <f t="shared" si="124"/>
        <v>824824</v>
      </c>
      <c r="L166" s="68">
        <f t="shared" si="125"/>
        <v>2782000</v>
      </c>
      <c r="M166" s="68">
        <f t="shared" si="126"/>
        <v>498</v>
      </c>
      <c r="N166" s="68">
        <f t="shared" si="127"/>
        <v>230823</v>
      </c>
      <c r="O166" s="68">
        <f t="shared" si="128"/>
        <v>3837647</v>
      </c>
      <c r="P166" s="68">
        <f t="shared" si="129"/>
        <v>0</v>
      </c>
    </row>
    <row r="167" hidden="1">
      <c r="A167" s="67">
        <f>'Revenue &amp; Demand'!A43</f>
        <v>46478</v>
      </c>
      <c r="B167" s="68">
        <f>'Revenue &amp; Demand'!D43</f>
        <v>83</v>
      </c>
      <c r="C167" s="68">
        <f t="shared" si="117"/>
        <v>769410</v>
      </c>
      <c r="D167" s="68">
        <f t="shared" si="118"/>
        <v>551805</v>
      </c>
      <c r="E167" s="68">
        <f t="shared" si="119"/>
        <v>1321215</v>
      </c>
      <c r="F167" s="68">
        <f t="shared" si="120"/>
        <v>1095920</v>
      </c>
      <c r="G167" s="68">
        <f t="shared" si="121"/>
        <v>3770000</v>
      </c>
      <c r="H167" s="68">
        <f>MAX(0,'Revenue &amp; Demand'!I43-'Revenue &amp; Demand'!I42)</f>
        <v>0</v>
      </c>
      <c r="I167" s="68">
        <f t="shared" si="122"/>
        <v>0</v>
      </c>
      <c r="J167" s="68">
        <f t="shared" si="123"/>
        <v>4865920</v>
      </c>
      <c r="K167" s="68">
        <f t="shared" si="124"/>
        <v>824824</v>
      </c>
      <c r="L167" s="68">
        <f t="shared" si="125"/>
        <v>2782000</v>
      </c>
      <c r="M167" s="68">
        <f t="shared" si="126"/>
        <v>500</v>
      </c>
      <c r="N167" s="68">
        <f t="shared" si="127"/>
        <v>231750</v>
      </c>
      <c r="O167" s="68">
        <f t="shared" si="128"/>
        <v>3838574</v>
      </c>
      <c r="P167" s="68">
        <f t="shared" si="129"/>
        <v>0</v>
      </c>
    </row>
    <row r="168" hidden="1">
      <c r="A168" s="67">
        <f>'Revenue &amp; Demand'!A44</f>
        <v>46508</v>
      </c>
      <c r="B168" s="68">
        <f>'Revenue &amp; Demand'!D44</f>
        <v>86</v>
      </c>
      <c r="C168" s="68">
        <f t="shared" si="117"/>
        <v>797220</v>
      </c>
      <c r="D168" s="68">
        <f t="shared" si="118"/>
        <v>551805</v>
      </c>
      <c r="E168" s="68">
        <f t="shared" si="119"/>
        <v>1349025</v>
      </c>
      <c r="F168" s="68">
        <f t="shared" si="120"/>
        <v>1124760</v>
      </c>
      <c r="G168" s="68">
        <f t="shared" si="121"/>
        <v>3770000</v>
      </c>
      <c r="H168" s="68">
        <f>MAX(0,'Revenue &amp; Demand'!I44-'Revenue &amp; Demand'!I43)</f>
        <v>0</v>
      </c>
      <c r="I168" s="68">
        <f t="shared" si="122"/>
        <v>0</v>
      </c>
      <c r="J168" s="68">
        <f t="shared" si="123"/>
        <v>4894760</v>
      </c>
      <c r="K168" s="68">
        <f t="shared" si="124"/>
        <v>840686</v>
      </c>
      <c r="L168" s="68">
        <f t="shared" si="125"/>
        <v>2782000</v>
      </c>
      <c r="M168" s="68">
        <f t="shared" si="126"/>
        <v>506</v>
      </c>
      <c r="N168" s="68">
        <f t="shared" si="127"/>
        <v>234531</v>
      </c>
      <c r="O168" s="68">
        <f t="shared" si="128"/>
        <v>3857217</v>
      </c>
      <c r="P168" s="68">
        <f t="shared" si="129"/>
        <v>0</v>
      </c>
    </row>
    <row r="169" hidden="1">
      <c r="A169" s="67">
        <f>'Revenue &amp; Demand'!A45</f>
        <v>46539</v>
      </c>
      <c r="B169" s="68">
        <f>'Revenue &amp; Demand'!D45</f>
        <v>88</v>
      </c>
      <c r="C169" s="68">
        <f t="shared" si="117"/>
        <v>815760</v>
      </c>
      <c r="D169" s="68">
        <f t="shared" si="118"/>
        <v>565264</v>
      </c>
      <c r="E169" s="68">
        <f t="shared" si="119"/>
        <v>1381024</v>
      </c>
      <c r="F169" s="68">
        <f t="shared" si="120"/>
        <v>1139180</v>
      </c>
      <c r="G169" s="68">
        <f t="shared" si="121"/>
        <v>3770000</v>
      </c>
      <c r="H169" s="68">
        <f>MAX(0,'Revenue &amp; Demand'!I45-'Revenue &amp; Demand'!I44)</f>
        <v>0</v>
      </c>
      <c r="I169" s="68">
        <f t="shared" si="122"/>
        <v>0</v>
      </c>
      <c r="J169" s="68">
        <f t="shared" si="123"/>
        <v>4909180</v>
      </c>
      <c r="K169" s="68">
        <f t="shared" si="124"/>
        <v>840686</v>
      </c>
      <c r="L169" s="68">
        <f t="shared" si="125"/>
        <v>2782000</v>
      </c>
      <c r="M169" s="68">
        <f t="shared" si="126"/>
        <v>513</v>
      </c>
      <c r="N169" s="68">
        <f t="shared" si="127"/>
        <v>237776</v>
      </c>
      <c r="O169" s="68">
        <f t="shared" si="128"/>
        <v>3860462</v>
      </c>
      <c r="P169" s="68">
        <f t="shared" si="129"/>
        <v>0</v>
      </c>
    </row>
    <row r="170" hidden="1">
      <c r="A170" s="67">
        <f>'Revenue &amp; Demand'!A46</f>
        <v>46569</v>
      </c>
      <c r="B170" s="68">
        <f>'Revenue &amp; Demand'!D46</f>
        <v>89</v>
      </c>
      <c r="C170" s="68">
        <f t="shared" si="117"/>
        <v>825030</v>
      </c>
      <c r="D170" s="68">
        <f t="shared" si="118"/>
        <v>565264</v>
      </c>
      <c r="E170" s="68">
        <f t="shared" si="119"/>
        <v>1390294</v>
      </c>
      <c r="F170" s="68">
        <f t="shared" si="120"/>
        <v>1168020</v>
      </c>
      <c r="G170" s="68">
        <f t="shared" si="121"/>
        <v>3770000</v>
      </c>
      <c r="H170" s="68">
        <f>MAX(0,'Revenue &amp; Demand'!I46-'Revenue &amp; Demand'!I45)</f>
        <v>4000</v>
      </c>
      <c r="I170" s="68">
        <f t="shared" si="122"/>
        <v>720000</v>
      </c>
      <c r="J170" s="68">
        <f t="shared" si="123"/>
        <v>5658020</v>
      </c>
      <c r="K170" s="68">
        <f t="shared" si="124"/>
        <v>856548</v>
      </c>
      <c r="L170" s="68">
        <f t="shared" si="125"/>
        <v>2782000</v>
      </c>
      <c r="M170" s="68">
        <f t="shared" si="126"/>
        <v>518</v>
      </c>
      <c r="N170" s="68">
        <f t="shared" si="127"/>
        <v>240093</v>
      </c>
      <c r="O170" s="68">
        <f t="shared" si="128"/>
        <v>3878641</v>
      </c>
      <c r="P170" s="68">
        <f t="shared" si="129"/>
        <v>0</v>
      </c>
    </row>
    <row r="171" hidden="1">
      <c r="A171" s="67">
        <f>'Revenue &amp; Demand'!A47</f>
        <v>46600</v>
      </c>
      <c r="B171" s="68">
        <f>'Revenue &amp; Demand'!D47</f>
        <v>92</v>
      </c>
      <c r="C171" s="68">
        <f t="shared" si="117"/>
        <v>852840</v>
      </c>
      <c r="D171" s="68">
        <f t="shared" si="118"/>
        <v>565264</v>
      </c>
      <c r="E171" s="68">
        <f t="shared" si="119"/>
        <v>1418104</v>
      </c>
      <c r="F171" s="68">
        <f t="shared" si="120"/>
        <v>1182440</v>
      </c>
      <c r="G171" s="68">
        <f t="shared" si="121"/>
        <v>3770000</v>
      </c>
      <c r="H171" s="68">
        <f>MAX(0,'Revenue &amp; Demand'!I47-'Revenue &amp; Demand'!I46)</f>
        <v>80</v>
      </c>
      <c r="I171" s="68">
        <f t="shared" si="122"/>
        <v>14400</v>
      </c>
      <c r="J171" s="68">
        <f t="shared" si="123"/>
        <v>4966840</v>
      </c>
      <c r="K171" s="68">
        <f t="shared" si="124"/>
        <v>856548</v>
      </c>
      <c r="L171" s="68">
        <f t="shared" si="125"/>
        <v>2782000</v>
      </c>
      <c r="M171" s="68">
        <f t="shared" si="126"/>
        <v>522</v>
      </c>
      <c r="N171" s="68">
        <f t="shared" si="127"/>
        <v>241947</v>
      </c>
      <c r="O171" s="68">
        <f t="shared" si="128"/>
        <v>3880495</v>
      </c>
      <c r="P171" s="68">
        <f t="shared" si="129"/>
        <v>0</v>
      </c>
    </row>
    <row r="172" hidden="1">
      <c r="A172" s="67">
        <f>'Revenue &amp; Demand'!A48</f>
        <v>46631</v>
      </c>
      <c r="B172" s="68">
        <f>'Revenue &amp; Demand'!D48</f>
        <v>94</v>
      </c>
      <c r="C172" s="68">
        <f t="shared" si="117"/>
        <v>871380</v>
      </c>
      <c r="D172" s="68">
        <f t="shared" si="118"/>
        <v>565264</v>
      </c>
      <c r="E172" s="68">
        <f t="shared" si="119"/>
        <v>1436644</v>
      </c>
      <c r="F172" s="68">
        <f t="shared" si="120"/>
        <v>1211280</v>
      </c>
      <c r="G172" s="68">
        <f t="shared" si="121"/>
        <v>3770000</v>
      </c>
      <c r="H172" s="68">
        <f>MAX(0,'Revenue &amp; Demand'!I48-'Revenue &amp; Demand'!I47)</f>
        <v>82</v>
      </c>
      <c r="I172" s="68">
        <f t="shared" si="122"/>
        <v>14760</v>
      </c>
      <c r="J172" s="68">
        <f t="shared" si="123"/>
        <v>4996040</v>
      </c>
      <c r="K172" s="68">
        <f t="shared" si="124"/>
        <v>872410</v>
      </c>
      <c r="L172" s="68">
        <f t="shared" si="125"/>
        <v>2782000</v>
      </c>
      <c r="M172" s="68">
        <f t="shared" si="126"/>
        <v>528</v>
      </c>
      <c r="N172" s="68">
        <f t="shared" si="127"/>
        <v>244728</v>
      </c>
      <c r="O172" s="68">
        <f t="shared" si="128"/>
        <v>3899138</v>
      </c>
      <c r="P172" s="68">
        <f t="shared" si="129"/>
        <v>0</v>
      </c>
    </row>
    <row r="173" hidden="1">
      <c r="A173" s="67">
        <f>'Revenue &amp; Demand'!A49</f>
        <v>46661</v>
      </c>
      <c r="B173" s="68">
        <f>'Revenue &amp; Demand'!D49</f>
        <v>94</v>
      </c>
      <c r="C173" s="68">
        <f t="shared" si="117"/>
        <v>871380</v>
      </c>
      <c r="D173" s="68">
        <f t="shared" si="118"/>
        <v>578723</v>
      </c>
      <c r="E173" s="68">
        <f t="shared" si="119"/>
        <v>1450103</v>
      </c>
      <c r="F173" s="68">
        <f t="shared" si="120"/>
        <v>1225700</v>
      </c>
      <c r="G173" s="68">
        <f t="shared" si="121"/>
        <v>3770000</v>
      </c>
      <c r="H173" s="68">
        <f>MAX(0,'Revenue &amp; Demand'!I49-'Revenue &amp; Demand'!I48)</f>
        <v>83</v>
      </c>
      <c r="I173" s="68">
        <f t="shared" si="122"/>
        <v>14940</v>
      </c>
      <c r="J173" s="68">
        <f t="shared" si="123"/>
        <v>5010640</v>
      </c>
      <c r="K173" s="68">
        <f t="shared" si="124"/>
        <v>872410</v>
      </c>
      <c r="L173" s="68">
        <f t="shared" si="125"/>
        <v>2782000</v>
      </c>
      <c r="M173" s="68">
        <f t="shared" si="126"/>
        <v>532</v>
      </c>
      <c r="N173" s="68">
        <f t="shared" si="127"/>
        <v>246582</v>
      </c>
      <c r="O173" s="68">
        <f t="shared" si="128"/>
        <v>3900992</v>
      </c>
      <c r="P173" s="68">
        <f t="shared" si="129"/>
        <v>0</v>
      </c>
    </row>
    <row r="174" hidden="1">
      <c r="A174" s="67">
        <f>'Revenue &amp; Demand'!A50</f>
        <v>46692</v>
      </c>
      <c r="B174" s="68">
        <f>'Revenue &amp; Demand'!D50</f>
        <v>96</v>
      </c>
      <c r="C174" s="68">
        <f t="shared" si="117"/>
        <v>889920</v>
      </c>
      <c r="D174" s="68">
        <f t="shared" si="118"/>
        <v>578723</v>
      </c>
      <c r="E174" s="68">
        <f t="shared" si="119"/>
        <v>1468643</v>
      </c>
      <c r="F174" s="68">
        <f t="shared" si="120"/>
        <v>1254540</v>
      </c>
      <c r="G174" s="68">
        <f t="shared" si="121"/>
        <v>3770000</v>
      </c>
      <c r="H174" s="68">
        <f>MAX(0,'Revenue &amp; Demand'!I50-'Revenue &amp; Demand'!I49)</f>
        <v>85</v>
      </c>
      <c r="I174" s="68">
        <f t="shared" si="122"/>
        <v>15300</v>
      </c>
      <c r="J174" s="68">
        <f t="shared" si="123"/>
        <v>5039840</v>
      </c>
      <c r="K174" s="68">
        <f t="shared" si="124"/>
        <v>888272</v>
      </c>
      <c r="L174" s="68">
        <f t="shared" si="125"/>
        <v>2782000</v>
      </c>
      <c r="M174" s="68">
        <f t="shared" si="126"/>
        <v>538</v>
      </c>
      <c r="N174" s="68">
        <f t="shared" si="127"/>
        <v>249363</v>
      </c>
      <c r="O174" s="68">
        <f t="shared" si="128"/>
        <v>3919635</v>
      </c>
      <c r="P174" s="68">
        <f t="shared" si="129"/>
        <v>0</v>
      </c>
    </row>
    <row r="175" hidden="1">
      <c r="A175" s="67">
        <f>'Revenue &amp; Demand'!A51</f>
        <v>46722</v>
      </c>
      <c r="B175" s="68">
        <f>'Revenue &amp; Demand'!D51</f>
        <v>98</v>
      </c>
      <c r="C175" s="68">
        <f t="shared" si="117"/>
        <v>908460</v>
      </c>
      <c r="D175" s="68">
        <f t="shared" si="118"/>
        <v>578723</v>
      </c>
      <c r="E175" s="68">
        <f t="shared" si="119"/>
        <v>1487183</v>
      </c>
      <c r="F175" s="68">
        <f t="shared" si="120"/>
        <v>1268960</v>
      </c>
      <c r="G175" s="68">
        <f t="shared" si="121"/>
        <v>3770000</v>
      </c>
      <c r="H175" s="68">
        <f>MAX(0,'Revenue &amp; Demand'!I51-'Revenue &amp; Demand'!I50)</f>
        <v>86</v>
      </c>
      <c r="I175" s="68">
        <f t="shared" si="122"/>
        <v>15480</v>
      </c>
      <c r="J175" s="68">
        <f t="shared" si="123"/>
        <v>5054440</v>
      </c>
      <c r="K175" s="68">
        <f t="shared" si="124"/>
        <v>888272</v>
      </c>
      <c r="L175" s="68">
        <f t="shared" si="125"/>
        <v>2782000</v>
      </c>
      <c r="M175" s="68">
        <f t="shared" si="126"/>
        <v>542</v>
      </c>
      <c r="N175" s="68">
        <f t="shared" si="127"/>
        <v>251217</v>
      </c>
      <c r="O175" s="68">
        <f t="shared" si="128"/>
        <v>3921489</v>
      </c>
      <c r="P175" s="68">
        <f t="shared" si="129"/>
        <v>0</v>
      </c>
    </row>
    <row r="176" hidden="1">
      <c r="A176" s="67">
        <f>'Revenue &amp; Demand'!A52</f>
        <v>46753</v>
      </c>
      <c r="B176" s="68">
        <f>'Revenue &amp; Demand'!D52</f>
        <v>91</v>
      </c>
      <c r="C176" s="68">
        <f t="shared" si="117"/>
        <v>868877</v>
      </c>
      <c r="D176" s="68">
        <f t="shared" si="118"/>
        <v>596084</v>
      </c>
      <c r="E176" s="68">
        <f t="shared" si="119"/>
        <v>1464961</v>
      </c>
      <c r="F176" s="68">
        <f t="shared" si="120"/>
        <v>1336734</v>
      </c>
      <c r="G176" s="68">
        <f t="shared" si="121"/>
        <v>4901000</v>
      </c>
      <c r="H176" s="68">
        <f>MAX(0,'Revenue &amp; Demand'!I52-'Revenue &amp; Demand'!I51)</f>
        <v>89</v>
      </c>
      <c r="I176" s="68">
        <f t="shared" si="122"/>
        <v>16020</v>
      </c>
      <c r="J176" s="68">
        <f t="shared" si="123"/>
        <v>6253754</v>
      </c>
      <c r="K176" s="68">
        <f t="shared" si="124"/>
        <v>931258</v>
      </c>
      <c r="L176" s="68">
        <f t="shared" si="125"/>
        <v>2976740</v>
      </c>
      <c r="M176" s="68">
        <f t="shared" si="126"/>
        <v>549</v>
      </c>
      <c r="N176" s="68">
        <f t="shared" si="127"/>
        <v>262095</v>
      </c>
      <c r="O176" s="68">
        <f t="shared" si="128"/>
        <v>4170093</v>
      </c>
      <c r="P176" s="68">
        <f t="shared" si="129"/>
        <v>0</v>
      </c>
    </row>
    <row r="177" hidden="1">
      <c r="A177" s="67">
        <f>'Revenue &amp; Demand'!A53</f>
        <v>46784</v>
      </c>
      <c r="B177" s="68">
        <f>'Revenue &amp; Demand'!D53</f>
        <v>93</v>
      </c>
      <c r="C177" s="68">
        <f t="shared" si="117"/>
        <v>887973</v>
      </c>
      <c r="D177" s="68">
        <f t="shared" si="118"/>
        <v>609947</v>
      </c>
      <c r="E177" s="68">
        <f t="shared" si="119"/>
        <v>1497920</v>
      </c>
      <c r="F177" s="68">
        <f t="shared" si="120"/>
        <v>1366439</v>
      </c>
      <c r="G177" s="68">
        <f t="shared" si="121"/>
        <v>4901000</v>
      </c>
      <c r="H177" s="68">
        <f>MAX(0,'Revenue &amp; Demand'!I53-'Revenue &amp; Demand'!I52)</f>
        <v>90</v>
      </c>
      <c r="I177" s="68">
        <f t="shared" si="122"/>
        <v>16200</v>
      </c>
      <c r="J177" s="68">
        <f t="shared" si="123"/>
        <v>6283639</v>
      </c>
      <c r="K177" s="68">
        <f t="shared" si="124"/>
        <v>931258</v>
      </c>
      <c r="L177" s="68">
        <f t="shared" si="125"/>
        <v>2976740</v>
      </c>
      <c r="M177" s="68">
        <f t="shared" si="126"/>
        <v>556</v>
      </c>
      <c r="N177" s="68">
        <f t="shared" si="127"/>
        <v>265437</v>
      </c>
      <c r="O177" s="68">
        <f t="shared" si="128"/>
        <v>4173435</v>
      </c>
      <c r="P177" s="68">
        <f t="shared" si="129"/>
        <v>0</v>
      </c>
    </row>
    <row r="178" hidden="1">
      <c r="A178" s="67">
        <f>'Revenue &amp; Demand'!A54</f>
        <v>46813</v>
      </c>
      <c r="B178" s="68">
        <f>'Revenue &amp; Demand'!D54</f>
        <v>96</v>
      </c>
      <c r="C178" s="68">
        <f t="shared" si="117"/>
        <v>916618</v>
      </c>
      <c r="D178" s="68">
        <f t="shared" si="118"/>
        <v>609947</v>
      </c>
      <c r="E178" s="68">
        <f t="shared" si="119"/>
        <v>1526565</v>
      </c>
      <c r="F178" s="68">
        <f t="shared" si="120"/>
        <v>1396144</v>
      </c>
      <c r="G178" s="68">
        <f t="shared" si="121"/>
        <v>4901000</v>
      </c>
      <c r="H178" s="68">
        <f>MAX(0,'Revenue &amp; Demand'!I54-'Revenue &amp; Demand'!I53)</f>
        <v>92</v>
      </c>
      <c r="I178" s="68">
        <f t="shared" si="122"/>
        <v>16560</v>
      </c>
      <c r="J178" s="68">
        <f t="shared" si="123"/>
        <v>6313704</v>
      </c>
      <c r="K178" s="68">
        <f t="shared" si="124"/>
        <v>947596</v>
      </c>
      <c r="L178" s="68">
        <f t="shared" si="125"/>
        <v>2976740</v>
      </c>
      <c r="M178" s="68">
        <f t="shared" si="126"/>
        <v>562</v>
      </c>
      <c r="N178" s="68">
        <f t="shared" si="127"/>
        <v>268302</v>
      </c>
      <c r="O178" s="68">
        <f t="shared" si="128"/>
        <v>4192638</v>
      </c>
      <c r="P178" s="68">
        <f t="shared" si="129"/>
        <v>0</v>
      </c>
    </row>
    <row r="179" hidden="1">
      <c r="A179" s="67">
        <f>'Revenue &amp; Demand'!A55</f>
        <v>46844</v>
      </c>
      <c r="B179" s="68">
        <f>'Revenue &amp; Demand'!D55</f>
        <v>97</v>
      </c>
      <c r="C179" s="68">
        <f t="shared" si="117"/>
        <v>926166</v>
      </c>
      <c r="D179" s="68">
        <f t="shared" si="118"/>
        <v>609947</v>
      </c>
      <c r="E179" s="68">
        <f t="shared" si="119"/>
        <v>1536113</v>
      </c>
      <c r="F179" s="68">
        <f t="shared" si="120"/>
        <v>1410997</v>
      </c>
      <c r="G179" s="68">
        <f t="shared" si="121"/>
        <v>4901000</v>
      </c>
      <c r="H179" s="68">
        <f>MAX(0,'Revenue &amp; Demand'!I55-'Revenue &amp; Demand'!I54)</f>
        <v>93</v>
      </c>
      <c r="I179" s="68">
        <f t="shared" si="122"/>
        <v>16740</v>
      </c>
      <c r="J179" s="68">
        <f t="shared" si="123"/>
        <v>6328737</v>
      </c>
      <c r="K179" s="68">
        <f t="shared" si="124"/>
        <v>947596</v>
      </c>
      <c r="L179" s="68">
        <f t="shared" si="125"/>
        <v>2976740</v>
      </c>
      <c r="M179" s="68">
        <f t="shared" si="126"/>
        <v>565</v>
      </c>
      <c r="N179" s="68">
        <f t="shared" si="127"/>
        <v>269734</v>
      </c>
      <c r="O179" s="68">
        <f t="shared" si="128"/>
        <v>4194070</v>
      </c>
      <c r="P179" s="68">
        <f t="shared" si="129"/>
        <v>0</v>
      </c>
    </row>
    <row r="180" hidden="1">
      <c r="A180" s="67">
        <f>'Revenue &amp; Demand'!A56</f>
        <v>46874</v>
      </c>
      <c r="B180" s="68">
        <f>'Revenue &amp; Demand'!D56</f>
        <v>100</v>
      </c>
      <c r="C180" s="68">
        <f t="shared" si="117"/>
        <v>954810</v>
      </c>
      <c r="D180" s="68">
        <f t="shared" si="118"/>
        <v>609947</v>
      </c>
      <c r="E180" s="68">
        <f t="shared" si="119"/>
        <v>1564757</v>
      </c>
      <c r="F180" s="68">
        <f t="shared" si="120"/>
        <v>1440702</v>
      </c>
      <c r="G180" s="68">
        <f t="shared" si="121"/>
        <v>4901000</v>
      </c>
      <c r="H180" s="68">
        <f>MAX(0,'Revenue &amp; Demand'!I56-'Revenue &amp; Demand'!I55)</f>
        <v>96</v>
      </c>
      <c r="I180" s="68">
        <f t="shared" si="122"/>
        <v>17280</v>
      </c>
      <c r="J180" s="68">
        <f t="shared" si="123"/>
        <v>6358982</v>
      </c>
      <c r="K180" s="68">
        <f t="shared" si="124"/>
        <v>963934</v>
      </c>
      <c r="L180" s="68">
        <f t="shared" si="125"/>
        <v>2976740</v>
      </c>
      <c r="M180" s="68">
        <f t="shared" si="126"/>
        <v>574</v>
      </c>
      <c r="N180" s="68">
        <f t="shared" si="127"/>
        <v>274030</v>
      </c>
      <c r="O180" s="68">
        <f t="shared" si="128"/>
        <v>4214704</v>
      </c>
      <c r="P180" s="68">
        <f t="shared" si="129"/>
        <v>0</v>
      </c>
    </row>
    <row r="181" hidden="1">
      <c r="A181" s="67">
        <f>'Revenue &amp; Demand'!A57</f>
        <v>46905</v>
      </c>
      <c r="B181" s="68">
        <f>'Revenue &amp; Demand'!D57</f>
        <v>102</v>
      </c>
      <c r="C181" s="68">
        <f t="shared" si="117"/>
        <v>973906</v>
      </c>
      <c r="D181" s="68">
        <f t="shared" si="118"/>
        <v>623809</v>
      </c>
      <c r="E181" s="68">
        <f t="shared" si="119"/>
        <v>1597715</v>
      </c>
      <c r="F181" s="68">
        <f t="shared" si="120"/>
        <v>1470407</v>
      </c>
      <c r="G181" s="68">
        <f t="shared" si="121"/>
        <v>4901000</v>
      </c>
      <c r="H181" s="68">
        <f>MAX(0,'Revenue &amp; Demand'!I57-'Revenue &amp; Demand'!I56)</f>
        <v>97</v>
      </c>
      <c r="I181" s="68">
        <f t="shared" si="122"/>
        <v>17460</v>
      </c>
      <c r="J181" s="68">
        <f t="shared" si="123"/>
        <v>6388867</v>
      </c>
      <c r="K181" s="68">
        <f t="shared" si="124"/>
        <v>980272</v>
      </c>
      <c r="L181" s="68">
        <f t="shared" si="125"/>
        <v>2976740</v>
      </c>
      <c r="M181" s="68">
        <f t="shared" si="126"/>
        <v>580</v>
      </c>
      <c r="N181" s="68">
        <f t="shared" si="127"/>
        <v>276895</v>
      </c>
      <c r="O181" s="68">
        <f t="shared" si="128"/>
        <v>4233907</v>
      </c>
      <c r="P181" s="68">
        <f t="shared" si="129"/>
        <v>0</v>
      </c>
    </row>
    <row r="182" hidden="1">
      <c r="A182" s="67">
        <f>'Revenue &amp; Demand'!A58</f>
        <v>46935</v>
      </c>
      <c r="B182" s="68">
        <f>'Revenue &amp; Demand'!D58</f>
        <v>103</v>
      </c>
      <c r="C182" s="68">
        <f t="shared" si="117"/>
        <v>983454</v>
      </c>
      <c r="D182" s="68">
        <f t="shared" si="118"/>
        <v>623809</v>
      </c>
      <c r="E182" s="68">
        <f t="shared" si="119"/>
        <v>1607263</v>
      </c>
      <c r="F182" s="68">
        <f t="shared" si="120"/>
        <v>1500113</v>
      </c>
      <c r="G182" s="68">
        <f t="shared" si="121"/>
        <v>4901000</v>
      </c>
      <c r="H182" s="68">
        <f>MAX(0,'Revenue &amp; Demand'!I58-'Revenue &amp; Demand'!I57)</f>
        <v>100</v>
      </c>
      <c r="I182" s="68">
        <f t="shared" si="122"/>
        <v>18000</v>
      </c>
      <c r="J182" s="68">
        <f t="shared" si="123"/>
        <v>6419113</v>
      </c>
      <c r="K182" s="68">
        <f t="shared" si="124"/>
        <v>980272</v>
      </c>
      <c r="L182" s="68">
        <f t="shared" si="125"/>
        <v>2976740</v>
      </c>
      <c r="M182" s="68">
        <f t="shared" si="126"/>
        <v>585</v>
      </c>
      <c r="N182" s="68">
        <f t="shared" si="127"/>
        <v>279282</v>
      </c>
      <c r="O182" s="68">
        <f t="shared" si="128"/>
        <v>4236294</v>
      </c>
      <c r="P182" s="68">
        <f t="shared" si="129"/>
        <v>0</v>
      </c>
    </row>
    <row r="183" hidden="1">
      <c r="A183" s="67">
        <f>'Revenue &amp; Demand'!A59</f>
        <v>46966</v>
      </c>
      <c r="B183" s="68">
        <f>'Revenue &amp; Demand'!D59</f>
        <v>106</v>
      </c>
      <c r="C183" s="68">
        <f t="shared" si="117"/>
        <v>1012099</v>
      </c>
      <c r="D183" s="68">
        <f t="shared" si="118"/>
        <v>623809</v>
      </c>
      <c r="E183" s="68">
        <f t="shared" si="119"/>
        <v>1635908</v>
      </c>
      <c r="F183" s="68">
        <f t="shared" si="120"/>
        <v>1529818</v>
      </c>
      <c r="G183" s="68">
        <f t="shared" si="121"/>
        <v>4901000</v>
      </c>
      <c r="H183" s="68">
        <f>MAX(0,'Revenue &amp; Demand'!I59-'Revenue &amp; Demand'!I58)</f>
        <v>101</v>
      </c>
      <c r="I183" s="68">
        <f t="shared" si="122"/>
        <v>18180</v>
      </c>
      <c r="J183" s="68">
        <f t="shared" si="123"/>
        <v>6448998</v>
      </c>
      <c r="K183" s="68">
        <f t="shared" si="124"/>
        <v>996609</v>
      </c>
      <c r="L183" s="68">
        <f t="shared" si="125"/>
        <v>2976740</v>
      </c>
      <c r="M183" s="68">
        <f t="shared" si="126"/>
        <v>592</v>
      </c>
      <c r="N183" s="68">
        <f t="shared" si="127"/>
        <v>282624</v>
      </c>
      <c r="O183" s="68">
        <f t="shared" si="128"/>
        <v>4255973</v>
      </c>
      <c r="P183" s="68">
        <f t="shared" si="129"/>
        <v>0</v>
      </c>
    </row>
    <row r="184" hidden="1">
      <c r="A184" s="67">
        <f>'Revenue &amp; Demand'!A60</f>
        <v>46997</v>
      </c>
      <c r="B184" s="68">
        <f>'Revenue &amp; Demand'!D60</f>
        <v>108</v>
      </c>
      <c r="C184" s="68">
        <f t="shared" si="117"/>
        <v>1031195</v>
      </c>
      <c r="D184" s="68">
        <f t="shared" si="118"/>
        <v>623809</v>
      </c>
      <c r="E184" s="68">
        <f t="shared" si="119"/>
        <v>1655004</v>
      </c>
      <c r="F184" s="68">
        <f t="shared" si="120"/>
        <v>1559523</v>
      </c>
      <c r="G184" s="68">
        <f t="shared" si="121"/>
        <v>4901000</v>
      </c>
      <c r="H184" s="68">
        <f>MAX(0,'Revenue &amp; Demand'!I60-'Revenue &amp; Demand'!I59)</f>
        <v>104</v>
      </c>
      <c r="I184" s="68">
        <f t="shared" si="122"/>
        <v>18720</v>
      </c>
      <c r="J184" s="68">
        <f t="shared" si="123"/>
        <v>6479243</v>
      </c>
      <c r="K184" s="68">
        <f t="shared" si="124"/>
        <v>996609</v>
      </c>
      <c r="L184" s="68">
        <f t="shared" si="125"/>
        <v>2976740</v>
      </c>
      <c r="M184" s="68">
        <f t="shared" si="126"/>
        <v>598</v>
      </c>
      <c r="N184" s="68">
        <f t="shared" si="127"/>
        <v>285488</v>
      </c>
      <c r="O184" s="68">
        <f t="shared" si="128"/>
        <v>4258837</v>
      </c>
      <c r="P184" s="68">
        <f t="shared" si="129"/>
        <v>0</v>
      </c>
    </row>
    <row r="185" hidden="1">
      <c r="A185" s="67">
        <f>'Revenue &amp; Demand'!A61</f>
        <v>47027</v>
      </c>
      <c r="B185" s="68">
        <f>'Revenue &amp; Demand'!D61</f>
        <v>108</v>
      </c>
      <c r="C185" s="68">
        <f t="shared" si="117"/>
        <v>1031195</v>
      </c>
      <c r="D185" s="68">
        <f t="shared" si="118"/>
        <v>637672</v>
      </c>
      <c r="E185" s="68">
        <f t="shared" si="119"/>
        <v>1668867</v>
      </c>
      <c r="F185" s="68">
        <f t="shared" si="120"/>
        <v>1574376</v>
      </c>
      <c r="G185" s="68">
        <f t="shared" si="121"/>
        <v>4901000</v>
      </c>
      <c r="H185" s="68">
        <f>MAX(0,'Revenue &amp; Demand'!I61-'Revenue &amp; Demand'!I60)</f>
        <v>105</v>
      </c>
      <c r="I185" s="68">
        <f t="shared" si="122"/>
        <v>18900</v>
      </c>
      <c r="J185" s="68">
        <f t="shared" si="123"/>
        <v>6494276</v>
      </c>
      <c r="K185" s="68">
        <f t="shared" si="124"/>
        <v>1012947</v>
      </c>
      <c r="L185" s="68">
        <f t="shared" si="125"/>
        <v>2976740</v>
      </c>
      <c r="M185" s="68">
        <f t="shared" si="126"/>
        <v>603</v>
      </c>
      <c r="N185" s="68">
        <f t="shared" si="127"/>
        <v>287875</v>
      </c>
      <c r="O185" s="68">
        <f t="shared" si="128"/>
        <v>4277562</v>
      </c>
      <c r="P185" s="68">
        <f t="shared" si="129"/>
        <v>0</v>
      </c>
    </row>
    <row r="186" hidden="1">
      <c r="A186" s="67">
        <f>'Revenue &amp; Demand'!A62</f>
        <v>47058</v>
      </c>
      <c r="B186" s="68">
        <f>'Revenue &amp; Demand'!D62</f>
        <v>110</v>
      </c>
      <c r="C186" s="68">
        <f t="shared" si="117"/>
        <v>1050291</v>
      </c>
      <c r="D186" s="68">
        <f t="shared" si="118"/>
        <v>637672</v>
      </c>
      <c r="E186" s="68">
        <f t="shared" si="119"/>
        <v>1687963</v>
      </c>
      <c r="F186" s="68">
        <f t="shared" si="120"/>
        <v>1604081</v>
      </c>
      <c r="G186" s="68">
        <f t="shared" si="121"/>
        <v>4901000</v>
      </c>
      <c r="H186" s="68">
        <f>MAX(0,'Revenue &amp; Demand'!I62-'Revenue &amp; Demand'!I61)</f>
        <v>108</v>
      </c>
      <c r="I186" s="68">
        <f t="shared" si="122"/>
        <v>19440</v>
      </c>
      <c r="J186" s="68">
        <f t="shared" si="123"/>
        <v>6524521</v>
      </c>
      <c r="K186" s="68">
        <f t="shared" si="124"/>
        <v>1012947</v>
      </c>
      <c r="L186" s="68">
        <f t="shared" si="125"/>
        <v>2976740</v>
      </c>
      <c r="M186" s="68">
        <f t="shared" si="126"/>
        <v>610</v>
      </c>
      <c r="N186" s="68">
        <f t="shared" si="127"/>
        <v>291217</v>
      </c>
      <c r="O186" s="68">
        <f t="shared" si="128"/>
        <v>4280904</v>
      </c>
      <c r="P186" s="68">
        <f t="shared" si="129"/>
        <v>0</v>
      </c>
    </row>
    <row r="187" hidden="1">
      <c r="A187" s="67">
        <f>'Revenue &amp; Demand'!A63</f>
        <v>47088</v>
      </c>
      <c r="B187" s="68">
        <f>'Revenue &amp; Demand'!D63</f>
        <v>112</v>
      </c>
      <c r="C187" s="68">
        <f t="shared" si="117"/>
        <v>1069387</v>
      </c>
      <c r="D187" s="68">
        <f t="shared" si="118"/>
        <v>637672</v>
      </c>
      <c r="E187" s="68">
        <f t="shared" si="119"/>
        <v>1707059</v>
      </c>
      <c r="F187" s="68">
        <f t="shared" si="120"/>
        <v>1633786</v>
      </c>
      <c r="G187" s="68">
        <f t="shared" si="121"/>
        <v>4901000</v>
      </c>
      <c r="H187" s="68">
        <f>MAX(0,'Revenue &amp; Demand'!I63-'Revenue &amp; Demand'!I62)</f>
        <v>110</v>
      </c>
      <c r="I187" s="68">
        <f t="shared" si="122"/>
        <v>19800</v>
      </c>
      <c r="J187" s="68">
        <f t="shared" si="123"/>
        <v>6554586</v>
      </c>
      <c r="K187" s="68">
        <f t="shared" si="124"/>
        <v>1029285</v>
      </c>
      <c r="L187" s="68">
        <f t="shared" si="125"/>
        <v>2976740</v>
      </c>
      <c r="M187" s="68">
        <f t="shared" si="126"/>
        <v>615</v>
      </c>
      <c r="N187" s="68">
        <f t="shared" si="127"/>
        <v>293604</v>
      </c>
      <c r="O187" s="68">
        <f t="shared" si="128"/>
        <v>4299629</v>
      </c>
      <c r="P187" s="68">
        <f t="shared" si="129"/>
        <v>0</v>
      </c>
    </row>
    <row r="188" hidden="1">
      <c r="A188" s="67">
        <f>'Revenue &amp; Demand'!A64</f>
        <v>47119</v>
      </c>
      <c r="B188" s="68">
        <f>'Revenue &amp; Demand'!D64</f>
        <v>103</v>
      </c>
      <c r="C188" s="68">
        <f t="shared" si="117"/>
        <v>1012958</v>
      </c>
      <c r="D188" s="68">
        <f t="shared" si="118"/>
        <v>656802</v>
      </c>
      <c r="E188" s="68">
        <f t="shared" si="119"/>
        <v>1669760</v>
      </c>
      <c r="F188" s="68">
        <f t="shared" si="120"/>
        <v>1713396</v>
      </c>
      <c r="G188" s="68">
        <f t="shared" si="121"/>
        <v>6371300</v>
      </c>
      <c r="H188" s="68">
        <f>MAX(0,'Revenue &amp; Demand'!I64-'Revenue &amp; Demand'!I63)</f>
        <v>112</v>
      </c>
      <c r="I188" s="68">
        <f t="shared" si="122"/>
        <v>20160</v>
      </c>
      <c r="J188" s="68">
        <f t="shared" si="123"/>
        <v>8104856</v>
      </c>
      <c r="K188" s="68">
        <f t="shared" si="124"/>
        <v>1076992</v>
      </c>
      <c r="L188" s="68">
        <f t="shared" si="125"/>
        <v>3185112</v>
      </c>
      <c r="M188" s="68">
        <f t="shared" si="126"/>
        <v>620</v>
      </c>
      <c r="N188" s="68">
        <f t="shared" si="127"/>
        <v>304871</v>
      </c>
      <c r="O188" s="68">
        <f t="shared" si="128"/>
        <v>4566975</v>
      </c>
      <c r="P188" s="68">
        <f t="shared" si="129"/>
        <v>0</v>
      </c>
    </row>
    <row r="189" hidden="1">
      <c r="A189" s="67">
        <f>'Revenue &amp; Demand'!A65</f>
        <v>47150</v>
      </c>
      <c r="B189" s="68">
        <f>'Revenue &amp; Demand'!D65</f>
        <v>105</v>
      </c>
      <c r="C189" s="68">
        <f t="shared" si="117"/>
        <v>1032627</v>
      </c>
      <c r="D189" s="68">
        <f t="shared" si="118"/>
        <v>671080</v>
      </c>
      <c r="E189" s="68">
        <f t="shared" si="119"/>
        <v>1703707</v>
      </c>
      <c r="F189" s="68">
        <f t="shared" si="120"/>
        <v>1728694</v>
      </c>
      <c r="G189" s="68">
        <f t="shared" si="121"/>
        <v>6371300</v>
      </c>
      <c r="H189" s="68">
        <f>MAX(0,'Revenue &amp; Demand'!I65-'Revenue &amp; Demand'!I64)</f>
        <v>114</v>
      </c>
      <c r="I189" s="68">
        <f t="shared" si="122"/>
        <v>20520</v>
      </c>
      <c r="J189" s="68">
        <f t="shared" si="123"/>
        <v>8120514</v>
      </c>
      <c r="K189" s="68">
        <f t="shared" si="124"/>
        <v>1076992</v>
      </c>
      <c r="L189" s="68">
        <f t="shared" si="125"/>
        <v>3185112</v>
      </c>
      <c r="M189" s="68">
        <f t="shared" si="126"/>
        <v>627</v>
      </c>
      <c r="N189" s="68">
        <f t="shared" si="127"/>
        <v>308313</v>
      </c>
      <c r="O189" s="68">
        <f t="shared" si="128"/>
        <v>4570417</v>
      </c>
      <c r="P189" s="68">
        <f t="shared" si="129"/>
        <v>0</v>
      </c>
    </row>
    <row r="190" hidden="1">
      <c r="A190" s="67">
        <f>'Revenue &amp; Demand'!A66</f>
        <v>47178</v>
      </c>
      <c r="B190" s="68">
        <f>'Revenue &amp; Demand'!D66</f>
        <v>108</v>
      </c>
      <c r="C190" s="68">
        <f t="shared" si="117"/>
        <v>1062131</v>
      </c>
      <c r="D190" s="68">
        <f t="shared" si="118"/>
        <v>671080</v>
      </c>
      <c r="E190" s="68">
        <f t="shared" si="119"/>
        <v>1733211</v>
      </c>
      <c r="F190" s="68">
        <f t="shared" si="120"/>
        <v>1759290</v>
      </c>
      <c r="G190" s="68">
        <f t="shared" si="121"/>
        <v>6371300</v>
      </c>
      <c r="H190" s="68">
        <f>MAX(0,'Revenue &amp; Demand'!I66-'Revenue &amp; Demand'!I65)</f>
        <v>117</v>
      </c>
      <c r="I190" s="68">
        <f t="shared" si="122"/>
        <v>21060</v>
      </c>
      <c r="J190" s="68">
        <f t="shared" si="123"/>
        <v>8151650</v>
      </c>
      <c r="K190" s="68">
        <f t="shared" si="124"/>
        <v>1093820</v>
      </c>
      <c r="L190" s="68">
        <f t="shared" si="125"/>
        <v>3185112</v>
      </c>
      <c r="M190" s="68">
        <f t="shared" si="126"/>
        <v>632</v>
      </c>
      <c r="N190" s="68">
        <f t="shared" si="127"/>
        <v>310772</v>
      </c>
      <c r="O190" s="68">
        <f t="shared" si="128"/>
        <v>4589704</v>
      </c>
      <c r="P190" s="68">
        <f t="shared" si="129"/>
        <v>0</v>
      </c>
    </row>
    <row r="191" hidden="1">
      <c r="A191" s="67">
        <f>'Revenue &amp; Demand'!A67</f>
        <v>47209</v>
      </c>
      <c r="B191" s="68">
        <f>'Revenue &amp; Demand'!D67</f>
        <v>109</v>
      </c>
      <c r="C191" s="68">
        <f t="shared" si="117"/>
        <v>1071965</v>
      </c>
      <c r="D191" s="68">
        <f t="shared" si="118"/>
        <v>671080</v>
      </c>
      <c r="E191" s="68">
        <f t="shared" si="119"/>
        <v>1743045</v>
      </c>
      <c r="F191" s="68">
        <f t="shared" si="120"/>
        <v>1789887</v>
      </c>
      <c r="G191" s="68">
        <f t="shared" si="121"/>
        <v>6371300</v>
      </c>
      <c r="H191" s="68">
        <f>MAX(0,'Revenue &amp; Demand'!I67-'Revenue &amp; Demand'!I66)</f>
        <v>119</v>
      </c>
      <c r="I191" s="68">
        <f t="shared" si="122"/>
        <v>21420</v>
      </c>
      <c r="J191" s="68">
        <f t="shared" si="123"/>
        <v>8182607</v>
      </c>
      <c r="K191" s="68">
        <f t="shared" si="124"/>
        <v>1093820</v>
      </c>
      <c r="L191" s="68">
        <f t="shared" si="125"/>
        <v>3185112</v>
      </c>
      <c r="M191" s="68">
        <f t="shared" si="126"/>
        <v>638</v>
      </c>
      <c r="N191" s="68">
        <f t="shared" si="127"/>
        <v>313722</v>
      </c>
      <c r="O191" s="68">
        <f t="shared" si="128"/>
        <v>4592654</v>
      </c>
      <c r="P191" s="68">
        <f t="shared" si="129"/>
        <v>0</v>
      </c>
    </row>
    <row r="192" hidden="1">
      <c r="A192" s="67">
        <f>'Revenue &amp; Demand'!A68</f>
        <v>47239</v>
      </c>
      <c r="B192" s="68">
        <f>'Revenue &amp; Demand'!D68</f>
        <v>112</v>
      </c>
      <c r="C192" s="68">
        <f t="shared" si="117"/>
        <v>1101469</v>
      </c>
      <c r="D192" s="68">
        <f t="shared" si="118"/>
        <v>671080</v>
      </c>
      <c r="E192" s="68">
        <f t="shared" si="119"/>
        <v>1772549</v>
      </c>
      <c r="F192" s="68">
        <f t="shared" si="120"/>
        <v>1805185</v>
      </c>
      <c r="G192" s="68">
        <f t="shared" si="121"/>
        <v>6371300</v>
      </c>
      <c r="H192" s="68">
        <f>MAX(0,'Revenue &amp; Demand'!I68-'Revenue &amp; Demand'!I67)</f>
        <v>121</v>
      </c>
      <c r="I192" s="68">
        <f t="shared" si="122"/>
        <v>21780</v>
      </c>
      <c r="J192" s="68">
        <f t="shared" si="123"/>
        <v>8198265</v>
      </c>
      <c r="K192" s="68">
        <f t="shared" si="124"/>
        <v>1110648</v>
      </c>
      <c r="L192" s="68">
        <f t="shared" si="125"/>
        <v>3185112</v>
      </c>
      <c r="M192" s="68">
        <f t="shared" si="126"/>
        <v>643</v>
      </c>
      <c r="N192" s="68">
        <f t="shared" si="127"/>
        <v>316181</v>
      </c>
      <c r="O192" s="68">
        <f t="shared" si="128"/>
        <v>4611941</v>
      </c>
      <c r="P192" s="68">
        <f t="shared" si="129"/>
        <v>0</v>
      </c>
    </row>
    <row r="193" hidden="1">
      <c r="A193" s="67">
        <f>'Revenue &amp; Demand'!A69</f>
        <v>47270</v>
      </c>
      <c r="B193" s="68">
        <f>'Revenue &amp; Demand'!D69</f>
        <v>114</v>
      </c>
      <c r="C193" s="68">
        <f t="shared" si="117"/>
        <v>1121138</v>
      </c>
      <c r="D193" s="68">
        <f t="shared" si="118"/>
        <v>685358</v>
      </c>
      <c r="E193" s="68">
        <f t="shared" si="119"/>
        <v>1806496</v>
      </c>
      <c r="F193" s="68">
        <f t="shared" si="120"/>
        <v>1835781</v>
      </c>
      <c r="G193" s="68">
        <f t="shared" si="121"/>
        <v>6371300</v>
      </c>
      <c r="H193" s="68">
        <f>MAX(0,'Revenue &amp; Demand'!I69-'Revenue &amp; Demand'!I68)</f>
        <v>124</v>
      </c>
      <c r="I193" s="68">
        <f t="shared" si="122"/>
        <v>22320</v>
      </c>
      <c r="J193" s="68">
        <f t="shared" si="123"/>
        <v>8229401</v>
      </c>
      <c r="K193" s="68">
        <f t="shared" si="124"/>
        <v>1110648</v>
      </c>
      <c r="L193" s="68">
        <f t="shared" si="125"/>
        <v>3185112</v>
      </c>
      <c r="M193" s="68">
        <f t="shared" si="126"/>
        <v>650</v>
      </c>
      <c r="N193" s="68">
        <f t="shared" si="127"/>
        <v>319623</v>
      </c>
      <c r="O193" s="68">
        <f t="shared" si="128"/>
        <v>4615383</v>
      </c>
      <c r="P193" s="68">
        <f t="shared" si="129"/>
        <v>0</v>
      </c>
    </row>
    <row r="194" hidden="1">
      <c r="A194" s="67">
        <f>'Revenue &amp; Demand'!A70</f>
        <v>47300</v>
      </c>
      <c r="B194" s="68">
        <f>'Revenue &amp; Demand'!D70</f>
        <v>115</v>
      </c>
      <c r="C194" s="68">
        <f t="shared" si="117"/>
        <v>1130972</v>
      </c>
      <c r="D194" s="68">
        <f t="shared" si="118"/>
        <v>685358</v>
      </c>
      <c r="E194" s="68">
        <f t="shared" si="119"/>
        <v>1816330</v>
      </c>
      <c r="F194" s="68">
        <f t="shared" si="120"/>
        <v>1866378</v>
      </c>
      <c r="G194" s="68">
        <f t="shared" si="121"/>
        <v>6371300</v>
      </c>
      <c r="H194" s="68">
        <f>MAX(0,'Revenue &amp; Demand'!I70-'Revenue &amp; Demand'!I69)</f>
        <v>126</v>
      </c>
      <c r="I194" s="68">
        <f t="shared" si="122"/>
        <v>22680</v>
      </c>
      <c r="J194" s="68">
        <f t="shared" si="123"/>
        <v>8260358</v>
      </c>
      <c r="K194" s="68">
        <f t="shared" si="124"/>
        <v>1127476</v>
      </c>
      <c r="L194" s="68">
        <f t="shared" si="125"/>
        <v>3185112</v>
      </c>
      <c r="M194" s="68">
        <f t="shared" si="126"/>
        <v>655</v>
      </c>
      <c r="N194" s="68">
        <f t="shared" si="127"/>
        <v>322081</v>
      </c>
      <c r="O194" s="68">
        <f t="shared" si="128"/>
        <v>4634669</v>
      </c>
      <c r="P194" s="68">
        <f t="shared" si="129"/>
        <v>0</v>
      </c>
    </row>
    <row r="195" hidden="1">
      <c r="A195" s="67">
        <f>'Revenue &amp; Demand'!A71</f>
        <v>47331</v>
      </c>
      <c r="B195" s="68">
        <f>'Revenue &amp; Demand'!D71</f>
        <v>118</v>
      </c>
      <c r="C195" s="68">
        <f t="shared" si="117"/>
        <v>1160476</v>
      </c>
      <c r="D195" s="68">
        <f t="shared" si="118"/>
        <v>685358</v>
      </c>
      <c r="E195" s="68">
        <f t="shared" si="119"/>
        <v>1845834</v>
      </c>
      <c r="F195" s="68">
        <f t="shared" si="120"/>
        <v>1881676</v>
      </c>
      <c r="G195" s="68">
        <f t="shared" si="121"/>
        <v>6371300</v>
      </c>
      <c r="H195" s="68">
        <f>MAX(0,'Revenue &amp; Demand'!I71-'Revenue &amp; Demand'!I70)</f>
        <v>128</v>
      </c>
      <c r="I195" s="68">
        <f t="shared" si="122"/>
        <v>23040</v>
      </c>
      <c r="J195" s="68">
        <f t="shared" si="123"/>
        <v>8276016</v>
      </c>
      <c r="K195" s="68">
        <f t="shared" si="124"/>
        <v>1127476</v>
      </c>
      <c r="L195" s="68">
        <f t="shared" si="125"/>
        <v>3185112</v>
      </c>
      <c r="M195" s="68">
        <f t="shared" si="126"/>
        <v>659</v>
      </c>
      <c r="N195" s="68">
        <f t="shared" si="127"/>
        <v>324048</v>
      </c>
      <c r="O195" s="68">
        <f t="shared" si="128"/>
        <v>4636636</v>
      </c>
      <c r="P195" s="68">
        <f t="shared" si="129"/>
        <v>0</v>
      </c>
    </row>
    <row r="196" hidden="1">
      <c r="A196" s="67">
        <f>'Revenue &amp; Demand'!A72</f>
        <v>47362</v>
      </c>
      <c r="B196" s="68">
        <f>'Revenue &amp; Demand'!D72</f>
        <v>120</v>
      </c>
      <c r="C196" s="68">
        <f t="shared" si="117"/>
        <v>1180145</v>
      </c>
      <c r="D196" s="68">
        <f t="shared" si="118"/>
        <v>685358</v>
      </c>
      <c r="E196" s="68">
        <f t="shared" si="119"/>
        <v>1865503</v>
      </c>
      <c r="F196" s="68">
        <f t="shared" si="120"/>
        <v>1912272</v>
      </c>
      <c r="G196" s="68">
        <f t="shared" si="121"/>
        <v>6371300</v>
      </c>
      <c r="H196" s="68">
        <f>MAX(0,'Revenue &amp; Demand'!I72-'Revenue &amp; Demand'!I71)</f>
        <v>132</v>
      </c>
      <c r="I196" s="68">
        <f t="shared" si="122"/>
        <v>23760</v>
      </c>
      <c r="J196" s="68">
        <f t="shared" si="123"/>
        <v>8307332</v>
      </c>
      <c r="K196" s="68">
        <f t="shared" si="124"/>
        <v>1144304</v>
      </c>
      <c r="L196" s="68">
        <f t="shared" si="125"/>
        <v>3185112</v>
      </c>
      <c r="M196" s="68">
        <f t="shared" si="126"/>
        <v>666</v>
      </c>
      <c r="N196" s="68">
        <f t="shared" si="127"/>
        <v>327490</v>
      </c>
      <c r="O196" s="68">
        <f t="shared" si="128"/>
        <v>4656906</v>
      </c>
      <c r="P196" s="68">
        <f t="shared" si="129"/>
        <v>0</v>
      </c>
    </row>
    <row r="197" hidden="1">
      <c r="A197" s="67">
        <f>'Revenue &amp; Demand'!A73</f>
        <v>47392</v>
      </c>
      <c r="B197" s="68">
        <f>'Revenue &amp; Demand'!D73</f>
        <v>120</v>
      </c>
      <c r="C197" s="68">
        <f t="shared" si="117"/>
        <v>1180145</v>
      </c>
      <c r="D197" s="68">
        <f t="shared" si="118"/>
        <v>699637</v>
      </c>
      <c r="E197" s="68">
        <f t="shared" si="119"/>
        <v>1879782</v>
      </c>
      <c r="F197" s="68">
        <f t="shared" si="120"/>
        <v>1942869</v>
      </c>
      <c r="G197" s="68">
        <f t="shared" si="121"/>
        <v>6371300</v>
      </c>
      <c r="H197" s="68">
        <f>MAX(0,'Revenue &amp; Demand'!I73-'Revenue &amp; Demand'!I72)</f>
        <v>134</v>
      </c>
      <c r="I197" s="68">
        <f t="shared" si="122"/>
        <v>24120</v>
      </c>
      <c r="J197" s="68">
        <f t="shared" si="123"/>
        <v>8338289</v>
      </c>
      <c r="K197" s="68">
        <f t="shared" si="124"/>
        <v>1144304</v>
      </c>
      <c r="L197" s="68">
        <f t="shared" si="125"/>
        <v>3185112</v>
      </c>
      <c r="M197" s="68">
        <f t="shared" si="126"/>
        <v>671</v>
      </c>
      <c r="N197" s="68">
        <f t="shared" si="127"/>
        <v>329949</v>
      </c>
      <c r="O197" s="68">
        <f t="shared" si="128"/>
        <v>4659365</v>
      </c>
      <c r="P197" s="68">
        <f t="shared" si="129"/>
        <v>0</v>
      </c>
    </row>
    <row r="198" hidden="1">
      <c r="A198" s="67">
        <f>'Revenue &amp; Demand'!A74</f>
        <v>47423</v>
      </c>
      <c r="B198" s="68">
        <f>'Revenue &amp; Demand'!D74</f>
        <v>122</v>
      </c>
      <c r="C198" s="68">
        <f t="shared" si="117"/>
        <v>1199814</v>
      </c>
      <c r="D198" s="68">
        <f t="shared" si="118"/>
        <v>699637</v>
      </c>
      <c r="E198" s="68">
        <f t="shared" si="119"/>
        <v>1899451</v>
      </c>
      <c r="F198" s="68">
        <f t="shared" si="120"/>
        <v>1958167</v>
      </c>
      <c r="G198" s="68">
        <f t="shared" si="121"/>
        <v>6371300</v>
      </c>
      <c r="H198" s="68">
        <f>MAX(0,'Revenue &amp; Demand'!I74-'Revenue &amp; Demand'!I73)</f>
        <v>136</v>
      </c>
      <c r="I198" s="68">
        <f t="shared" si="122"/>
        <v>24480</v>
      </c>
      <c r="J198" s="68">
        <f t="shared" si="123"/>
        <v>8353947</v>
      </c>
      <c r="K198" s="68">
        <f t="shared" si="124"/>
        <v>1161132</v>
      </c>
      <c r="L198" s="68">
        <f t="shared" si="125"/>
        <v>3185112</v>
      </c>
      <c r="M198" s="68">
        <f t="shared" si="126"/>
        <v>678</v>
      </c>
      <c r="N198" s="68">
        <f t="shared" si="127"/>
        <v>333391</v>
      </c>
      <c r="O198" s="68">
        <f t="shared" si="128"/>
        <v>4679635</v>
      </c>
      <c r="P198" s="68">
        <f t="shared" si="129"/>
        <v>0</v>
      </c>
    </row>
    <row r="199" hidden="1">
      <c r="A199" s="67">
        <f>'Revenue &amp; Demand'!A75</f>
        <v>47453</v>
      </c>
      <c r="B199" s="68">
        <f>'Revenue &amp; Demand'!D75</f>
        <v>124</v>
      </c>
      <c r="C199" s="68">
        <f t="shared" si="117"/>
        <v>1219483</v>
      </c>
      <c r="D199" s="68">
        <f t="shared" si="118"/>
        <v>699637</v>
      </c>
      <c r="E199" s="68">
        <f t="shared" si="119"/>
        <v>1919120</v>
      </c>
      <c r="F199" s="68">
        <f t="shared" si="120"/>
        <v>1988763</v>
      </c>
      <c r="G199" s="68">
        <f t="shared" si="121"/>
        <v>6371300</v>
      </c>
      <c r="H199" s="68">
        <f>MAX(0,'Revenue &amp; Demand'!I75-'Revenue &amp; Demand'!I74)</f>
        <v>139</v>
      </c>
      <c r="I199" s="68">
        <f t="shared" si="122"/>
        <v>25020</v>
      </c>
      <c r="J199" s="68">
        <f t="shared" si="123"/>
        <v>8385083</v>
      </c>
      <c r="K199" s="68">
        <f t="shared" si="124"/>
        <v>1161132</v>
      </c>
      <c r="L199" s="68">
        <f t="shared" si="125"/>
        <v>3185112</v>
      </c>
      <c r="M199" s="68">
        <f t="shared" si="126"/>
        <v>682</v>
      </c>
      <c r="N199" s="68">
        <f t="shared" si="127"/>
        <v>335358</v>
      </c>
      <c r="O199" s="68">
        <f t="shared" si="128"/>
        <v>4681602</v>
      </c>
      <c r="P199" s="68">
        <f t="shared" si="129"/>
        <v>0</v>
      </c>
    </row>
    <row r="200" hidden="1">
      <c r="A200" s="67">
        <f>'Revenue &amp; Demand'!A76</f>
        <v>47484</v>
      </c>
      <c r="B200" s="68">
        <f>'Revenue &amp; Demand'!D76</f>
        <v>113</v>
      </c>
      <c r="C200" s="68">
        <f t="shared" si="117"/>
        <v>1144642</v>
      </c>
      <c r="D200" s="68">
        <f t="shared" si="118"/>
        <v>720626</v>
      </c>
      <c r="E200" s="68">
        <f t="shared" si="119"/>
        <v>1865268</v>
      </c>
      <c r="F200" s="68">
        <f t="shared" si="120"/>
        <v>2064183</v>
      </c>
      <c r="G200" s="68">
        <f t="shared" si="121"/>
        <v>8282690</v>
      </c>
      <c r="H200" s="68">
        <f>MAX(0,'Revenue &amp; Demand'!I76-'Revenue &amp; Demand'!I75)</f>
        <v>142</v>
      </c>
      <c r="I200" s="68">
        <f t="shared" si="122"/>
        <v>25560</v>
      </c>
      <c r="J200" s="68">
        <f t="shared" si="123"/>
        <v>10372433</v>
      </c>
      <c r="K200" s="68">
        <f t="shared" si="124"/>
        <v>1213298</v>
      </c>
      <c r="L200" s="68">
        <f t="shared" si="125"/>
        <v>3408070</v>
      </c>
      <c r="M200" s="68">
        <f t="shared" si="126"/>
        <v>686</v>
      </c>
      <c r="N200" s="68">
        <f t="shared" si="127"/>
        <v>347445</v>
      </c>
      <c r="O200" s="68">
        <f t="shared" si="128"/>
        <v>4968813</v>
      </c>
      <c r="P200" s="68">
        <f t="shared" si="129"/>
        <v>0</v>
      </c>
    </row>
    <row r="201" hidden="1">
      <c r="A201" s="67">
        <f>'Revenue &amp; Demand'!A77</f>
        <v>47515</v>
      </c>
      <c r="B201" s="68">
        <f>'Revenue &amp; Demand'!D77</f>
        <v>115</v>
      </c>
      <c r="C201" s="68">
        <f t="shared" si="117"/>
        <v>1164902</v>
      </c>
      <c r="D201" s="68">
        <f t="shared" si="118"/>
        <v>735332</v>
      </c>
      <c r="E201" s="68">
        <f t="shared" si="119"/>
        <v>1900234</v>
      </c>
      <c r="F201" s="68">
        <f t="shared" si="120"/>
        <v>2095697</v>
      </c>
      <c r="G201" s="68">
        <f t="shared" si="121"/>
        <v>8282690</v>
      </c>
      <c r="H201" s="68">
        <f>MAX(0,'Revenue &amp; Demand'!I77-'Revenue &amp; Demand'!I76)</f>
        <v>145</v>
      </c>
      <c r="I201" s="68">
        <f t="shared" si="122"/>
        <v>26100</v>
      </c>
      <c r="J201" s="68">
        <f t="shared" si="123"/>
        <v>10404487</v>
      </c>
      <c r="K201" s="68">
        <f t="shared" si="124"/>
        <v>1213298</v>
      </c>
      <c r="L201" s="68">
        <f t="shared" si="125"/>
        <v>3408070</v>
      </c>
      <c r="M201" s="68">
        <f t="shared" si="126"/>
        <v>693</v>
      </c>
      <c r="N201" s="68">
        <f t="shared" si="127"/>
        <v>350990</v>
      </c>
      <c r="O201" s="68">
        <f t="shared" si="128"/>
        <v>4972358</v>
      </c>
      <c r="P201" s="68">
        <f t="shared" si="129"/>
        <v>0</v>
      </c>
    </row>
    <row r="202" hidden="1">
      <c r="A202" s="67">
        <f>'Revenue &amp; Demand'!A78</f>
        <v>47543</v>
      </c>
      <c r="B202" s="68">
        <f>'Revenue &amp; Demand'!D78</f>
        <v>118</v>
      </c>
      <c r="C202" s="68">
        <f t="shared" si="117"/>
        <v>1195290</v>
      </c>
      <c r="D202" s="68">
        <f t="shared" si="118"/>
        <v>735332</v>
      </c>
      <c r="E202" s="68">
        <f t="shared" si="119"/>
        <v>1930622</v>
      </c>
      <c r="F202" s="68">
        <f t="shared" si="120"/>
        <v>2111455</v>
      </c>
      <c r="G202" s="68">
        <f t="shared" si="121"/>
        <v>8282690</v>
      </c>
      <c r="H202" s="68">
        <f>MAX(0,'Revenue &amp; Demand'!I78-'Revenue &amp; Demand'!I77)</f>
        <v>148</v>
      </c>
      <c r="I202" s="68">
        <f t="shared" si="122"/>
        <v>26640</v>
      </c>
      <c r="J202" s="68">
        <f t="shared" si="123"/>
        <v>10420785</v>
      </c>
      <c r="K202" s="68">
        <f t="shared" si="124"/>
        <v>1230631</v>
      </c>
      <c r="L202" s="68">
        <f t="shared" si="125"/>
        <v>3408070</v>
      </c>
      <c r="M202" s="68">
        <f t="shared" si="126"/>
        <v>698</v>
      </c>
      <c r="N202" s="68">
        <f t="shared" si="127"/>
        <v>353522</v>
      </c>
      <c r="O202" s="68">
        <f t="shared" si="128"/>
        <v>4992223</v>
      </c>
      <c r="P202" s="68">
        <f t="shared" si="129"/>
        <v>0</v>
      </c>
    </row>
    <row r="203" hidden="1">
      <c r="A203" s="67">
        <f>'Revenue &amp; Demand'!A79</f>
        <v>47574</v>
      </c>
      <c r="B203" s="68">
        <f>'Revenue &amp; Demand'!D79</f>
        <v>119</v>
      </c>
      <c r="C203" s="68">
        <f t="shared" si="117"/>
        <v>1205420</v>
      </c>
      <c r="D203" s="68">
        <f t="shared" si="118"/>
        <v>735332</v>
      </c>
      <c r="E203" s="68">
        <f t="shared" si="119"/>
        <v>1940752</v>
      </c>
      <c r="F203" s="68">
        <f t="shared" si="120"/>
        <v>2127212</v>
      </c>
      <c r="G203" s="68">
        <f t="shared" si="121"/>
        <v>8282690</v>
      </c>
      <c r="H203" s="68">
        <f>MAX(0,'Revenue &amp; Demand'!I79-'Revenue &amp; Demand'!I78)</f>
        <v>151</v>
      </c>
      <c r="I203" s="68">
        <f t="shared" si="122"/>
        <v>27180</v>
      </c>
      <c r="J203" s="68">
        <f t="shared" si="123"/>
        <v>10437082</v>
      </c>
      <c r="K203" s="68">
        <f t="shared" si="124"/>
        <v>1230631</v>
      </c>
      <c r="L203" s="68">
        <f t="shared" si="125"/>
        <v>3408070</v>
      </c>
      <c r="M203" s="68">
        <f t="shared" si="126"/>
        <v>700</v>
      </c>
      <c r="N203" s="68">
        <f t="shared" si="127"/>
        <v>354535</v>
      </c>
      <c r="O203" s="68">
        <f t="shared" si="128"/>
        <v>4993236</v>
      </c>
      <c r="P203" s="68">
        <f t="shared" si="129"/>
        <v>0</v>
      </c>
    </row>
    <row r="204" hidden="1">
      <c r="A204" s="67">
        <f>'Revenue &amp; Demand'!A80</f>
        <v>47604</v>
      </c>
      <c r="B204" s="68">
        <f>'Revenue &amp; Demand'!D80</f>
        <v>122</v>
      </c>
      <c r="C204" s="68">
        <f t="shared" si="117"/>
        <v>1235809</v>
      </c>
      <c r="D204" s="68">
        <f t="shared" si="118"/>
        <v>735332</v>
      </c>
      <c r="E204" s="68">
        <f t="shared" si="119"/>
        <v>1971141</v>
      </c>
      <c r="F204" s="68">
        <f t="shared" si="120"/>
        <v>2158726</v>
      </c>
      <c r="G204" s="68">
        <f t="shared" si="121"/>
        <v>8282690</v>
      </c>
      <c r="H204" s="68">
        <f>MAX(0,'Revenue &amp; Demand'!I80-'Revenue &amp; Demand'!I79)</f>
        <v>154</v>
      </c>
      <c r="I204" s="68">
        <f t="shared" si="122"/>
        <v>27720</v>
      </c>
      <c r="J204" s="68">
        <f t="shared" si="123"/>
        <v>10469136</v>
      </c>
      <c r="K204" s="68">
        <f t="shared" si="124"/>
        <v>1247964</v>
      </c>
      <c r="L204" s="68">
        <f t="shared" si="125"/>
        <v>3408070</v>
      </c>
      <c r="M204" s="68">
        <f t="shared" si="126"/>
        <v>705</v>
      </c>
      <c r="N204" s="68">
        <f t="shared" si="127"/>
        <v>357068</v>
      </c>
      <c r="O204" s="68">
        <f t="shared" si="128"/>
        <v>5013102</v>
      </c>
      <c r="P204" s="68">
        <f t="shared" si="129"/>
        <v>0</v>
      </c>
    </row>
    <row r="205" hidden="1">
      <c r="A205" s="67">
        <f>'Revenue &amp; Demand'!A81</f>
        <v>47635</v>
      </c>
      <c r="B205" s="68">
        <f>'Revenue &amp; Demand'!D81</f>
        <v>124</v>
      </c>
      <c r="C205" s="68">
        <f t="shared" si="117"/>
        <v>1256068</v>
      </c>
      <c r="D205" s="68">
        <f t="shared" si="118"/>
        <v>750039</v>
      </c>
      <c r="E205" s="68">
        <f t="shared" si="119"/>
        <v>2006107</v>
      </c>
      <c r="F205" s="68">
        <f t="shared" si="120"/>
        <v>2174483</v>
      </c>
      <c r="G205" s="68">
        <f t="shared" si="121"/>
        <v>8282690</v>
      </c>
      <c r="H205" s="68">
        <f>MAX(0,'Revenue &amp; Demand'!I81-'Revenue &amp; Demand'!I80)</f>
        <v>157</v>
      </c>
      <c r="I205" s="68">
        <f t="shared" si="122"/>
        <v>28260</v>
      </c>
      <c r="J205" s="68">
        <f t="shared" si="123"/>
        <v>10485433</v>
      </c>
      <c r="K205" s="68">
        <f t="shared" si="124"/>
        <v>1247964</v>
      </c>
      <c r="L205" s="68">
        <f t="shared" si="125"/>
        <v>3408070</v>
      </c>
      <c r="M205" s="68">
        <f t="shared" si="126"/>
        <v>712</v>
      </c>
      <c r="N205" s="68">
        <f t="shared" si="127"/>
        <v>360613</v>
      </c>
      <c r="O205" s="68">
        <f t="shared" si="128"/>
        <v>5016647</v>
      </c>
      <c r="P205" s="68">
        <f t="shared" si="129"/>
        <v>0</v>
      </c>
    </row>
    <row r="206" hidden="1">
      <c r="A206" s="67">
        <f>'Revenue &amp; Demand'!A82</f>
        <v>47665</v>
      </c>
      <c r="B206" s="68">
        <f>'Revenue &amp; Demand'!D82</f>
        <v>125</v>
      </c>
      <c r="C206" s="68">
        <f t="shared" si="117"/>
        <v>1266197</v>
      </c>
      <c r="D206" s="68">
        <f t="shared" si="118"/>
        <v>750039</v>
      </c>
      <c r="E206" s="68">
        <f t="shared" si="119"/>
        <v>2016236</v>
      </c>
      <c r="F206" s="68">
        <f t="shared" si="120"/>
        <v>2190240</v>
      </c>
      <c r="G206" s="68">
        <f t="shared" si="121"/>
        <v>8282690</v>
      </c>
      <c r="H206" s="68">
        <f>MAX(0,'Revenue &amp; Demand'!I82-'Revenue &amp; Demand'!I81)</f>
        <v>160</v>
      </c>
      <c r="I206" s="68">
        <f t="shared" si="122"/>
        <v>28800</v>
      </c>
      <c r="J206" s="68">
        <f t="shared" si="123"/>
        <v>10501730</v>
      </c>
      <c r="K206" s="68">
        <f t="shared" si="124"/>
        <v>1265297</v>
      </c>
      <c r="L206" s="68">
        <f t="shared" si="125"/>
        <v>3408070</v>
      </c>
      <c r="M206" s="68">
        <f t="shared" si="126"/>
        <v>716</v>
      </c>
      <c r="N206" s="68">
        <f t="shared" si="127"/>
        <v>362639</v>
      </c>
      <c r="O206" s="68">
        <f t="shared" si="128"/>
        <v>5036006</v>
      </c>
      <c r="P206" s="68">
        <f t="shared" si="129"/>
        <v>0</v>
      </c>
    </row>
    <row r="207" hidden="1">
      <c r="A207" s="67">
        <f>'Revenue &amp; Demand'!A83</f>
        <v>47696</v>
      </c>
      <c r="B207" s="68">
        <f>'Revenue &amp; Demand'!D83</f>
        <v>128</v>
      </c>
      <c r="C207" s="68">
        <f t="shared" si="117"/>
        <v>1296586</v>
      </c>
      <c r="D207" s="68">
        <f t="shared" si="118"/>
        <v>750039</v>
      </c>
      <c r="E207" s="68">
        <f t="shared" si="119"/>
        <v>2046625</v>
      </c>
      <c r="F207" s="68">
        <f t="shared" si="120"/>
        <v>2221754</v>
      </c>
      <c r="G207" s="68">
        <f t="shared" si="121"/>
        <v>8282690</v>
      </c>
      <c r="H207" s="68">
        <f>MAX(0,'Revenue &amp; Demand'!I83-'Revenue &amp; Demand'!I82)</f>
        <v>163</v>
      </c>
      <c r="I207" s="68">
        <f t="shared" si="122"/>
        <v>29340</v>
      </c>
      <c r="J207" s="68">
        <f t="shared" si="123"/>
        <v>10533784</v>
      </c>
      <c r="K207" s="68">
        <f t="shared" si="124"/>
        <v>1265297</v>
      </c>
      <c r="L207" s="68">
        <f t="shared" si="125"/>
        <v>3408070</v>
      </c>
      <c r="M207" s="68">
        <f t="shared" si="126"/>
        <v>720</v>
      </c>
      <c r="N207" s="68">
        <f t="shared" si="127"/>
        <v>364665</v>
      </c>
      <c r="O207" s="68">
        <f t="shared" si="128"/>
        <v>5038032</v>
      </c>
      <c r="P207" s="68">
        <f t="shared" si="129"/>
        <v>0</v>
      </c>
    </row>
    <row r="208" hidden="1">
      <c r="A208" s="67">
        <f>'Revenue &amp; Demand'!A84</f>
        <v>47727</v>
      </c>
      <c r="B208" s="68">
        <f>'Revenue &amp; Demand'!D84</f>
        <v>130</v>
      </c>
      <c r="C208" s="68">
        <f t="shared" si="117"/>
        <v>1316845</v>
      </c>
      <c r="D208" s="68">
        <f t="shared" si="118"/>
        <v>750039</v>
      </c>
      <c r="E208" s="68">
        <f t="shared" si="119"/>
        <v>2066884</v>
      </c>
      <c r="F208" s="68">
        <f t="shared" si="120"/>
        <v>2237512</v>
      </c>
      <c r="G208" s="68">
        <f t="shared" si="121"/>
        <v>8282690</v>
      </c>
      <c r="H208" s="68">
        <f>MAX(0,'Revenue &amp; Demand'!I84-'Revenue &amp; Demand'!I83)</f>
        <v>166</v>
      </c>
      <c r="I208" s="68">
        <f t="shared" si="122"/>
        <v>29880</v>
      </c>
      <c r="J208" s="68">
        <f t="shared" si="123"/>
        <v>10550082</v>
      </c>
      <c r="K208" s="68">
        <f t="shared" si="124"/>
        <v>1282630</v>
      </c>
      <c r="L208" s="68">
        <f t="shared" si="125"/>
        <v>3408070</v>
      </c>
      <c r="M208" s="68">
        <f t="shared" si="126"/>
        <v>725</v>
      </c>
      <c r="N208" s="68">
        <f t="shared" si="127"/>
        <v>367197</v>
      </c>
      <c r="O208" s="68">
        <f t="shared" si="128"/>
        <v>5057897</v>
      </c>
      <c r="P208" s="68">
        <f t="shared" si="129"/>
        <v>0</v>
      </c>
    </row>
    <row r="209" hidden="1">
      <c r="A209" s="67">
        <f>'Revenue &amp; Demand'!A85</f>
        <v>47757</v>
      </c>
      <c r="B209" s="68">
        <f>'Revenue &amp; Demand'!D85</f>
        <v>130</v>
      </c>
      <c r="C209" s="68">
        <f t="shared" si="117"/>
        <v>1316845</v>
      </c>
      <c r="D209" s="68">
        <f t="shared" si="118"/>
        <v>764746</v>
      </c>
      <c r="E209" s="68">
        <f t="shared" si="119"/>
        <v>2081591</v>
      </c>
      <c r="F209" s="68">
        <f t="shared" si="120"/>
        <v>2253269</v>
      </c>
      <c r="G209" s="68">
        <f t="shared" si="121"/>
        <v>8282690</v>
      </c>
      <c r="H209" s="68">
        <f>MAX(0,'Revenue &amp; Demand'!I85-'Revenue &amp; Demand'!I84)</f>
        <v>170</v>
      </c>
      <c r="I209" s="68">
        <f t="shared" si="122"/>
        <v>30600</v>
      </c>
      <c r="J209" s="68">
        <f t="shared" si="123"/>
        <v>10566559</v>
      </c>
      <c r="K209" s="68">
        <f t="shared" si="124"/>
        <v>1282630</v>
      </c>
      <c r="L209" s="68">
        <f t="shared" si="125"/>
        <v>3408070</v>
      </c>
      <c r="M209" s="68">
        <f t="shared" si="126"/>
        <v>730</v>
      </c>
      <c r="N209" s="68">
        <f t="shared" si="127"/>
        <v>369730</v>
      </c>
      <c r="O209" s="68">
        <f t="shared" si="128"/>
        <v>5060430</v>
      </c>
      <c r="P209" s="68">
        <f t="shared" si="129"/>
        <v>0</v>
      </c>
    </row>
    <row r="210" hidden="1">
      <c r="A210" s="67">
        <f>'Revenue &amp; Demand'!A86</f>
        <v>47788</v>
      </c>
      <c r="B210" s="68">
        <f>'Revenue &amp; Demand'!D86</f>
        <v>132</v>
      </c>
      <c r="C210" s="68">
        <f t="shared" si="117"/>
        <v>1337104</v>
      </c>
      <c r="D210" s="68">
        <f t="shared" si="118"/>
        <v>764746</v>
      </c>
      <c r="E210" s="68">
        <f t="shared" si="119"/>
        <v>2101850</v>
      </c>
      <c r="F210" s="68">
        <f t="shared" si="120"/>
        <v>2284783</v>
      </c>
      <c r="G210" s="68">
        <f t="shared" si="121"/>
        <v>8282690</v>
      </c>
      <c r="H210" s="68">
        <f>MAX(0,'Revenue &amp; Demand'!I86-'Revenue &amp; Demand'!I85)</f>
        <v>173</v>
      </c>
      <c r="I210" s="68">
        <f t="shared" si="122"/>
        <v>31140</v>
      </c>
      <c r="J210" s="68">
        <f t="shared" si="123"/>
        <v>10598613</v>
      </c>
      <c r="K210" s="68">
        <f t="shared" si="124"/>
        <v>1299963</v>
      </c>
      <c r="L210" s="68">
        <f t="shared" si="125"/>
        <v>3408070</v>
      </c>
      <c r="M210" s="68">
        <f t="shared" si="126"/>
        <v>735</v>
      </c>
      <c r="N210" s="68">
        <f t="shared" si="127"/>
        <v>372262</v>
      </c>
      <c r="O210" s="68">
        <f t="shared" si="128"/>
        <v>5080295</v>
      </c>
      <c r="P210" s="68">
        <f t="shared" si="129"/>
        <v>0</v>
      </c>
    </row>
    <row r="211" hidden="1">
      <c r="A211" s="67">
        <f>'Revenue &amp; Demand'!A87</f>
        <v>47818</v>
      </c>
      <c r="B211" s="68">
        <f>'Revenue &amp; Demand'!D87</f>
        <v>134</v>
      </c>
      <c r="C211" s="68">
        <f t="shared" si="117"/>
        <v>1357364</v>
      </c>
      <c r="D211" s="68">
        <f t="shared" si="118"/>
        <v>764746</v>
      </c>
      <c r="E211" s="68">
        <f t="shared" si="119"/>
        <v>2122110</v>
      </c>
      <c r="F211" s="68">
        <f t="shared" si="120"/>
        <v>2300540</v>
      </c>
      <c r="G211" s="68">
        <f t="shared" si="121"/>
        <v>8282690</v>
      </c>
      <c r="H211" s="68">
        <f>MAX(0,'Revenue &amp; Demand'!I87-'Revenue &amp; Demand'!I86)</f>
        <v>177</v>
      </c>
      <c r="I211" s="68">
        <f t="shared" si="122"/>
        <v>31860</v>
      </c>
      <c r="J211" s="68">
        <f t="shared" si="123"/>
        <v>10615090</v>
      </c>
      <c r="K211" s="68">
        <f t="shared" si="124"/>
        <v>1299963</v>
      </c>
      <c r="L211" s="68">
        <f t="shared" si="125"/>
        <v>3408070</v>
      </c>
      <c r="M211" s="68">
        <f t="shared" si="126"/>
        <v>738</v>
      </c>
      <c r="N211" s="68">
        <f t="shared" si="127"/>
        <v>373781</v>
      </c>
      <c r="O211" s="68">
        <f t="shared" si="128"/>
        <v>5081814</v>
      </c>
      <c r="P211" s="68">
        <f t="shared" si="129"/>
        <v>0</v>
      </c>
    </row>
    <row r="212" hidden="1">
      <c r="A212" s="67">
        <f>'Revenue &amp; Demand'!A88</f>
        <v>47849</v>
      </c>
      <c r="B212" s="68">
        <f>'Revenue &amp; Demand'!D88</f>
        <v>121</v>
      </c>
      <c r="C212" s="68">
        <f t="shared" si="117"/>
        <v>1262449</v>
      </c>
      <c r="D212" s="68">
        <f t="shared" si="118"/>
        <v>787688</v>
      </c>
      <c r="E212" s="68">
        <f t="shared" si="119"/>
        <v>2050137</v>
      </c>
      <c r="F212" s="68">
        <f t="shared" si="120"/>
        <v>2385786</v>
      </c>
      <c r="G212" s="68">
        <f t="shared" si="121"/>
        <v>10767497</v>
      </c>
      <c r="H212" s="68">
        <f>MAX(0,'Revenue &amp; Demand'!I88-'Revenue &amp; Demand'!I87)</f>
        <v>180</v>
      </c>
      <c r="I212" s="68">
        <f t="shared" si="122"/>
        <v>32400</v>
      </c>
      <c r="J212" s="68">
        <f t="shared" si="123"/>
        <v>13185683</v>
      </c>
      <c r="K212" s="68">
        <f t="shared" si="124"/>
        <v>1338962</v>
      </c>
      <c r="L212" s="68">
        <f t="shared" si="125"/>
        <v>3646634</v>
      </c>
      <c r="M212" s="68">
        <f t="shared" si="126"/>
        <v>741</v>
      </c>
      <c r="N212" s="68">
        <f t="shared" si="127"/>
        <v>386560</v>
      </c>
      <c r="O212" s="68">
        <f t="shared" si="128"/>
        <v>5372156</v>
      </c>
      <c r="P212" s="68">
        <f t="shared" si="129"/>
        <v>0</v>
      </c>
    </row>
    <row r="213" hidden="1">
      <c r="A213" s="67">
        <f>'Revenue &amp; Demand'!A89</f>
        <v>47880</v>
      </c>
      <c r="B213" s="68">
        <f>'Revenue &amp; Demand'!D89</f>
        <v>123</v>
      </c>
      <c r="C213" s="68">
        <f t="shared" si="117"/>
        <v>1283316</v>
      </c>
      <c r="D213" s="68">
        <f t="shared" si="118"/>
        <v>802836</v>
      </c>
      <c r="E213" s="68">
        <f t="shared" si="119"/>
        <v>2086152</v>
      </c>
      <c r="F213" s="68">
        <f t="shared" si="120"/>
        <v>2418246</v>
      </c>
      <c r="G213" s="68">
        <f t="shared" si="121"/>
        <v>10767497</v>
      </c>
      <c r="H213" s="68">
        <f>MAX(0,'Revenue &amp; Demand'!I89-'Revenue &amp; Demand'!I88)</f>
        <v>184</v>
      </c>
      <c r="I213" s="68">
        <f t="shared" si="122"/>
        <v>33120</v>
      </c>
      <c r="J213" s="68">
        <f t="shared" si="123"/>
        <v>13218863</v>
      </c>
      <c r="K213" s="68">
        <f t="shared" si="124"/>
        <v>1356814</v>
      </c>
      <c r="L213" s="68">
        <f t="shared" si="125"/>
        <v>3646634</v>
      </c>
      <c r="M213" s="68">
        <f t="shared" si="126"/>
        <v>749</v>
      </c>
      <c r="N213" s="68">
        <f t="shared" si="127"/>
        <v>390733</v>
      </c>
      <c r="O213" s="68">
        <f t="shared" si="128"/>
        <v>5394181</v>
      </c>
      <c r="P213" s="68">
        <f t="shared" si="129"/>
        <v>0</v>
      </c>
    </row>
    <row r="214" hidden="1">
      <c r="A214" s="67">
        <f>'Revenue &amp; Demand'!A90</f>
        <v>47908</v>
      </c>
      <c r="B214" s="68">
        <f>'Revenue &amp; Demand'!D90</f>
        <v>126</v>
      </c>
      <c r="C214" s="68">
        <f t="shared" si="117"/>
        <v>1314617</v>
      </c>
      <c r="D214" s="68">
        <f t="shared" si="118"/>
        <v>802836</v>
      </c>
      <c r="E214" s="68">
        <f t="shared" si="119"/>
        <v>2117453</v>
      </c>
      <c r="F214" s="68">
        <f t="shared" si="120"/>
        <v>2434476</v>
      </c>
      <c r="G214" s="68">
        <f t="shared" si="121"/>
        <v>10767497</v>
      </c>
      <c r="H214" s="68">
        <f>MAX(0,'Revenue &amp; Demand'!I90-'Revenue &amp; Demand'!I89)</f>
        <v>187</v>
      </c>
      <c r="I214" s="68">
        <f t="shared" si="122"/>
        <v>33660</v>
      </c>
      <c r="J214" s="68">
        <f t="shared" si="123"/>
        <v>13235633</v>
      </c>
      <c r="K214" s="68">
        <f t="shared" si="124"/>
        <v>1356814</v>
      </c>
      <c r="L214" s="68">
        <f t="shared" si="125"/>
        <v>3646634</v>
      </c>
      <c r="M214" s="68">
        <f t="shared" si="126"/>
        <v>752</v>
      </c>
      <c r="N214" s="68">
        <f t="shared" si="127"/>
        <v>392298</v>
      </c>
      <c r="O214" s="68">
        <f t="shared" si="128"/>
        <v>5395746</v>
      </c>
      <c r="P214" s="68">
        <f t="shared" si="129"/>
        <v>0</v>
      </c>
    </row>
    <row r="215" hidden="1">
      <c r="A215" s="67">
        <f>'Revenue &amp; Demand'!A91</f>
        <v>47939</v>
      </c>
      <c r="B215" s="68">
        <f>'Revenue &amp; Demand'!D91</f>
        <v>127</v>
      </c>
      <c r="C215" s="68">
        <f t="shared" si="117"/>
        <v>1325050</v>
      </c>
      <c r="D215" s="68">
        <f t="shared" si="118"/>
        <v>802836</v>
      </c>
      <c r="E215" s="68">
        <f t="shared" si="119"/>
        <v>2127886</v>
      </c>
      <c r="F215" s="68">
        <f t="shared" si="120"/>
        <v>2450705</v>
      </c>
      <c r="G215" s="68">
        <f t="shared" si="121"/>
        <v>10767497</v>
      </c>
      <c r="H215" s="68">
        <f>MAX(0,'Revenue &amp; Demand'!I91-'Revenue &amp; Demand'!I90)</f>
        <v>191</v>
      </c>
      <c r="I215" s="68">
        <f t="shared" si="122"/>
        <v>34380</v>
      </c>
      <c r="J215" s="68">
        <f t="shared" si="123"/>
        <v>13252582</v>
      </c>
      <c r="K215" s="68">
        <f t="shared" si="124"/>
        <v>1374667</v>
      </c>
      <c r="L215" s="68">
        <f t="shared" si="125"/>
        <v>3646634</v>
      </c>
      <c r="M215" s="68">
        <f t="shared" si="126"/>
        <v>755</v>
      </c>
      <c r="N215" s="68">
        <f t="shared" si="127"/>
        <v>393863</v>
      </c>
      <c r="O215" s="68">
        <f t="shared" si="128"/>
        <v>5415164</v>
      </c>
      <c r="P215" s="68">
        <f t="shared" si="129"/>
        <v>0</v>
      </c>
    </row>
    <row r="216" hidden="1">
      <c r="A216" s="67">
        <f>'Revenue &amp; Demand'!A92</f>
        <v>47969</v>
      </c>
      <c r="B216" s="68">
        <f>'Revenue &amp; Demand'!D92</f>
        <v>130</v>
      </c>
      <c r="C216" s="68">
        <f t="shared" si="117"/>
        <v>1356351</v>
      </c>
      <c r="D216" s="68">
        <f t="shared" si="118"/>
        <v>802836</v>
      </c>
      <c r="E216" s="68">
        <f t="shared" si="119"/>
        <v>2159187</v>
      </c>
      <c r="F216" s="68">
        <f t="shared" si="120"/>
        <v>2466935</v>
      </c>
      <c r="G216" s="68">
        <f t="shared" si="121"/>
        <v>10767497</v>
      </c>
      <c r="H216" s="68">
        <f>MAX(0,'Revenue &amp; Demand'!I92-'Revenue &amp; Demand'!I91)</f>
        <v>195</v>
      </c>
      <c r="I216" s="68">
        <f t="shared" si="122"/>
        <v>35100</v>
      </c>
      <c r="J216" s="68">
        <f t="shared" si="123"/>
        <v>13269532</v>
      </c>
      <c r="K216" s="68">
        <f t="shared" si="124"/>
        <v>1374667</v>
      </c>
      <c r="L216" s="68">
        <f t="shared" si="125"/>
        <v>3646634</v>
      </c>
      <c r="M216" s="68">
        <f t="shared" si="126"/>
        <v>758</v>
      </c>
      <c r="N216" s="68">
        <f t="shared" si="127"/>
        <v>395428</v>
      </c>
      <c r="O216" s="68">
        <f t="shared" si="128"/>
        <v>5416729</v>
      </c>
      <c r="P216" s="68">
        <f t="shared" si="129"/>
        <v>0</v>
      </c>
    </row>
    <row r="217" hidden="1">
      <c r="A217" s="67">
        <f>'Revenue &amp; Demand'!A93</f>
        <v>48000</v>
      </c>
      <c r="B217" s="68">
        <f>'Revenue &amp; Demand'!D93</f>
        <v>132</v>
      </c>
      <c r="C217" s="68">
        <f t="shared" si="117"/>
        <v>1377218</v>
      </c>
      <c r="D217" s="68">
        <f t="shared" si="118"/>
        <v>817984</v>
      </c>
      <c r="E217" s="68">
        <f t="shared" si="119"/>
        <v>2195202</v>
      </c>
      <c r="F217" s="68">
        <f t="shared" si="120"/>
        <v>2499395</v>
      </c>
      <c r="G217" s="68">
        <f t="shared" si="121"/>
        <v>10767497</v>
      </c>
      <c r="H217" s="68">
        <f>MAX(0,'Revenue &amp; Demand'!I93-'Revenue &amp; Demand'!I92)</f>
        <v>199</v>
      </c>
      <c r="I217" s="68">
        <f t="shared" si="122"/>
        <v>35820</v>
      </c>
      <c r="J217" s="68">
        <f t="shared" si="123"/>
        <v>13302712</v>
      </c>
      <c r="K217" s="68">
        <f t="shared" si="124"/>
        <v>1392520</v>
      </c>
      <c r="L217" s="68">
        <f t="shared" si="125"/>
        <v>3646634</v>
      </c>
      <c r="M217" s="68">
        <f t="shared" si="126"/>
        <v>767</v>
      </c>
      <c r="N217" s="68">
        <f t="shared" si="127"/>
        <v>400123</v>
      </c>
      <c r="O217" s="68">
        <f t="shared" si="128"/>
        <v>5439277</v>
      </c>
      <c r="P217" s="68">
        <f t="shared" si="129"/>
        <v>0</v>
      </c>
    </row>
    <row r="218" hidden="1">
      <c r="A218" s="67">
        <f>'Revenue &amp; Demand'!A94</f>
        <v>48030</v>
      </c>
      <c r="B218" s="68">
        <f>'Revenue &amp; Demand'!D94</f>
        <v>133</v>
      </c>
      <c r="C218" s="68">
        <f t="shared" si="117"/>
        <v>1387651</v>
      </c>
      <c r="D218" s="68">
        <f t="shared" si="118"/>
        <v>817984</v>
      </c>
      <c r="E218" s="68">
        <f t="shared" si="119"/>
        <v>2205635</v>
      </c>
      <c r="F218" s="68">
        <f t="shared" si="120"/>
        <v>2515625</v>
      </c>
      <c r="G218" s="68">
        <f t="shared" si="121"/>
        <v>10767497</v>
      </c>
      <c r="H218" s="68">
        <f>MAX(0,'Revenue &amp; Demand'!I94-'Revenue &amp; Demand'!I93)</f>
        <v>203</v>
      </c>
      <c r="I218" s="68">
        <f t="shared" si="122"/>
        <v>36540</v>
      </c>
      <c r="J218" s="68">
        <f t="shared" si="123"/>
        <v>13319662</v>
      </c>
      <c r="K218" s="68">
        <f t="shared" si="124"/>
        <v>1392520</v>
      </c>
      <c r="L218" s="68">
        <f t="shared" si="125"/>
        <v>3646634</v>
      </c>
      <c r="M218" s="68">
        <f t="shared" si="126"/>
        <v>770</v>
      </c>
      <c r="N218" s="68">
        <f t="shared" si="127"/>
        <v>401688</v>
      </c>
      <c r="O218" s="68">
        <f t="shared" si="128"/>
        <v>5440842</v>
      </c>
      <c r="P218" s="68">
        <f t="shared" si="129"/>
        <v>0</v>
      </c>
    </row>
    <row r="219" hidden="1">
      <c r="A219" s="67">
        <f>'Revenue &amp; Demand'!A95</f>
        <v>48061</v>
      </c>
      <c r="B219" s="68">
        <f>'Revenue &amp; Demand'!D95</f>
        <v>136</v>
      </c>
      <c r="C219" s="68">
        <f t="shared" si="117"/>
        <v>1418951</v>
      </c>
      <c r="D219" s="68">
        <f t="shared" si="118"/>
        <v>817984</v>
      </c>
      <c r="E219" s="68">
        <f t="shared" si="119"/>
        <v>2236935</v>
      </c>
      <c r="F219" s="68">
        <f t="shared" si="120"/>
        <v>2531855</v>
      </c>
      <c r="G219" s="68">
        <f t="shared" si="121"/>
        <v>10767497</v>
      </c>
      <c r="H219" s="68">
        <f>MAX(0,'Revenue &amp; Demand'!I95-'Revenue &amp; Demand'!I94)</f>
        <v>207</v>
      </c>
      <c r="I219" s="68">
        <f t="shared" si="122"/>
        <v>37260</v>
      </c>
      <c r="J219" s="68">
        <f t="shared" si="123"/>
        <v>13336612</v>
      </c>
      <c r="K219" s="68">
        <f t="shared" si="124"/>
        <v>1392520</v>
      </c>
      <c r="L219" s="68">
        <f t="shared" si="125"/>
        <v>3646634</v>
      </c>
      <c r="M219" s="68">
        <f t="shared" si="126"/>
        <v>773</v>
      </c>
      <c r="N219" s="68">
        <f t="shared" si="127"/>
        <v>403253</v>
      </c>
      <c r="O219" s="68">
        <f t="shared" si="128"/>
        <v>5442407</v>
      </c>
      <c r="P219" s="68">
        <f t="shared" si="129"/>
        <v>0</v>
      </c>
    </row>
    <row r="220" hidden="1">
      <c r="A220" s="67">
        <f>'Revenue &amp; Demand'!A96</f>
        <v>48092</v>
      </c>
      <c r="B220" s="68">
        <f>'Revenue &amp; Demand'!D96</f>
        <v>138</v>
      </c>
      <c r="C220" s="68">
        <f t="shared" si="117"/>
        <v>1439818</v>
      </c>
      <c r="D220" s="68">
        <f t="shared" si="118"/>
        <v>817984</v>
      </c>
      <c r="E220" s="68">
        <f t="shared" si="119"/>
        <v>2257802</v>
      </c>
      <c r="F220" s="68">
        <f t="shared" si="120"/>
        <v>2548084</v>
      </c>
      <c r="G220" s="68">
        <f t="shared" si="121"/>
        <v>10767497</v>
      </c>
      <c r="H220" s="68">
        <f>MAX(0,'Revenue &amp; Demand'!I96-'Revenue &amp; Demand'!I95)</f>
        <v>211</v>
      </c>
      <c r="I220" s="68">
        <f t="shared" si="122"/>
        <v>37980</v>
      </c>
      <c r="J220" s="68">
        <f t="shared" si="123"/>
        <v>13353561</v>
      </c>
      <c r="K220" s="68">
        <f t="shared" si="124"/>
        <v>1410373</v>
      </c>
      <c r="L220" s="68">
        <f t="shared" si="125"/>
        <v>3646634</v>
      </c>
      <c r="M220" s="68">
        <f t="shared" si="126"/>
        <v>777</v>
      </c>
      <c r="N220" s="68">
        <f t="shared" si="127"/>
        <v>405340</v>
      </c>
      <c r="O220" s="68">
        <f t="shared" si="128"/>
        <v>5462347</v>
      </c>
      <c r="P220" s="68">
        <f t="shared" si="129"/>
        <v>0</v>
      </c>
    </row>
    <row r="221" hidden="1">
      <c r="A221" s="67">
        <f>'Revenue &amp; Demand'!A97</f>
        <v>48122</v>
      </c>
      <c r="B221" s="68">
        <f>'Revenue &amp; Demand'!D97</f>
        <v>138</v>
      </c>
      <c r="C221" s="68">
        <f t="shared" si="117"/>
        <v>1439818</v>
      </c>
      <c r="D221" s="68">
        <f t="shared" si="118"/>
        <v>833132</v>
      </c>
      <c r="E221" s="68">
        <f t="shared" si="119"/>
        <v>2272950</v>
      </c>
      <c r="F221" s="68">
        <f t="shared" si="120"/>
        <v>2580544</v>
      </c>
      <c r="G221" s="68">
        <f t="shared" si="121"/>
        <v>10767497</v>
      </c>
      <c r="H221" s="68">
        <f>MAX(0,'Revenue &amp; Demand'!I97-'Revenue &amp; Demand'!I96)</f>
        <v>215</v>
      </c>
      <c r="I221" s="68">
        <f t="shared" si="122"/>
        <v>38700</v>
      </c>
      <c r="J221" s="68">
        <f t="shared" si="123"/>
        <v>13386741</v>
      </c>
      <c r="K221" s="68">
        <f t="shared" si="124"/>
        <v>1410373</v>
      </c>
      <c r="L221" s="68">
        <f t="shared" si="125"/>
        <v>3646634</v>
      </c>
      <c r="M221" s="68">
        <f t="shared" si="126"/>
        <v>783</v>
      </c>
      <c r="N221" s="68">
        <f t="shared" si="127"/>
        <v>408470</v>
      </c>
      <c r="O221" s="68">
        <f t="shared" si="128"/>
        <v>5465477</v>
      </c>
      <c r="P221" s="68">
        <f t="shared" si="129"/>
        <v>0</v>
      </c>
    </row>
    <row r="222" hidden="1">
      <c r="A222" s="67">
        <f>'Revenue &amp; Demand'!A98</f>
        <v>48153</v>
      </c>
      <c r="B222" s="68">
        <f>'Revenue &amp; Demand'!D98</f>
        <v>140</v>
      </c>
      <c r="C222" s="68">
        <f t="shared" si="117"/>
        <v>1460685</v>
      </c>
      <c r="D222" s="68">
        <f t="shared" si="118"/>
        <v>833132</v>
      </c>
      <c r="E222" s="68">
        <f t="shared" si="119"/>
        <v>2293817</v>
      </c>
      <c r="F222" s="68">
        <f t="shared" si="120"/>
        <v>2596774</v>
      </c>
      <c r="G222" s="68">
        <f t="shared" si="121"/>
        <v>10767497</v>
      </c>
      <c r="H222" s="68">
        <f>MAX(0,'Revenue &amp; Demand'!I98-'Revenue &amp; Demand'!I97)</f>
        <v>220</v>
      </c>
      <c r="I222" s="68">
        <f t="shared" si="122"/>
        <v>39600</v>
      </c>
      <c r="J222" s="68">
        <f t="shared" si="123"/>
        <v>13403871</v>
      </c>
      <c r="K222" s="68">
        <f t="shared" si="124"/>
        <v>1428226</v>
      </c>
      <c r="L222" s="68">
        <f t="shared" si="125"/>
        <v>3646634</v>
      </c>
      <c r="M222" s="68">
        <f t="shared" si="126"/>
        <v>787</v>
      </c>
      <c r="N222" s="68">
        <f t="shared" si="127"/>
        <v>410557</v>
      </c>
      <c r="O222" s="68">
        <f t="shared" si="128"/>
        <v>5485417</v>
      </c>
      <c r="P222" s="68">
        <f t="shared" si="129"/>
        <v>0</v>
      </c>
    </row>
    <row r="223" hidden="1">
      <c r="A223" s="67">
        <f>'Revenue &amp; Demand'!A99</f>
        <v>48183</v>
      </c>
      <c r="B223" s="68">
        <f>'Revenue &amp; Demand'!D99</f>
        <v>142</v>
      </c>
      <c r="C223" s="68">
        <f t="shared" si="117"/>
        <v>1481552</v>
      </c>
      <c r="D223" s="68">
        <f t="shared" si="118"/>
        <v>833132</v>
      </c>
      <c r="E223" s="68">
        <f t="shared" si="119"/>
        <v>2314684</v>
      </c>
      <c r="F223" s="68">
        <f t="shared" si="120"/>
        <v>2613004</v>
      </c>
      <c r="G223" s="68">
        <f t="shared" si="121"/>
        <v>10767497</v>
      </c>
      <c r="H223" s="68">
        <f>MAX(0,'Revenue &amp; Demand'!I99-'Revenue &amp; Demand'!I98)</f>
        <v>224</v>
      </c>
      <c r="I223" s="68">
        <f t="shared" si="122"/>
        <v>40320</v>
      </c>
      <c r="J223" s="68">
        <f t="shared" si="123"/>
        <v>13420821</v>
      </c>
      <c r="K223" s="68">
        <f t="shared" si="124"/>
        <v>1428226</v>
      </c>
      <c r="L223" s="68">
        <f t="shared" si="125"/>
        <v>3646634</v>
      </c>
      <c r="M223" s="68">
        <f t="shared" si="126"/>
        <v>790</v>
      </c>
      <c r="N223" s="68">
        <f t="shared" si="127"/>
        <v>412122</v>
      </c>
      <c r="O223" s="68">
        <f t="shared" si="128"/>
        <v>5486982</v>
      </c>
      <c r="P223" s="68">
        <f t="shared" si="129"/>
        <v>0</v>
      </c>
    </row>
    <row r="224" hidden="1">
      <c r="A224" s="67">
        <f>'Revenue &amp; Demand'!A100</f>
        <v>48214</v>
      </c>
      <c r="B224" s="68">
        <f>'Revenue &amp; Demand'!D100</f>
        <v>127</v>
      </c>
      <c r="C224" s="68">
        <f t="shared" si="117"/>
        <v>1364802</v>
      </c>
      <c r="D224" s="68">
        <f t="shared" si="118"/>
        <v>858126</v>
      </c>
      <c r="E224" s="68">
        <f t="shared" si="119"/>
        <v>2222928</v>
      </c>
      <c r="F224" s="68">
        <f t="shared" si="120"/>
        <v>2708111</v>
      </c>
      <c r="G224" s="68">
        <f t="shared" si="121"/>
        <v>13997746</v>
      </c>
      <c r="H224" s="68">
        <f>MAX(0,'Revenue &amp; Demand'!I100-'Revenue &amp; Demand'!I99)</f>
        <v>229</v>
      </c>
      <c r="I224" s="68">
        <f t="shared" si="122"/>
        <v>41220</v>
      </c>
      <c r="J224" s="68">
        <f t="shared" si="123"/>
        <v>16747077</v>
      </c>
      <c r="K224" s="68">
        <f t="shared" si="124"/>
        <v>1471072</v>
      </c>
      <c r="L224" s="68">
        <f t="shared" si="125"/>
        <v>3901899</v>
      </c>
      <c r="M224" s="68">
        <f t="shared" si="126"/>
        <v>793</v>
      </c>
      <c r="N224" s="68">
        <f t="shared" si="127"/>
        <v>426098</v>
      </c>
      <c r="O224" s="68">
        <f t="shared" si="128"/>
        <v>5799069</v>
      </c>
      <c r="P224" s="68">
        <f t="shared" si="129"/>
        <v>0</v>
      </c>
    </row>
    <row r="225" hidden="1">
      <c r="A225" s="67">
        <f>'Revenue &amp; Demand'!A101</f>
        <v>48245</v>
      </c>
      <c r="B225" s="68">
        <f>'Revenue &amp; Demand'!D101</f>
        <v>129</v>
      </c>
      <c r="C225" s="68">
        <f t="shared" si="117"/>
        <v>1386295</v>
      </c>
      <c r="D225" s="68">
        <f t="shared" si="118"/>
        <v>873728</v>
      </c>
      <c r="E225" s="68">
        <f t="shared" si="119"/>
        <v>2260023</v>
      </c>
      <c r="F225" s="68">
        <f t="shared" si="120"/>
        <v>2724827</v>
      </c>
      <c r="G225" s="68">
        <f t="shared" si="121"/>
        <v>13997746</v>
      </c>
      <c r="H225" s="68">
        <f>MAX(0,'Revenue &amp; Demand'!I101-'Revenue &amp; Demand'!I100)</f>
        <v>233</v>
      </c>
      <c r="I225" s="68">
        <f t="shared" si="122"/>
        <v>41940</v>
      </c>
      <c r="J225" s="68">
        <f t="shared" si="123"/>
        <v>16764513</v>
      </c>
      <c r="K225" s="68">
        <f t="shared" si="124"/>
        <v>1489461</v>
      </c>
      <c r="L225" s="68">
        <f t="shared" si="125"/>
        <v>3901899</v>
      </c>
      <c r="M225" s="68">
        <f t="shared" si="126"/>
        <v>799</v>
      </c>
      <c r="N225" s="68">
        <f t="shared" si="127"/>
        <v>429322</v>
      </c>
      <c r="O225" s="68">
        <f t="shared" si="128"/>
        <v>5820682</v>
      </c>
      <c r="P225" s="68">
        <f t="shared" si="129"/>
        <v>0</v>
      </c>
    </row>
    <row r="226" hidden="1">
      <c r="A226" s="67">
        <f>'Revenue &amp; Demand'!A102</f>
        <v>48274</v>
      </c>
      <c r="B226" s="68">
        <f>'Revenue &amp; Demand'!D102</f>
        <v>132</v>
      </c>
      <c r="C226" s="68">
        <f t="shared" si="117"/>
        <v>1418534</v>
      </c>
      <c r="D226" s="68">
        <f t="shared" si="118"/>
        <v>873728</v>
      </c>
      <c r="E226" s="68">
        <f t="shared" si="119"/>
        <v>2292262</v>
      </c>
      <c r="F226" s="68">
        <f t="shared" si="120"/>
        <v>2741544</v>
      </c>
      <c r="G226" s="68">
        <f t="shared" si="121"/>
        <v>13997746</v>
      </c>
      <c r="H226" s="68">
        <f>MAX(0,'Revenue &amp; Demand'!I102-'Revenue &amp; Demand'!I101)</f>
        <v>238</v>
      </c>
      <c r="I226" s="68">
        <f t="shared" si="122"/>
        <v>42840</v>
      </c>
      <c r="J226" s="68">
        <f t="shared" si="123"/>
        <v>16782130</v>
      </c>
      <c r="K226" s="68">
        <f t="shared" si="124"/>
        <v>1489461</v>
      </c>
      <c r="L226" s="68">
        <f t="shared" si="125"/>
        <v>3901899</v>
      </c>
      <c r="M226" s="68">
        <f t="shared" si="126"/>
        <v>802</v>
      </c>
      <c r="N226" s="68">
        <f t="shared" si="127"/>
        <v>430933</v>
      </c>
      <c r="O226" s="68">
        <f t="shared" si="128"/>
        <v>5822293</v>
      </c>
      <c r="P226" s="68">
        <f t="shared" si="129"/>
        <v>0</v>
      </c>
    </row>
    <row r="227" hidden="1">
      <c r="A227" s="67">
        <f>'Revenue &amp; Demand'!A103</f>
        <v>48305</v>
      </c>
      <c r="B227" s="68">
        <f>'Revenue &amp; Demand'!D103</f>
        <v>133</v>
      </c>
      <c r="C227" s="68">
        <f t="shared" si="117"/>
        <v>1429281</v>
      </c>
      <c r="D227" s="68">
        <f t="shared" si="118"/>
        <v>873728</v>
      </c>
      <c r="E227" s="68">
        <f t="shared" si="119"/>
        <v>2303009</v>
      </c>
      <c r="F227" s="68">
        <f t="shared" si="120"/>
        <v>2758261</v>
      </c>
      <c r="G227" s="68">
        <f t="shared" si="121"/>
        <v>13997746</v>
      </c>
      <c r="H227" s="68">
        <f>MAX(0,'Revenue &amp; Demand'!I103-'Revenue &amp; Demand'!I102)</f>
        <v>243</v>
      </c>
      <c r="I227" s="68">
        <f t="shared" si="122"/>
        <v>43740</v>
      </c>
      <c r="J227" s="68">
        <f t="shared" si="123"/>
        <v>16799747</v>
      </c>
      <c r="K227" s="68">
        <f t="shared" si="124"/>
        <v>1507849</v>
      </c>
      <c r="L227" s="68">
        <f t="shared" si="125"/>
        <v>3901899</v>
      </c>
      <c r="M227" s="68">
        <f t="shared" si="126"/>
        <v>805</v>
      </c>
      <c r="N227" s="68">
        <f t="shared" si="127"/>
        <v>432545</v>
      </c>
      <c r="O227" s="68">
        <f t="shared" si="128"/>
        <v>5842293</v>
      </c>
      <c r="P227" s="68">
        <f t="shared" si="129"/>
        <v>0</v>
      </c>
    </row>
    <row r="228" hidden="1">
      <c r="A228" s="67">
        <f>'Revenue &amp; Demand'!A104</f>
        <v>48335</v>
      </c>
      <c r="B228" s="68">
        <f>'Revenue &amp; Demand'!D104</f>
        <v>136</v>
      </c>
      <c r="C228" s="68">
        <f t="shared" si="117"/>
        <v>1461520</v>
      </c>
      <c r="D228" s="68">
        <f t="shared" si="118"/>
        <v>873728</v>
      </c>
      <c r="E228" s="68">
        <f t="shared" si="119"/>
        <v>2335248</v>
      </c>
      <c r="F228" s="68">
        <f t="shared" si="120"/>
        <v>2774978</v>
      </c>
      <c r="G228" s="68">
        <f t="shared" si="121"/>
        <v>13997746</v>
      </c>
      <c r="H228" s="68">
        <f>MAX(0,'Revenue &amp; Demand'!I104-'Revenue &amp; Demand'!I103)</f>
        <v>247</v>
      </c>
      <c r="I228" s="68">
        <f t="shared" si="122"/>
        <v>44460</v>
      </c>
      <c r="J228" s="68">
        <f t="shared" si="123"/>
        <v>16817184</v>
      </c>
      <c r="K228" s="68">
        <f t="shared" si="124"/>
        <v>1507849</v>
      </c>
      <c r="L228" s="68">
        <f t="shared" si="125"/>
        <v>3901899</v>
      </c>
      <c r="M228" s="68">
        <f t="shared" si="126"/>
        <v>808</v>
      </c>
      <c r="N228" s="68">
        <f t="shared" si="127"/>
        <v>434157</v>
      </c>
      <c r="O228" s="68">
        <f t="shared" si="128"/>
        <v>5843905</v>
      </c>
      <c r="P228" s="68">
        <f t="shared" si="129"/>
        <v>0</v>
      </c>
    </row>
    <row r="229" hidden="1">
      <c r="A229" s="67">
        <f>'Revenue &amp; Demand'!A105</f>
        <v>48366</v>
      </c>
      <c r="B229" s="68">
        <f>'Revenue &amp; Demand'!D105</f>
        <v>138</v>
      </c>
      <c r="C229" s="68">
        <f t="shared" si="117"/>
        <v>1483013</v>
      </c>
      <c r="D229" s="68">
        <f t="shared" si="118"/>
        <v>889330</v>
      </c>
      <c r="E229" s="68">
        <f t="shared" si="119"/>
        <v>2372343</v>
      </c>
      <c r="F229" s="68">
        <f t="shared" si="120"/>
        <v>2808411</v>
      </c>
      <c r="G229" s="68">
        <f t="shared" si="121"/>
        <v>13997746</v>
      </c>
      <c r="H229" s="68">
        <f>MAX(0,'Revenue &amp; Demand'!I105-'Revenue &amp; Demand'!I104)</f>
        <v>252</v>
      </c>
      <c r="I229" s="68">
        <f t="shared" si="122"/>
        <v>45360</v>
      </c>
      <c r="J229" s="68">
        <f t="shared" si="123"/>
        <v>16851517</v>
      </c>
      <c r="K229" s="68">
        <f t="shared" si="124"/>
        <v>1526238</v>
      </c>
      <c r="L229" s="68">
        <f t="shared" si="125"/>
        <v>3901899</v>
      </c>
      <c r="M229" s="68">
        <f t="shared" si="126"/>
        <v>815</v>
      </c>
      <c r="N229" s="68">
        <f t="shared" si="127"/>
        <v>437919</v>
      </c>
      <c r="O229" s="68">
        <f t="shared" si="128"/>
        <v>5866056</v>
      </c>
      <c r="P229" s="68">
        <f t="shared" si="129"/>
        <v>0</v>
      </c>
    </row>
    <row r="230" hidden="1">
      <c r="A230" s="67">
        <f>'Revenue &amp; Demand'!A106</f>
        <v>48396</v>
      </c>
      <c r="B230" s="68">
        <f>'Revenue &amp; Demand'!D106</f>
        <v>139</v>
      </c>
      <c r="C230" s="68">
        <f t="shared" si="117"/>
        <v>1493759</v>
      </c>
      <c r="D230" s="68">
        <f t="shared" si="118"/>
        <v>889330</v>
      </c>
      <c r="E230" s="68">
        <f t="shared" si="119"/>
        <v>2383089</v>
      </c>
      <c r="F230" s="68">
        <f t="shared" si="120"/>
        <v>2825128</v>
      </c>
      <c r="G230" s="68">
        <f t="shared" si="121"/>
        <v>13997746</v>
      </c>
      <c r="H230" s="68">
        <f>MAX(0,'Revenue &amp; Demand'!I106-'Revenue &amp; Demand'!I105)</f>
        <v>257</v>
      </c>
      <c r="I230" s="68">
        <f t="shared" si="122"/>
        <v>46260</v>
      </c>
      <c r="J230" s="68">
        <f t="shared" si="123"/>
        <v>16869134</v>
      </c>
      <c r="K230" s="68">
        <f t="shared" si="124"/>
        <v>1526238</v>
      </c>
      <c r="L230" s="68">
        <f t="shared" si="125"/>
        <v>3901899</v>
      </c>
      <c r="M230" s="68">
        <f t="shared" si="126"/>
        <v>817</v>
      </c>
      <c r="N230" s="68">
        <f t="shared" si="127"/>
        <v>438993</v>
      </c>
      <c r="O230" s="68">
        <f t="shared" si="128"/>
        <v>5867130</v>
      </c>
      <c r="P230" s="68">
        <f t="shared" si="129"/>
        <v>0</v>
      </c>
    </row>
    <row r="231" hidden="1">
      <c r="A231" s="67">
        <f>'Revenue &amp; Demand'!A107</f>
        <v>48427</v>
      </c>
      <c r="B231" s="68">
        <f>'Revenue &amp; Demand'!D107</f>
        <v>142</v>
      </c>
      <c r="C231" s="68">
        <f t="shared" si="117"/>
        <v>1525999</v>
      </c>
      <c r="D231" s="68">
        <f t="shared" si="118"/>
        <v>889330</v>
      </c>
      <c r="E231" s="68">
        <f t="shared" si="119"/>
        <v>2415329</v>
      </c>
      <c r="F231" s="68">
        <f t="shared" si="120"/>
        <v>2841844</v>
      </c>
      <c r="G231" s="68">
        <f t="shared" si="121"/>
        <v>13997746</v>
      </c>
      <c r="H231" s="68">
        <f>MAX(0,'Revenue &amp; Demand'!I107-'Revenue &amp; Demand'!I106)</f>
        <v>262</v>
      </c>
      <c r="I231" s="68">
        <f t="shared" si="122"/>
        <v>47160</v>
      </c>
      <c r="J231" s="68">
        <f t="shared" si="123"/>
        <v>16886750</v>
      </c>
      <c r="K231" s="68">
        <f t="shared" si="124"/>
        <v>1526238</v>
      </c>
      <c r="L231" s="68">
        <f t="shared" si="125"/>
        <v>3901899</v>
      </c>
      <c r="M231" s="68">
        <f t="shared" si="126"/>
        <v>820</v>
      </c>
      <c r="N231" s="68">
        <f t="shared" si="127"/>
        <v>440605</v>
      </c>
      <c r="O231" s="68">
        <f t="shared" si="128"/>
        <v>5868742</v>
      </c>
      <c r="P231" s="68">
        <f t="shared" si="129"/>
        <v>0</v>
      </c>
    </row>
    <row r="232" hidden="1">
      <c r="A232" s="67">
        <f>'Revenue &amp; Demand'!A108</f>
        <v>48458</v>
      </c>
      <c r="B232" s="68">
        <f>'Revenue &amp; Demand'!D108</f>
        <v>144</v>
      </c>
      <c r="C232" s="68">
        <f t="shared" si="117"/>
        <v>1547492</v>
      </c>
      <c r="D232" s="68">
        <f t="shared" si="118"/>
        <v>889330</v>
      </c>
      <c r="E232" s="68">
        <f t="shared" si="119"/>
        <v>2436822</v>
      </c>
      <c r="F232" s="68">
        <f t="shared" si="120"/>
        <v>2858561</v>
      </c>
      <c r="G232" s="68">
        <f t="shared" si="121"/>
        <v>13997746</v>
      </c>
      <c r="H232" s="68">
        <f>MAX(0,'Revenue &amp; Demand'!I108-'Revenue &amp; Demand'!I107)</f>
        <v>268</v>
      </c>
      <c r="I232" s="68">
        <f t="shared" si="122"/>
        <v>48240</v>
      </c>
      <c r="J232" s="68">
        <f t="shared" si="123"/>
        <v>16904547</v>
      </c>
      <c r="K232" s="68">
        <f t="shared" si="124"/>
        <v>1544626</v>
      </c>
      <c r="L232" s="68">
        <f t="shared" si="125"/>
        <v>3901899</v>
      </c>
      <c r="M232" s="68">
        <f t="shared" si="126"/>
        <v>825</v>
      </c>
      <c r="N232" s="68">
        <f t="shared" si="127"/>
        <v>443292</v>
      </c>
      <c r="O232" s="68">
        <f t="shared" si="128"/>
        <v>5889817</v>
      </c>
      <c r="P232" s="68">
        <f t="shared" si="129"/>
        <v>0</v>
      </c>
    </row>
    <row r="233" hidden="1">
      <c r="A233" s="67">
        <f>'Revenue &amp; Demand'!A109</f>
        <v>48488</v>
      </c>
      <c r="B233" s="68">
        <f>'Revenue &amp; Demand'!D109</f>
        <v>144</v>
      </c>
      <c r="C233" s="68">
        <f t="shared" si="117"/>
        <v>1547492</v>
      </c>
      <c r="D233" s="68">
        <f t="shared" si="118"/>
        <v>904932</v>
      </c>
      <c r="E233" s="68">
        <f t="shared" si="119"/>
        <v>2452424</v>
      </c>
      <c r="F233" s="68">
        <f t="shared" si="120"/>
        <v>2875278</v>
      </c>
      <c r="G233" s="68">
        <f t="shared" si="121"/>
        <v>13997746</v>
      </c>
      <c r="H233" s="68">
        <f>MAX(0,'Revenue &amp; Demand'!I109-'Revenue &amp; Demand'!I108)</f>
        <v>273</v>
      </c>
      <c r="I233" s="68">
        <f t="shared" si="122"/>
        <v>49140</v>
      </c>
      <c r="J233" s="68">
        <f t="shared" si="123"/>
        <v>16922164</v>
      </c>
      <c r="K233" s="68">
        <f t="shared" si="124"/>
        <v>1544626</v>
      </c>
      <c r="L233" s="68">
        <f t="shared" si="125"/>
        <v>3901899</v>
      </c>
      <c r="M233" s="68">
        <f t="shared" si="126"/>
        <v>829</v>
      </c>
      <c r="N233" s="68">
        <f t="shared" si="127"/>
        <v>445441</v>
      </c>
      <c r="O233" s="68">
        <f t="shared" si="128"/>
        <v>5891966</v>
      </c>
      <c r="P233" s="68">
        <f t="shared" si="129"/>
        <v>0</v>
      </c>
    </row>
    <row r="234" hidden="1">
      <c r="A234" s="67">
        <f>'Revenue &amp; Demand'!A110</f>
        <v>48519</v>
      </c>
      <c r="B234" s="68">
        <f>'Revenue &amp; Demand'!D110</f>
        <v>146</v>
      </c>
      <c r="C234" s="68">
        <f t="shared" si="117"/>
        <v>1568985</v>
      </c>
      <c r="D234" s="68">
        <f t="shared" si="118"/>
        <v>904932</v>
      </c>
      <c r="E234" s="68">
        <f t="shared" si="119"/>
        <v>2473917</v>
      </c>
      <c r="F234" s="68">
        <f t="shared" si="120"/>
        <v>2891995</v>
      </c>
      <c r="G234" s="68">
        <f t="shared" si="121"/>
        <v>13997746</v>
      </c>
      <c r="H234" s="68">
        <f>MAX(0,'Revenue &amp; Demand'!I110-'Revenue &amp; Demand'!I109)</f>
        <v>279</v>
      </c>
      <c r="I234" s="68">
        <f t="shared" si="122"/>
        <v>50220</v>
      </c>
      <c r="J234" s="68">
        <f t="shared" si="123"/>
        <v>16939961</v>
      </c>
      <c r="K234" s="68">
        <f t="shared" si="124"/>
        <v>1563014</v>
      </c>
      <c r="L234" s="68">
        <f t="shared" si="125"/>
        <v>3901899</v>
      </c>
      <c r="M234" s="68">
        <f t="shared" si="126"/>
        <v>832</v>
      </c>
      <c r="N234" s="68">
        <f t="shared" si="127"/>
        <v>447053</v>
      </c>
      <c r="O234" s="68">
        <f t="shared" si="128"/>
        <v>5911966</v>
      </c>
      <c r="P234" s="68">
        <f t="shared" si="129"/>
        <v>0</v>
      </c>
    </row>
    <row r="235" hidden="1">
      <c r="A235" s="67">
        <f>'Revenue &amp; Demand'!A111</f>
        <v>48549</v>
      </c>
      <c r="B235" s="68">
        <f>'Revenue &amp; Demand'!D111</f>
        <v>148</v>
      </c>
      <c r="C235" s="68">
        <f t="shared" si="117"/>
        <v>1590478</v>
      </c>
      <c r="D235" s="68">
        <f t="shared" si="118"/>
        <v>904932</v>
      </c>
      <c r="E235" s="68">
        <f t="shared" si="119"/>
        <v>2495410</v>
      </c>
      <c r="F235" s="68">
        <f t="shared" si="120"/>
        <v>2908711</v>
      </c>
      <c r="G235" s="68">
        <f t="shared" si="121"/>
        <v>13997746</v>
      </c>
      <c r="H235" s="68">
        <f>MAX(0,'Revenue &amp; Demand'!I111-'Revenue &amp; Demand'!I110)</f>
        <v>284</v>
      </c>
      <c r="I235" s="68">
        <f t="shared" si="122"/>
        <v>51120</v>
      </c>
      <c r="J235" s="68">
        <f t="shared" si="123"/>
        <v>16957577</v>
      </c>
      <c r="K235" s="68">
        <f t="shared" si="124"/>
        <v>1563014</v>
      </c>
      <c r="L235" s="68">
        <f t="shared" si="125"/>
        <v>3901899</v>
      </c>
      <c r="M235" s="68">
        <f t="shared" si="126"/>
        <v>835</v>
      </c>
      <c r="N235" s="68">
        <f t="shared" si="127"/>
        <v>448665</v>
      </c>
      <c r="O235" s="68">
        <f t="shared" si="128"/>
        <v>5913578</v>
      </c>
      <c r="P235" s="68">
        <f t="shared" si="129"/>
        <v>0</v>
      </c>
    </row>
    <row r="236" hidden="1"/>
    <row r="237" hidden="1"/>
    <row r="238" hidden="1">
      <c r="A238" s="16" t="s">
        <v>367</v>
      </c>
    </row>
    <row r="239">
      <c r="A239" s="85" t="s">
        <v>368</v>
      </c>
      <c r="B239" s="86"/>
      <c r="C239" s="86"/>
      <c r="D239" s="86"/>
      <c r="E239" s="86"/>
      <c r="F239" s="87"/>
      <c r="G239" s="87"/>
      <c r="H239" s="87"/>
      <c r="I239" s="87"/>
      <c r="J239" s="87"/>
      <c r="K239" s="87"/>
      <c r="L239" s="87"/>
      <c r="M239" s="87"/>
      <c r="N239" s="87"/>
      <c r="O239" s="87"/>
      <c r="P239" s="87"/>
      <c r="Q239" s="87"/>
      <c r="R239" s="87"/>
      <c r="S239" s="87"/>
      <c r="T239" s="87"/>
      <c r="U239" s="87"/>
      <c r="V239" s="87"/>
      <c r="W239" s="87"/>
    </row>
    <row r="240">
      <c r="A240" s="16"/>
      <c r="B240" s="16"/>
      <c r="C240" s="16"/>
      <c r="D240" s="16"/>
      <c r="E240" s="16"/>
      <c r="F240" s="16"/>
      <c r="G240" s="16"/>
      <c r="H240" s="16"/>
      <c r="I240" s="16"/>
      <c r="J240" s="16"/>
      <c r="K240" s="16"/>
      <c r="L240" s="16"/>
      <c r="M240" s="16"/>
      <c r="N240" s="16"/>
      <c r="O240" s="16"/>
      <c r="P240" s="16"/>
      <c r="Q240" s="16"/>
      <c r="R240" s="16"/>
      <c r="S240" s="16"/>
      <c r="T240" s="16"/>
    </row>
    <row r="241" ht="36.0" customHeight="1">
      <c r="A241" s="88" t="s">
        <v>3</v>
      </c>
      <c r="B241" s="89" t="s">
        <v>369</v>
      </c>
      <c r="C241" s="89" t="s">
        <v>370</v>
      </c>
      <c r="D241" s="89" t="s">
        <v>371</v>
      </c>
      <c r="E241" s="16"/>
      <c r="F241" s="16"/>
    </row>
    <row r="242">
      <c r="A242" s="16">
        <v>2018.0</v>
      </c>
      <c r="B242" s="90">
        <v>6.0</v>
      </c>
      <c r="C242" s="91">
        <v>100000.0</v>
      </c>
      <c r="D242" s="92">
        <v>0.4</v>
      </c>
      <c r="E242" s="16"/>
      <c r="F242" s="16"/>
    </row>
    <row r="243">
      <c r="A243" s="16">
        <v>2019.0</v>
      </c>
      <c r="B243" s="90">
        <v>12.0</v>
      </c>
      <c r="C243" s="91">
        <v>103000.0</v>
      </c>
      <c r="D243" s="92">
        <v>0.4</v>
      </c>
      <c r="E243" s="16"/>
      <c r="F243" s="16"/>
    </row>
    <row r="244">
      <c r="A244" s="16">
        <v>2020.0</v>
      </c>
      <c r="B244" s="90">
        <v>18.0</v>
      </c>
      <c r="C244" s="91">
        <v>106090.0</v>
      </c>
      <c r="D244" s="92">
        <v>0.4</v>
      </c>
      <c r="E244" s="16"/>
      <c r="F244" s="16"/>
    </row>
    <row r="245">
      <c r="A245" s="16">
        <v>2021.0</v>
      </c>
      <c r="B245" s="90">
        <v>25.0</v>
      </c>
      <c r="C245" s="91">
        <v>109273.0</v>
      </c>
      <c r="D245" s="92">
        <v>0.4</v>
      </c>
      <c r="E245" s="16"/>
      <c r="F245" s="16"/>
    </row>
    <row r="246">
      <c r="A246" s="16">
        <v>2022.0</v>
      </c>
      <c r="B246" s="90">
        <v>75.0</v>
      </c>
      <c r="C246" s="91">
        <v>112551.0</v>
      </c>
      <c r="D246" s="92">
        <v>0.4</v>
      </c>
      <c r="E246" s="16"/>
      <c r="F246" s="16"/>
    </row>
    <row r="247">
      <c r="A247" s="16">
        <v>2023.0</v>
      </c>
      <c r="B247" s="90">
        <v>150.0</v>
      </c>
      <c r="C247" s="91">
        <v>115927.0</v>
      </c>
      <c r="D247" s="92">
        <v>0.4</v>
      </c>
      <c r="E247" s="16"/>
      <c r="F247" s="16"/>
    </row>
    <row r="248">
      <c r="A248" s="16">
        <v>2024.0</v>
      </c>
      <c r="B248" s="90">
        <v>280.0</v>
      </c>
      <c r="C248" s="91">
        <v>119405.0</v>
      </c>
      <c r="D248" s="92">
        <v>0.4</v>
      </c>
      <c r="E248" s="16"/>
      <c r="F248" s="16"/>
    </row>
    <row r="249">
      <c r="A249" s="16">
        <v>2025.0</v>
      </c>
      <c r="B249" s="90">
        <v>400.0</v>
      </c>
      <c r="C249" s="91">
        <v>122987.0</v>
      </c>
      <c r="D249" s="92">
        <v>0.4</v>
      </c>
      <c r="E249" s="16"/>
      <c r="F249" s="16"/>
    </row>
    <row r="250" hidden="1">
      <c r="A250" s="27">
        <f>'Revenue &amp; Demand'!A133</f>
        <v>43374</v>
      </c>
      <c r="B250" s="16">
        <v>0.0</v>
      </c>
      <c r="C250" s="16">
        <v>0.0</v>
      </c>
      <c r="D250" s="16">
        <v>11325.0</v>
      </c>
      <c r="E250" s="16">
        <v>49515.0</v>
      </c>
      <c r="F250" s="16">
        <v>3540.0</v>
      </c>
      <c r="G250" s="27">
        <f>ROUND('Clinical Trials &amp; R&amp;D'!B138*0.45,0)</f>
        <v>43005</v>
      </c>
      <c r="H250" s="27">
        <f>ROUND('Clinical Trials &amp; R&amp;D'!F138*0.45,0)</f>
        <v>0</v>
      </c>
      <c r="I250" s="27">
        <f>ROUND('Manufacturing &amp; Production'!C128*0.4,0)</f>
        <v>0</v>
      </c>
      <c r="J250" s="27">
        <f t="shared" ref="J250:J254" si="132">ROUND(B250*0.42,0)</f>
        <v>0</v>
      </c>
      <c r="K250" s="27">
        <f t="shared" ref="K250:L250" si="130">ROUND(D250*0.45,0)</f>
        <v>5096</v>
      </c>
      <c r="L250" s="27">
        <f t="shared" si="130"/>
        <v>22282</v>
      </c>
      <c r="M250" s="27">
        <f t="shared" ref="M250:M254" si="134">SUM(G250:L250)</f>
        <v>70383</v>
      </c>
      <c r="N250" s="27">
        <f t="shared" ref="N250:N254" si="135">IFERROR(ROUND(M250*12/(145000*1.04^(YEAR(A250)-2018)),0),0)</f>
        <v>6</v>
      </c>
      <c r="O250" s="27">
        <f t="shared" ref="O250:O254" si="136">J250+(B250-J250)</f>
        <v>0</v>
      </c>
      <c r="P250" s="27">
        <f t="shared" ref="P250:P254" si="137">C250</f>
        <v>0</v>
      </c>
      <c r="Q250" s="27">
        <f t="shared" ref="Q250:R250" si="131">K250+(D250-K250)</f>
        <v>11325</v>
      </c>
      <c r="R250" s="27">
        <f t="shared" si="131"/>
        <v>49515</v>
      </c>
      <c r="S250" s="27">
        <f t="shared" ref="S250:S254" si="139">F250</f>
        <v>3540</v>
      </c>
      <c r="T250" s="27">
        <f t="shared" ref="T250:T254" si="140">SUM(B250-J250,D250-K250,E250-L250)</f>
        <v>33462</v>
      </c>
    </row>
    <row r="251" hidden="1">
      <c r="A251" s="27">
        <f>'Revenue &amp; Demand'!A134</f>
        <v>43405</v>
      </c>
      <c r="B251" s="16">
        <v>0.0</v>
      </c>
      <c r="C251" s="16">
        <v>0.0</v>
      </c>
      <c r="D251" s="16">
        <v>12179.0</v>
      </c>
      <c r="E251" s="16">
        <v>50550.0</v>
      </c>
      <c r="F251" s="16">
        <v>3599.0</v>
      </c>
      <c r="G251" s="27">
        <f>ROUND('Clinical Trials &amp; R&amp;D'!B139*0.45,0)</f>
        <v>45285</v>
      </c>
      <c r="H251" s="27">
        <f>ROUND('Clinical Trials &amp; R&amp;D'!F139*0.45,0)</f>
        <v>0</v>
      </c>
      <c r="I251" s="27">
        <f>ROUND('Manufacturing &amp; Production'!C129*0.4,0)</f>
        <v>0</v>
      </c>
      <c r="J251" s="27">
        <f t="shared" si="132"/>
        <v>0</v>
      </c>
      <c r="K251" s="27">
        <f t="shared" ref="K251:L251" si="133">ROUND(D251*0.45,0)</f>
        <v>5481</v>
      </c>
      <c r="L251" s="27">
        <f t="shared" si="133"/>
        <v>22748</v>
      </c>
      <c r="M251" s="27">
        <f t="shared" si="134"/>
        <v>73514</v>
      </c>
      <c r="N251" s="27">
        <f t="shared" si="135"/>
        <v>6</v>
      </c>
      <c r="O251" s="27">
        <f t="shared" si="136"/>
        <v>0</v>
      </c>
      <c r="P251" s="27">
        <f t="shared" si="137"/>
        <v>0</v>
      </c>
      <c r="Q251" s="27">
        <f t="shared" ref="Q251:R251" si="138">K251+(D251-K251)</f>
        <v>12179</v>
      </c>
      <c r="R251" s="27">
        <f t="shared" si="138"/>
        <v>50550</v>
      </c>
      <c r="S251" s="27">
        <f t="shared" si="139"/>
        <v>3599</v>
      </c>
      <c r="T251" s="27">
        <f t="shared" si="140"/>
        <v>34500</v>
      </c>
    </row>
    <row r="252" hidden="1">
      <c r="A252" s="27">
        <f>'Revenue &amp; Demand'!A135</f>
        <v>43435</v>
      </c>
      <c r="B252" s="16">
        <v>0.0</v>
      </c>
      <c r="C252" s="16">
        <v>0.0</v>
      </c>
      <c r="D252" s="16">
        <v>13035.0</v>
      </c>
      <c r="E252" s="16">
        <v>51842.0</v>
      </c>
      <c r="F252" s="16">
        <v>3656.0</v>
      </c>
      <c r="G252" s="27">
        <f>ROUND('Clinical Trials &amp; R&amp;D'!B140*0.45,0)</f>
        <v>47565</v>
      </c>
      <c r="H252" s="27">
        <f>ROUND('Clinical Trials &amp; R&amp;D'!F140*0.45,0)</f>
        <v>0</v>
      </c>
      <c r="I252" s="27">
        <f>ROUND('Manufacturing &amp; Production'!C130*0.4,0)</f>
        <v>0</v>
      </c>
      <c r="J252" s="27">
        <f t="shared" si="132"/>
        <v>0</v>
      </c>
      <c r="K252" s="27">
        <f t="shared" ref="K252:L252" si="141">ROUND(D252*0.45,0)</f>
        <v>5866</v>
      </c>
      <c r="L252" s="27">
        <f t="shared" si="141"/>
        <v>23329</v>
      </c>
      <c r="M252" s="27">
        <f t="shared" si="134"/>
        <v>76760</v>
      </c>
      <c r="N252" s="27">
        <f t="shared" si="135"/>
        <v>6</v>
      </c>
      <c r="O252" s="27">
        <f t="shared" si="136"/>
        <v>0</v>
      </c>
      <c r="P252" s="27">
        <f t="shared" si="137"/>
        <v>0</v>
      </c>
      <c r="Q252" s="27">
        <f t="shared" ref="Q252:R252" si="142">K252+(D252-K252)</f>
        <v>13035</v>
      </c>
      <c r="R252" s="27">
        <f t="shared" si="142"/>
        <v>51842</v>
      </c>
      <c r="S252" s="27">
        <f t="shared" si="139"/>
        <v>3656</v>
      </c>
      <c r="T252" s="27">
        <f t="shared" si="140"/>
        <v>35682</v>
      </c>
    </row>
    <row r="253" hidden="1">
      <c r="A253" s="27">
        <f>'Revenue &amp; Demand'!A136</f>
        <v>43466</v>
      </c>
      <c r="B253" s="16">
        <v>10111.0</v>
      </c>
      <c r="C253" s="16">
        <v>294.0</v>
      </c>
      <c r="D253" s="16">
        <v>7326.0</v>
      </c>
      <c r="E253" s="16">
        <v>69580.0</v>
      </c>
      <c r="F253" s="16">
        <v>7522.0</v>
      </c>
      <c r="G253" s="27">
        <f>ROUND('Clinical Trials &amp; R&amp;D'!B141*0.45,0)</f>
        <v>62560</v>
      </c>
      <c r="H253" s="27">
        <f>ROUND('Clinical Trials &amp; R&amp;D'!F141*0.45,0)</f>
        <v>0</v>
      </c>
      <c r="I253" s="27">
        <f>ROUND('Manufacturing &amp; Production'!C131*0.4,0)</f>
        <v>0</v>
      </c>
      <c r="J253" s="27">
        <f t="shared" si="132"/>
        <v>4247</v>
      </c>
      <c r="K253" s="27">
        <f t="shared" ref="K253:L253" si="143">ROUND(D253*0.45,0)</f>
        <v>3297</v>
      </c>
      <c r="L253" s="27">
        <f t="shared" si="143"/>
        <v>31311</v>
      </c>
      <c r="M253" s="27">
        <f t="shared" si="134"/>
        <v>101415</v>
      </c>
      <c r="N253" s="27">
        <f t="shared" si="135"/>
        <v>8</v>
      </c>
      <c r="O253" s="27">
        <f t="shared" si="136"/>
        <v>10111</v>
      </c>
      <c r="P253" s="27">
        <f t="shared" si="137"/>
        <v>294</v>
      </c>
      <c r="Q253" s="27">
        <f t="shared" ref="Q253:R253" si="144">K253+(D253-K253)</f>
        <v>7326</v>
      </c>
      <c r="R253" s="27">
        <f t="shared" si="144"/>
        <v>69580</v>
      </c>
      <c r="S253" s="27">
        <f t="shared" si="139"/>
        <v>7522</v>
      </c>
      <c r="T253" s="27">
        <f t="shared" si="140"/>
        <v>48162</v>
      </c>
    </row>
    <row r="254" hidden="1">
      <c r="A254" s="27">
        <f>'Revenue &amp; Demand'!A137</f>
        <v>43497</v>
      </c>
      <c r="B254" s="16">
        <v>10334.0</v>
      </c>
      <c r="C254" s="16">
        <v>294.0</v>
      </c>
      <c r="D254" s="16">
        <v>9027.0</v>
      </c>
      <c r="E254" s="16">
        <v>71046.0</v>
      </c>
      <c r="F254" s="16">
        <v>7670.0</v>
      </c>
      <c r="G254" s="27">
        <f>ROUND('Clinical Trials &amp; R&amp;D'!B142*0.45,0)</f>
        <v>63941</v>
      </c>
      <c r="H254" s="27">
        <f>ROUND('Clinical Trials &amp; R&amp;D'!F142*0.45,0)</f>
        <v>0</v>
      </c>
      <c r="I254" s="27">
        <f>ROUND('Manufacturing &amp; Production'!C132*0.4,0)</f>
        <v>0</v>
      </c>
      <c r="J254" s="27">
        <f t="shared" si="132"/>
        <v>4340</v>
      </c>
      <c r="K254" s="27">
        <f t="shared" ref="K254:L254" si="145">ROUND(D254*0.45,0)</f>
        <v>4062</v>
      </c>
      <c r="L254" s="27">
        <f t="shared" si="145"/>
        <v>31971</v>
      </c>
      <c r="M254" s="27">
        <f t="shared" si="134"/>
        <v>104314</v>
      </c>
      <c r="N254" s="27">
        <f t="shared" si="135"/>
        <v>8</v>
      </c>
      <c r="O254" s="27">
        <f t="shared" si="136"/>
        <v>10334</v>
      </c>
      <c r="P254" s="27">
        <f t="shared" si="137"/>
        <v>294</v>
      </c>
      <c r="Q254" s="27">
        <f t="shared" ref="Q254:R254" si="146">K254+(D254-K254)</f>
        <v>9027</v>
      </c>
      <c r="R254" s="27">
        <f t="shared" si="146"/>
        <v>71046</v>
      </c>
      <c r="S254" s="27">
        <f t="shared" si="139"/>
        <v>7670</v>
      </c>
      <c r="T254" s="27">
        <f t="shared" si="140"/>
        <v>50034</v>
      </c>
    </row>
    <row r="255">
      <c r="A255" s="93"/>
      <c r="B255" s="94"/>
      <c r="C255" s="95"/>
      <c r="D255" s="95"/>
      <c r="E255" s="95"/>
      <c r="F255" s="95"/>
      <c r="G255" s="96"/>
      <c r="H255" s="96"/>
      <c r="I255" s="96"/>
      <c r="J255" s="96"/>
      <c r="K255" s="96"/>
      <c r="L255" s="96"/>
      <c r="M255" s="96"/>
      <c r="N255" s="96"/>
      <c r="O255" s="96"/>
      <c r="P255" s="96"/>
      <c r="Q255" s="96"/>
      <c r="R255" s="96"/>
      <c r="S255" s="96"/>
      <c r="T255" s="96"/>
      <c r="U255" s="96"/>
      <c r="V255" s="96"/>
      <c r="W255" s="96"/>
      <c r="X255" s="96"/>
      <c r="Y255" s="96"/>
    </row>
    <row r="256">
      <c r="A256" s="97" t="s">
        <v>372</v>
      </c>
      <c r="C256" s="16"/>
      <c r="D256" s="16"/>
      <c r="E256" s="16"/>
      <c r="F256" s="16"/>
    </row>
    <row r="257" ht="42.75" customHeight="1">
      <c r="A257" s="98" t="s">
        <v>2</v>
      </c>
      <c r="B257" s="98" t="s">
        <v>373</v>
      </c>
      <c r="C257" s="98" t="s">
        <v>374</v>
      </c>
      <c r="D257" s="98" t="s">
        <v>203</v>
      </c>
      <c r="E257" s="98" t="s">
        <v>195</v>
      </c>
      <c r="F257" s="98" t="s">
        <v>375</v>
      </c>
      <c r="G257" s="98" t="s">
        <v>201</v>
      </c>
      <c r="H257" s="98" t="s">
        <v>202</v>
      </c>
      <c r="I257" s="98" t="s">
        <v>376</v>
      </c>
      <c r="J257" s="98" t="s">
        <v>377</v>
      </c>
      <c r="K257" s="98" t="s">
        <v>378</v>
      </c>
      <c r="L257" s="98" t="s">
        <v>379</v>
      </c>
      <c r="M257" s="98" t="s">
        <v>380</v>
      </c>
      <c r="N257" s="98" t="s">
        <v>381</v>
      </c>
      <c r="O257" s="98" t="s">
        <v>382</v>
      </c>
      <c r="P257" s="98" t="s">
        <v>383</v>
      </c>
      <c r="Q257" s="98" t="s">
        <v>384</v>
      </c>
      <c r="R257" s="98" t="s">
        <v>385</v>
      </c>
      <c r="S257" s="98" t="s">
        <v>386</v>
      </c>
      <c r="T257" s="98" t="s">
        <v>387</v>
      </c>
      <c r="U257" s="98" t="s">
        <v>388</v>
      </c>
      <c r="V257" s="98" t="s">
        <v>150</v>
      </c>
      <c r="W257" s="98" t="s">
        <v>159</v>
      </c>
      <c r="X257" s="98" t="s">
        <v>389</v>
      </c>
      <c r="Y257" s="98" t="s">
        <v>390</v>
      </c>
    </row>
    <row r="258">
      <c r="A258" s="99">
        <f t="shared" ref="A258:A353" si="147">DATE(2018+INT((ROW()-258)/12),MOD(ROW()-258,12)+1,1)</f>
        <v>43101</v>
      </c>
      <c r="B258" s="100">
        <f t="shared" ref="B258:B353" si="148">ROUND(IF(YEAR(A258)=2018,2,INDEX($B$242:$B$249,YEAR(A258)-2018))+(INDEX($B$242:$B$249,YEAR(A258)-2017)-IF(YEAR(A258)=2018,2,INDEX($B$242:$B$249,YEAR(A258)-2018)))*MONTH(A258)/12,0)</f>
        <v>2</v>
      </c>
      <c r="C258" s="101">
        <f t="shared" ref="C258:C353" si="149">INDEX($C$242:$C$249,YEAR(A258)-2017)</f>
        <v>100000</v>
      </c>
      <c r="D258" s="101">
        <f t="shared" ref="D258:D353" si="150">ROUND(B258*C258*(1+INDEX($D$242:$D$249,YEAR(A258)-2017))/12,0)</f>
        <v>23333</v>
      </c>
      <c r="E258" s="101">
        <f t="shared" ref="E258:E353" si="151">MIN(IF(YEAR(A258)&gt;=2024,ROUND(D258*0.09,0),0),ROUND(U258*0.75,0))</f>
        <v>0</v>
      </c>
      <c r="F258" s="101">
        <f t="shared" ref="F258:F353" si="152">MIN(IF(YEAR(A258)&gt;=2022,ROUND(D258*0.05,0),0),ROUND(K258*0.65,0))</f>
        <v>0</v>
      </c>
      <c r="G258" s="102">
        <f t="shared" ref="G258:G353" si="153">MIN(IF(YEAR(A258)&gt;=2022,ROUND(D258*0.1,0),0),ROUND(N258*0.7,0))</f>
        <v>0</v>
      </c>
      <c r="H258" s="102">
        <f t="shared" ref="H258:H353" si="154">MIN(ROUND(D258*0.18,0),ROUND(Q258*0.65,0))</f>
        <v>4200</v>
      </c>
      <c r="I258" s="102">
        <f t="shared" ref="I258:I353" si="155">D258-SUM(E258:H258)-J258</f>
        <v>19133</v>
      </c>
      <c r="J258" s="102">
        <f t="shared" ref="J258:J353" si="156">MIN(ROUND((D258-SUM(E258:H258))*0.24,0),ROUND(W258*0.8,0))</f>
        <v>0</v>
      </c>
      <c r="K258" s="101">
        <v>0.0</v>
      </c>
      <c r="L258" s="102">
        <f t="shared" ref="L258:L437" si="157">K258-F258</f>
        <v>0</v>
      </c>
      <c r="M258" s="102">
        <f t="shared" ref="M258:M437" si="158">F258+L258</f>
        <v>0</v>
      </c>
      <c r="N258" s="101">
        <v>3632.0</v>
      </c>
      <c r="O258" s="102">
        <f t="shared" ref="O258:O437" si="159">N258-G258</f>
        <v>3632</v>
      </c>
      <c r="P258" s="102">
        <f t="shared" ref="P258:P437" si="160">G258+O258</f>
        <v>3632</v>
      </c>
      <c r="Q258" s="101">
        <v>49115.0</v>
      </c>
      <c r="R258" s="102">
        <f t="shared" ref="R258:R437" si="161">Q258-H258</f>
        <v>44915</v>
      </c>
      <c r="S258" s="102">
        <f t="shared" ref="S258:S437" si="162">H258+R258</f>
        <v>49115</v>
      </c>
      <c r="T258" s="102">
        <f t="shared" ref="T258:T437" si="163">D258-SUM(E258:J258)</f>
        <v>0</v>
      </c>
      <c r="U258" s="101">
        <v>0.0</v>
      </c>
      <c r="V258" s="101">
        <v>96895.0</v>
      </c>
      <c r="W258" s="101">
        <v>0.0</v>
      </c>
      <c r="X258" s="102">
        <f>'Manufacturing &amp; Production'!K206</f>
        <v>0</v>
      </c>
      <c r="Y258" s="102">
        <f>'Monthly Data'!P2</f>
        <v>3009</v>
      </c>
    </row>
    <row r="259">
      <c r="A259" s="99">
        <f t="shared" si="147"/>
        <v>43132</v>
      </c>
      <c r="B259" s="100">
        <f t="shared" si="148"/>
        <v>3</v>
      </c>
      <c r="C259" s="101">
        <f t="shared" si="149"/>
        <v>100000</v>
      </c>
      <c r="D259" s="101">
        <f t="shared" si="150"/>
        <v>35000</v>
      </c>
      <c r="E259" s="101">
        <f t="shared" si="151"/>
        <v>0</v>
      </c>
      <c r="F259" s="101">
        <f t="shared" si="152"/>
        <v>0</v>
      </c>
      <c r="G259" s="102">
        <f t="shared" si="153"/>
        <v>0</v>
      </c>
      <c r="H259" s="102">
        <f t="shared" si="154"/>
        <v>6300</v>
      </c>
      <c r="I259" s="102">
        <f t="shared" si="155"/>
        <v>28700</v>
      </c>
      <c r="J259" s="102">
        <f t="shared" si="156"/>
        <v>0</v>
      </c>
      <c r="K259" s="101">
        <v>0.0</v>
      </c>
      <c r="L259" s="102">
        <f t="shared" si="157"/>
        <v>0</v>
      </c>
      <c r="M259" s="102">
        <f t="shared" si="158"/>
        <v>0</v>
      </c>
      <c r="N259" s="101">
        <v>4487.0</v>
      </c>
      <c r="O259" s="102">
        <f t="shared" si="159"/>
        <v>4487</v>
      </c>
      <c r="P259" s="102">
        <f t="shared" si="160"/>
        <v>4487</v>
      </c>
      <c r="Q259" s="101">
        <v>50150.0</v>
      </c>
      <c r="R259" s="102">
        <f t="shared" si="161"/>
        <v>43850</v>
      </c>
      <c r="S259" s="102">
        <f t="shared" si="162"/>
        <v>50150</v>
      </c>
      <c r="T259" s="102">
        <f t="shared" si="163"/>
        <v>0</v>
      </c>
      <c r="U259" s="101">
        <v>0.0</v>
      </c>
      <c r="V259" s="101">
        <v>99034.0</v>
      </c>
      <c r="W259" s="101">
        <v>0.0</v>
      </c>
      <c r="X259" s="102">
        <f>'Manufacturing &amp; Production'!K207</f>
        <v>0</v>
      </c>
      <c r="Y259" s="102">
        <f>'Monthly Data'!P3</f>
        <v>3068</v>
      </c>
    </row>
    <row r="260">
      <c r="A260" s="99">
        <f t="shared" si="147"/>
        <v>43160</v>
      </c>
      <c r="B260" s="100">
        <f t="shared" si="148"/>
        <v>3</v>
      </c>
      <c r="C260" s="101">
        <f t="shared" si="149"/>
        <v>100000</v>
      </c>
      <c r="D260" s="101">
        <f t="shared" si="150"/>
        <v>35000</v>
      </c>
      <c r="E260" s="101">
        <f t="shared" si="151"/>
        <v>0</v>
      </c>
      <c r="F260" s="101">
        <f t="shared" si="152"/>
        <v>0</v>
      </c>
      <c r="G260" s="102">
        <f t="shared" si="153"/>
        <v>0</v>
      </c>
      <c r="H260" s="102">
        <f t="shared" si="154"/>
        <v>6300</v>
      </c>
      <c r="I260" s="102">
        <f t="shared" si="155"/>
        <v>28700</v>
      </c>
      <c r="J260" s="102">
        <f t="shared" si="156"/>
        <v>0</v>
      </c>
      <c r="K260" s="101">
        <v>0.0</v>
      </c>
      <c r="L260" s="102">
        <f t="shared" si="157"/>
        <v>0</v>
      </c>
      <c r="M260" s="102">
        <f t="shared" si="158"/>
        <v>0</v>
      </c>
      <c r="N260" s="101">
        <v>5342.0</v>
      </c>
      <c r="O260" s="102">
        <f t="shared" si="159"/>
        <v>5342</v>
      </c>
      <c r="P260" s="102">
        <f t="shared" si="160"/>
        <v>5342</v>
      </c>
      <c r="Q260" s="101">
        <v>50741.0</v>
      </c>
      <c r="R260" s="102">
        <f t="shared" si="161"/>
        <v>44441</v>
      </c>
      <c r="S260" s="102">
        <f t="shared" si="162"/>
        <v>50741</v>
      </c>
      <c r="T260" s="102">
        <f t="shared" si="163"/>
        <v>0</v>
      </c>
      <c r="U260" s="101">
        <v>0.0</v>
      </c>
      <c r="V260" s="101">
        <v>99028.0</v>
      </c>
      <c r="W260" s="101">
        <v>0.0</v>
      </c>
      <c r="X260" s="102">
        <f>'Manufacturing &amp; Production'!K208</f>
        <v>0</v>
      </c>
      <c r="Y260" s="102">
        <f>'Monthly Data'!P4</f>
        <v>3127</v>
      </c>
    </row>
    <row r="261">
      <c r="A261" s="99">
        <f t="shared" si="147"/>
        <v>43191</v>
      </c>
      <c r="B261" s="100">
        <f t="shared" si="148"/>
        <v>3</v>
      </c>
      <c r="C261" s="101">
        <f t="shared" si="149"/>
        <v>100000</v>
      </c>
      <c r="D261" s="101">
        <f t="shared" si="150"/>
        <v>35000</v>
      </c>
      <c r="E261" s="101">
        <f t="shared" si="151"/>
        <v>0</v>
      </c>
      <c r="F261" s="101">
        <f t="shared" si="152"/>
        <v>0</v>
      </c>
      <c r="G261" s="102">
        <f t="shared" si="153"/>
        <v>0</v>
      </c>
      <c r="H261" s="102">
        <f t="shared" si="154"/>
        <v>6300</v>
      </c>
      <c r="I261" s="102">
        <f t="shared" si="155"/>
        <v>28700</v>
      </c>
      <c r="J261" s="102">
        <f t="shared" si="156"/>
        <v>0</v>
      </c>
      <c r="K261" s="101">
        <v>0.0</v>
      </c>
      <c r="L261" s="102">
        <f t="shared" si="157"/>
        <v>0</v>
      </c>
      <c r="M261" s="102">
        <f t="shared" si="158"/>
        <v>0</v>
      </c>
      <c r="N261" s="101">
        <v>6197.0</v>
      </c>
      <c r="O261" s="102">
        <f t="shared" si="159"/>
        <v>6197</v>
      </c>
      <c r="P261" s="102">
        <f t="shared" si="160"/>
        <v>6197</v>
      </c>
      <c r="Q261" s="101">
        <v>50820.0</v>
      </c>
      <c r="R261" s="102">
        <f t="shared" si="161"/>
        <v>44520</v>
      </c>
      <c r="S261" s="102">
        <f t="shared" si="162"/>
        <v>50820</v>
      </c>
      <c r="T261" s="102">
        <f t="shared" si="163"/>
        <v>0</v>
      </c>
      <c r="U261" s="101">
        <v>0.0</v>
      </c>
      <c r="V261" s="101">
        <v>97167.0</v>
      </c>
      <c r="W261" s="101">
        <v>0.0</v>
      </c>
      <c r="X261" s="102">
        <f>'Manufacturing &amp; Production'!K209</f>
        <v>0</v>
      </c>
      <c r="Y261" s="102">
        <f>'Monthly Data'!P5</f>
        <v>3186</v>
      </c>
    </row>
    <row r="262">
      <c r="A262" s="99">
        <f t="shared" si="147"/>
        <v>43221</v>
      </c>
      <c r="B262" s="100">
        <f t="shared" si="148"/>
        <v>4</v>
      </c>
      <c r="C262" s="101">
        <f t="shared" si="149"/>
        <v>100000</v>
      </c>
      <c r="D262" s="101">
        <f t="shared" si="150"/>
        <v>46667</v>
      </c>
      <c r="E262" s="101">
        <f t="shared" si="151"/>
        <v>0</v>
      </c>
      <c r="F262" s="101">
        <f t="shared" si="152"/>
        <v>0</v>
      </c>
      <c r="G262" s="102">
        <f t="shared" si="153"/>
        <v>0</v>
      </c>
      <c r="H262" s="102">
        <f t="shared" si="154"/>
        <v>8400</v>
      </c>
      <c r="I262" s="102">
        <f t="shared" si="155"/>
        <v>38267</v>
      </c>
      <c r="J262" s="102">
        <f t="shared" si="156"/>
        <v>0</v>
      </c>
      <c r="K262" s="101">
        <v>0.0</v>
      </c>
      <c r="L262" s="102">
        <f t="shared" si="157"/>
        <v>0</v>
      </c>
      <c r="M262" s="102">
        <f t="shared" si="158"/>
        <v>0</v>
      </c>
      <c r="N262" s="101">
        <v>7051.0</v>
      </c>
      <c r="O262" s="102">
        <f t="shared" si="159"/>
        <v>7051</v>
      </c>
      <c r="P262" s="102">
        <f t="shared" si="160"/>
        <v>7051</v>
      </c>
      <c r="Q262" s="101">
        <v>50454.0</v>
      </c>
      <c r="R262" s="102">
        <f t="shared" si="161"/>
        <v>42054</v>
      </c>
      <c r="S262" s="102">
        <f t="shared" si="162"/>
        <v>50454</v>
      </c>
      <c r="T262" s="102">
        <f t="shared" si="163"/>
        <v>0</v>
      </c>
      <c r="U262" s="101">
        <v>0.0</v>
      </c>
      <c r="V262" s="101">
        <v>94233.0</v>
      </c>
      <c r="W262" s="101">
        <v>0.0</v>
      </c>
      <c r="X262" s="102">
        <f>'Manufacturing &amp; Production'!K210</f>
        <v>0</v>
      </c>
      <c r="Y262" s="102">
        <f>'Monthly Data'!P6</f>
        <v>3245</v>
      </c>
    </row>
    <row r="263">
      <c r="A263" s="99">
        <f t="shared" si="147"/>
        <v>43252</v>
      </c>
      <c r="B263" s="100">
        <f t="shared" si="148"/>
        <v>4</v>
      </c>
      <c r="C263" s="101">
        <f t="shared" si="149"/>
        <v>100000</v>
      </c>
      <c r="D263" s="101">
        <f t="shared" si="150"/>
        <v>46667</v>
      </c>
      <c r="E263" s="101">
        <f t="shared" si="151"/>
        <v>0</v>
      </c>
      <c r="F263" s="101">
        <f t="shared" si="152"/>
        <v>0</v>
      </c>
      <c r="G263" s="102">
        <f t="shared" si="153"/>
        <v>0</v>
      </c>
      <c r="H263" s="102">
        <f t="shared" si="154"/>
        <v>8400</v>
      </c>
      <c r="I263" s="102">
        <f t="shared" si="155"/>
        <v>38267</v>
      </c>
      <c r="J263" s="102">
        <f t="shared" si="156"/>
        <v>0</v>
      </c>
      <c r="K263" s="101">
        <v>0.0</v>
      </c>
      <c r="L263" s="102">
        <f t="shared" si="157"/>
        <v>0</v>
      </c>
      <c r="M263" s="102">
        <f t="shared" si="158"/>
        <v>0</v>
      </c>
      <c r="N263" s="101">
        <v>7906.0</v>
      </c>
      <c r="O263" s="102">
        <f t="shared" si="159"/>
        <v>7906</v>
      </c>
      <c r="P263" s="102">
        <f t="shared" si="160"/>
        <v>7906</v>
      </c>
      <c r="Q263" s="101">
        <v>49833.0</v>
      </c>
      <c r="R263" s="102">
        <f t="shared" si="161"/>
        <v>41433</v>
      </c>
      <c r="S263" s="102">
        <f t="shared" si="162"/>
        <v>49833</v>
      </c>
      <c r="T263" s="102">
        <f t="shared" si="163"/>
        <v>0</v>
      </c>
      <c r="U263" s="101">
        <v>0.0</v>
      </c>
      <c r="V263" s="101">
        <v>91299.0</v>
      </c>
      <c r="W263" s="101">
        <v>0.0</v>
      </c>
      <c r="X263" s="102">
        <f>'Manufacturing &amp; Production'!K211</f>
        <v>0</v>
      </c>
      <c r="Y263" s="102">
        <f>'Monthly Data'!P7</f>
        <v>3304</v>
      </c>
    </row>
    <row r="264">
      <c r="A264" s="99">
        <f t="shared" si="147"/>
        <v>43282</v>
      </c>
      <c r="B264" s="100">
        <f t="shared" si="148"/>
        <v>4</v>
      </c>
      <c r="C264" s="101">
        <f t="shared" si="149"/>
        <v>100000</v>
      </c>
      <c r="D264" s="101">
        <f t="shared" si="150"/>
        <v>46667</v>
      </c>
      <c r="E264" s="101">
        <f t="shared" si="151"/>
        <v>0</v>
      </c>
      <c r="F264" s="101">
        <f t="shared" si="152"/>
        <v>0</v>
      </c>
      <c r="G264" s="102">
        <f t="shared" si="153"/>
        <v>0</v>
      </c>
      <c r="H264" s="102">
        <f t="shared" si="154"/>
        <v>8400</v>
      </c>
      <c r="I264" s="102">
        <f t="shared" si="155"/>
        <v>38267</v>
      </c>
      <c r="J264" s="102">
        <f t="shared" si="156"/>
        <v>0</v>
      </c>
      <c r="K264" s="101">
        <v>0.0</v>
      </c>
      <c r="L264" s="102">
        <f t="shared" si="157"/>
        <v>0</v>
      </c>
      <c r="M264" s="102">
        <f t="shared" si="158"/>
        <v>0</v>
      </c>
      <c r="N264" s="101">
        <v>8761.0</v>
      </c>
      <c r="O264" s="102">
        <f t="shared" si="159"/>
        <v>8761</v>
      </c>
      <c r="P264" s="102">
        <f t="shared" si="160"/>
        <v>8761</v>
      </c>
      <c r="Q264" s="101">
        <v>49211.0</v>
      </c>
      <c r="R264" s="102">
        <f t="shared" si="161"/>
        <v>40811</v>
      </c>
      <c r="S264" s="102">
        <f t="shared" si="162"/>
        <v>49211</v>
      </c>
      <c r="T264" s="102">
        <f t="shared" si="163"/>
        <v>0</v>
      </c>
      <c r="U264" s="101">
        <v>0.0</v>
      </c>
      <c r="V264" s="101">
        <v>89438.0</v>
      </c>
      <c r="W264" s="101">
        <v>0.0</v>
      </c>
      <c r="X264" s="102">
        <f>'Manufacturing &amp; Production'!K212</f>
        <v>0</v>
      </c>
      <c r="Y264" s="102">
        <f>'Monthly Data'!P8</f>
        <v>3363</v>
      </c>
    </row>
    <row r="265">
      <c r="A265" s="99">
        <f t="shared" si="147"/>
        <v>43313</v>
      </c>
      <c r="B265" s="100">
        <f t="shared" si="148"/>
        <v>5</v>
      </c>
      <c r="C265" s="101">
        <f t="shared" si="149"/>
        <v>100000</v>
      </c>
      <c r="D265" s="101">
        <f t="shared" si="150"/>
        <v>58333</v>
      </c>
      <c r="E265" s="101">
        <f t="shared" si="151"/>
        <v>0</v>
      </c>
      <c r="F265" s="101">
        <f t="shared" si="152"/>
        <v>0</v>
      </c>
      <c r="G265" s="102">
        <f t="shared" si="153"/>
        <v>0</v>
      </c>
      <c r="H265" s="102">
        <f t="shared" si="154"/>
        <v>10500</v>
      </c>
      <c r="I265" s="102">
        <f t="shared" si="155"/>
        <v>47833</v>
      </c>
      <c r="J265" s="102">
        <f t="shared" si="156"/>
        <v>0</v>
      </c>
      <c r="K265" s="101">
        <v>0.0</v>
      </c>
      <c r="L265" s="102">
        <f t="shared" si="157"/>
        <v>0</v>
      </c>
      <c r="M265" s="102">
        <f t="shared" si="158"/>
        <v>0</v>
      </c>
      <c r="N265" s="101">
        <v>9615.0</v>
      </c>
      <c r="O265" s="102">
        <f t="shared" si="159"/>
        <v>9615</v>
      </c>
      <c r="P265" s="102">
        <f t="shared" si="160"/>
        <v>9615</v>
      </c>
      <c r="Q265" s="101">
        <v>48845.0</v>
      </c>
      <c r="R265" s="102">
        <f t="shared" si="161"/>
        <v>38345</v>
      </c>
      <c r="S265" s="102">
        <f t="shared" si="162"/>
        <v>48845</v>
      </c>
      <c r="T265" s="102">
        <f t="shared" si="163"/>
        <v>0</v>
      </c>
      <c r="U265" s="101">
        <v>0.0</v>
      </c>
      <c r="V265" s="101">
        <v>89433.0</v>
      </c>
      <c r="W265" s="101">
        <v>0.0</v>
      </c>
      <c r="X265" s="102">
        <f>'Manufacturing &amp; Production'!K213</f>
        <v>0</v>
      </c>
      <c r="Y265" s="102">
        <f>'Monthly Data'!P9</f>
        <v>3422</v>
      </c>
    </row>
    <row r="266">
      <c r="A266" s="99">
        <f t="shared" si="147"/>
        <v>43344</v>
      </c>
      <c r="B266" s="100">
        <f t="shared" si="148"/>
        <v>5</v>
      </c>
      <c r="C266" s="101">
        <f t="shared" si="149"/>
        <v>100000</v>
      </c>
      <c r="D266" s="101">
        <f t="shared" si="150"/>
        <v>58333</v>
      </c>
      <c r="E266" s="101">
        <f t="shared" si="151"/>
        <v>0</v>
      </c>
      <c r="F266" s="101">
        <f t="shared" si="152"/>
        <v>0</v>
      </c>
      <c r="G266" s="102">
        <f t="shared" si="153"/>
        <v>0</v>
      </c>
      <c r="H266" s="102">
        <f t="shared" si="154"/>
        <v>10500</v>
      </c>
      <c r="I266" s="102">
        <f t="shared" si="155"/>
        <v>47833</v>
      </c>
      <c r="J266" s="102">
        <f t="shared" si="156"/>
        <v>0</v>
      </c>
      <c r="K266" s="101">
        <v>0.0</v>
      </c>
      <c r="L266" s="102">
        <f t="shared" si="157"/>
        <v>0</v>
      </c>
      <c r="M266" s="102">
        <f t="shared" si="158"/>
        <v>0</v>
      </c>
      <c r="N266" s="101">
        <v>10470.0</v>
      </c>
      <c r="O266" s="102">
        <f t="shared" si="159"/>
        <v>10470</v>
      </c>
      <c r="P266" s="102">
        <f t="shared" si="160"/>
        <v>10470</v>
      </c>
      <c r="Q266" s="101">
        <v>48924.0</v>
      </c>
      <c r="R266" s="102">
        <f t="shared" si="161"/>
        <v>38424</v>
      </c>
      <c r="S266" s="102">
        <f t="shared" si="162"/>
        <v>48924</v>
      </c>
      <c r="T266" s="102">
        <f t="shared" si="163"/>
        <v>0</v>
      </c>
      <c r="U266" s="101">
        <v>0.0</v>
      </c>
      <c r="V266" s="101">
        <v>91572.0</v>
      </c>
      <c r="W266" s="101">
        <v>0.0</v>
      </c>
      <c r="X266" s="102">
        <f>'Manufacturing &amp; Production'!K214</f>
        <v>0</v>
      </c>
      <c r="Y266" s="102">
        <f>'Monthly Data'!P10</f>
        <v>3481</v>
      </c>
    </row>
    <row r="267">
      <c r="A267" s="99">
        <f t="shared" si="147"/>
        <v>43374</v>
      </c>
      <c r="B267" s="100">
        <f t="shared" si="148"/>
        <v>5</v>
      </c>
      <c r="C267" s="101">
        <f t="shared" si="149"/>
        <v>100000</v>
      </c>
      <c r="D267" s="101">
        <f t="shared" si="150"/>
        <v>58333</v>
      </c>
      <c r="E267" s="101">
        <f t="shared" si="151"/>
        <v>0</v>
      </c>
      <c r="F267" s="101">
        <f t="shared" si="152"/>
        <v>0</v>
      </c>
      <c r="G267" s="102">
        <f t="shared" si="153"/>
        <v>0</v>
      </c>
      <c r="H267" s="102">
        <f t="shared" si="154"/>
        <v>10500</v>
      </c>
      <c r="I267" s="102">
        <f t="shared" si="155"/>
        <v>47833</v>
      </c>
      <c r="J267" s="102">
        <f t="shared" si="156"/>
        <v>0</v>
      </c>
      <c r="K267" s="101">
        <v>0.0</v>
      </c>
      <c r="L267" s="102">
        <f t="shared" si="157"/>
        <v>0</v>
      </c>
      <c r="M267" s="102">
        <f t="shared" si="158"/>
        <v>0</v>
      </c>
      <c r="N267" s="101">
        <v>11325.0</v>
      </c>
      <c r="O267" s="102">
        <f t="shared" si="159"/>
        <v>11325</v>
      </c>
      <c r="P267" s="102">
        <f t="shared" si="160"/>
        <v>11325</v>
      </c>
      <c r="Q267" s="101">
        <v>49515.0</v>
      </c>
      <c r="R267" s="102">
        <f t="shared" si="161"/>
        <v>39015</v>
      </c>
      <c r="S267" s="102">
        <f t="shared" si="162"/>
        <v>49515</v>
      </c>
      <c r="T267" s="102">
        <f t="shared" si="163"/>
        <v>0</v>
      </c>
      <c r="U267" s="101">
        <v>0.0</v>
      </c>
      <c r="V267" s="101">
        <v>95567.0</v>
      </c>
      <c r="W267" s="101">
        <v>0.0</v>
      </c>
      <c r="X267" s="102">
        <f>'Manufacturing &amp; Production'!K215</f>
        <v>0</v>
      </c>
      <c r="Y267" s="102">
        <f>'Monthly Data'!P11</f>
        <v>3540</v>
      </c>
    </row>
    <row r="268">
      <c r="A268" s="99">
        <f t="shared" si="147"/>
        <v>43405</v>
      </c>
      <c r="B268" s="100">
        <f t="shared" si="148"/>
        <v>6</v>
      </c>
      <c r="C268" s="101">
        <f t="shared" si="149"/>
        <v>100000</v>
      </c>
      <c r="D268" s="101">
        <f t="shared" si="150"/>
        <v>70000</v>
      </c>
      <c r="E268" s="101">
        <f t="shared" si="151"/>
        <v>0</v>
      </c>
      <c r="F268" s="101">
        <f t="shared" si="152"/>
        <v>0</v>
      </c>
      <c r="G268" s="102">
        <f t="shared" si="153"/>
        <v>0</v>
      </c>
      <c r="H268" s="102">
        <f t="shared" si="154"/>
        <v>12600</v>
      </c>
      <c r="I268" s="102">
        <f t="shared" si="155"/>
        <v>57400</v>
      </c>
      <c r="J268" s="102">
        <f t="shared" si="156"/>
        <v>0</v>
      </c>
      <c r="K268" s="101">
        <v>0.0</v>
      </c>
      <c r="L268" s="102">
        <f t="shared" si="157"/>
        <v>0</v>
      </c>
      <c r="M268" s="102">
        <f t="shared" si="158"/>
        <v>0</v>
      </c>
      <c r="N268" s="101">
        <v>12179.0</v>
      </c>
      <c r="O268" s="102">
        <f t="shared" si="159"/>
        <v>12179</v>
      </c>
      <c r="P268" s="102">
        <f t="shared" si="160"/>
        <v>12179</v>
      </c>
      <c r="Q268" s="101">
        <v>50550.0</v>
      </c>
      <c r="R268" s="102">
        <f t="shared" si="161"/>
        <v>37950</v>
      </c>
      <c r="S268" s="102">
        <f t="shared" si="162"/>
        <v>50550</v>
      </c>
      <c r="T268" s="102">
        <f t="shared" si="163"/>
        <v>0</v>
      </c>
      <c r="U268" s="101">
        <v>0.0</v>
      </c>
      <c r="V268" s="101">
        <v>100634.0</v>
      </c>
      <c r="W268" s="101">
        <v>0.0</v>
      </c>
      <c r="X268" s="102">
        <f>'Manufacturing &amp; Production'!K216</f>
        <v>0</v>
      </c>
      <c r="Y268" s="102">
        <f>'Monthly Data'!P12</f>
        <v>3599</v>
      </c>
    </row>
    <row r="269">
      <c r="A269" s="99">
        <f t="shared" si="147"/>
        <v>43435</v>
      </c>
      <c r="B269" s="100">
        <f t="shared" si="148"/>
        <v>6</v>
      </c>
      <c r="C269" s="101">
        <f t="shared" si="149"/>
        <v>100000</v>
      </c>
      <c r="D269" s="101">
        <f t="shared" si="150"/>
        <v>70000</v>
      </c>
      <c r="E269" s="101">
        <f t="shared" si="151"/>
        <v>0</v>
      </c>
      <c r="F269" s="101">
        <f t="shared" si="152"/>
        <v>0</v>
      </c>
      <c r="G269" s="102">
        <f t="shared" si="153"/>
        <v>0</v>
      </c>
      <c r="H269" s="102">
        <f t="shared" si="154"/>
        <v>12600</v>
      </c>
      <c r="I269" s="102">
        <f t="shared" si="155"/>
        <v>57400</v>
      </c>
      <c r="J269" s="102">
        <f t="shared" si="156"/>
        <v>0</v>
      </c>
      <c r="K269" s="101">
        <v>0.0</v>
      </c>
      <c r="L269" s="102">
        <f t="shared" si="157"/>
        <v>0</v>
      </c>
      <c r="M269" s="102">
        <f t="shared" si="158"/>
        <v>0</v>
      </c>
      <c r="N269" s="101">
        <v>13035.0</v>
      </c>
      <c r="O269" s="102">
        <f t="shared" si="159"/>
        <v>13035</v>
      </c>
      <c r="P269" s="102">
        <f t="shared" si="160"/>
        <v>13035</v>
      </c>
      <c r="Q269" s="101">
        <v>51842.0</v>
      </c>
      <c r="R269" s="102">
        <f t="shared" si="161"/>
        <v>39242</v>
      </c>
      <c r="S269" s="102">
        <f t="shared" si="162"/>
        <v>51842</v>
      </c>
      <c r="T269" s="102">
        <f t="shared" si="163"/>
        <v>0</v>
      </c>
      <c r="U269" s="101">
        <v>0.0</v>
      </c>
      <c r="V269" s="101">
        <v>105700.0</v>
      </c>
      <c r="W269" s="101">
        <v>0.0</v>
      </c>
      <c r="X269" s="102">
        <f>'Manufacturing &amp; Production'!K217</f>
        <v>0</v>
      </c>
      <c r="Y269" s="102">
        <f>'Monthly Data'!P13</f>
        <v>3656</v>
      </c>
    </row>
    <row r="270">
      <c r="A270" s="99">
        <f t="shared" si="147"/>
        <v>43466</v>
      </c>
      <c r="B270" s="100">
        <f t="shared" si="148"/>
        <v>7</v>
      </c>
      <c r="C270" s="101">
        <f t="shared" si="149"/>
        <v>103000</v>
      </c>
      <c r="D270" s="101">
        <f t="shared" si="150"/>
        <v>84117</v>
      </c>
      <c r="E270" s="101">
        <f t="shared" si="151"/>
        <v>0</v>
      </c>
      <c r="F270" s="101">
        <f t="shared" si="152"/>
        <v>0</v>
      </c>
      <c r="G270" s="102">
        <f t="shared" si="153"/>
        <v>0</v>
      </c>
      <c r="H270" s="102">
        <f t="shared" si="154"/>
        <v>15141</v>
      </c>
      <c r="I270" s="102">
        <f t="shared" si="155"/>
        <v>68976</v>
      </c>
      <c r="J270" s="102">
        <f t="shared" si="156"/>
        <v>0</v>
      </c>
      <c r="K270" s="101">
        <v>10111.0</v>
      </c>
      <c r="L270" s="102">
        <f t="shared" si="157"/>
        <v>10111</v>
      </c>
      <c r="M270" s="102">
        <f t="shared" si="158"/>
        <v>10111</v>
      </c>
      <c r="N270" s="101">
        <v>7326.0</v>
      </c>
      <c r="O270" s="102">
        <f t="shared" si="159"/>
        <v>7326</v>
      </c>
      <c r="P270" s="102">
        <f t="shared" si="160"/>
        <v>7326</v>
      </c>
      <c r="Q270" s="101">
        <v>69580.0</v>
      </c>
      <c r="R270" s="102">
        <f t="shared" si="161"/>
        <v>54439</v>
      </c>
      <c r="S270" s="102">
        <f t="shared" si="162"/>
        <v>69580</v>
      </c>
      <c r="T270" s="102">
        <f t="shared" si="163"/>
        <v>0</v>
      </c>
      <c r="U270" s="101">
        <v>0.0</v>
      </c>
      <c r="V270" s="101">
        <v>139023.0</v>
      </c>
      <c r="W270" s="101">
        <v>0.0</v>
      </c>
      <c r="X270" s="102">
        <f>'Manufacturing &amp; Production'!K218</f>
        <v>294</v>
      </c>
      <c r="Y270" s="102">
        <f>'Monthly Data'!P14</f>
        <v>7522</v>
      </c>
    </row>
    <row r="271">
      <c r="A271" s="99">
        <f t="shared" si="147"/>
        <v>43497</v>
      </c>
      <c r="B271" s="100">
        <f t="shared" si="148"/>
        <v>7</v>
      </c>
      <c r="C271" s="101">
        <f t="shared" si="149"/>
        <v>103000</v>
      </c>
      <c r="D271" s="101">
        <f t="shared" si="150"/>
        <v>84117</v>
      </c>
      <c r="E271" s="101">
        <f t="shared" si="151"/>
        <v>0</v>
      </c>
      <c r="F271" s="101">
        <f t="shared" si="152"/>
        <v>0</v>
      </c>
      <c r="G271" s="102">
        <f t="shared" si="153"/>
        <v>0</v>
      </c>
      <c r="H271" s="102">
        <f t="shared" si="154"/>
        <v>15141</v>
      </c>
      <c r="I271" s="102">
        <f t="shared" si="155"/>
        <v>68976</v>
      </c>
      <c r="J271" s="102">
        <f t="shared" si="156"/>
        <v>0</v>
      </c>
      <c r="K271" s="101">
        <v>10334.0</v>
      </c>
      <c r="L271" s="102">
        <f t="shared" si="157"/>
        <v>10334</v>
      </c>
      <c r="M271" s="102">
        <f t="shared" si="158"/>
        <v>10334</v>
      </c>
      <c r="N271" s="101">
        <v>9027.0</v>
      </c>
      <c r="O271" s="102">
        <f t="shared" si="159"/>
        <v>9027</v>
      </c>
      <c r="P271" s="102">
        <f t="shared" si="160"/>
        <v>9027</v>
      </c>
      <c r="Q271" s="101">
        <v>71046.0</v>
      </c>
      <c r="R271" s="102">
        <f t="shared" si="161"/>
        <v>55905</v>
      </c>
      <c r="S271" s="102">
        <f t="shared" si="162"/>
        <v>71046</v>
      </c>
      <c r="T271" s="102">
        <f t="shared" si="163"/>
        <v>0</v>
      </c>
      <c r="U271" s="101">
        <v>0.0</v>
      </c>
      <c r="V271" s="101">
        <v>142092.0</v>
      </c>
      <c r="W271" s="101">
        <v>0.0</v>
      </c>
      <c r="X271" s="102">
        <f>'Manufacturing &amp; Production'!K219</f>
        <v>294</v>
      </c>
      <c r="Y271" s="102">
        <f>'Monthly Data'!P15</f>
        <v>7670</v>
      </c>
    </row>
    <row r="272">
      <c r="A272" s="99">
        <f t="shared" si="147"/>
        <v>43525</v>
      </c>
      <c r="B272" s="100">
        <f t="shared" si="148"/>
        <v>8</v>
      </c>
      <c r="C272" s="101">
        <f t="shared" si="149"/>
        <v>103000</v>
      </c>
      <c r="D272" s="101">
        <f t="shared" si="150"/>
        <v>96133</v>
      </c>
      <c r="E272" s="101">
        <f t="shared" si="151"/>
        <v>0</v>
      </c>
      <c r="F272" s="101">
        <f t="shared" si="152"/>
        <v>0</v>
      </c>
      <c r="G272" s="102">
        <f t="shared" si="153"/>
        <v>0</v>
      </c>
      <c r="H272" s="102">
        <f t="shared" si="154"/>
        <v>17304</v>
      </c>
      <c r="I272" s="102">
        <f t="shared" si="155"/>
        <v>78829</v>
      </c>
      <c r="J272" s="102">
        <f t="shared" si="156"/>
        <v>0</v>
      </c>
      <c r="K272" s="101">
        <v>10333.0</v>
      </c>
      <c r="L272" s="102">
        <f t="shared" si="157"/>
        <v>10333</v>
      </c>
      <c r="M272" s="102">
        <f t="shared" si="158"/>
        <v>10333</v>
      </c>
      <c r="N272" s="101">
        <v>10725.0</v>
      </c>
      <c r="O272" s="102">
        <f t="shared" si="159"/>
        <v>10725</v>
      </c>
      <c r="P272" s="102">
        <f t="shared" si="160"/>
        <v>10725</v>
      </c>
      <c r="Q272" s="101">
        <v>71883.0</v>
      </c>
      <c r="R272" s="102">
        <f t="shared" si="161"/>
        <v>54579</v>
      </c>
      <c r="S272" s="102">
        <f t="shared" si="162"/>
        <v>71883</v>
      </c>
      <c r="T272" s="102">
        <f t="shared" si="163"/>
        <v>0</v>
      </c>
      <c r="U272" s="101">
        <v>0.0</v>
      </c>
      <c r="V272" s="101">
        <v>142084.0</v>
      </c>
      <c r="W272" s="101">
        <v>0.0</v>
      </c>
      <c r="X272" s="102">
        <f>'Manufacturing &amp; Production'!K220</f>
        <v>1838</v>
      </c>
      <c r="Y272" s="102">
        <f>'Monthly Data'!P16</f>
        <v>7817</v>
      </c>
    </row>
    <row r="273">
      <c r="A273" s="99">
        <f t="shared" si="147"/>
        <v>43556</v>
      </c>
      <c r="B273" s="100">
        <f t="shared" si="148"/>
        <v>8</v>
      </c>
      <c r="C273" s="101">
        <f t="shared" si="149"/>
        <v>103000</v>
      </c>
      <c r="D273" s="101">
        <f t="shared" si="150"/>
        <v>96133</v>
      </c>
      <c r="E273" s="101">
        <f t="shared" si="151"/>
        <v>0</v>
      </c>
      <c r="F273" s="101">
        <f t="shared" si="152"/>
        <v>0</v>
      </c>
      <c r="G273" s="102">
        <f t="shared" si="153"/>
        <v>0</v>
      </c>
      <c r="H273" s="102">
        <f t="shared" si="154"/>
        <v>17304</v>
      </c>
      <c r="I273" s="102">
        <f t="shared" si="155"/>
        <v>78829</v>
      </c>
      <c r="J273" s="102">
        <f t="shared" si="156"/>
        <v>0</v>
      </c>
      <c r="K273" s="101">
        <v>10139.0</v>
      </c>
      <c r="L273" s="102">
        <f t="shared" si="157"/>
        <v>10139</v>
      </c>
      <c r="M273" s="102">
        <f t="shared" si="158"/>
        <v>10139</v>
      </c>
      <c r="N273" s="101">
        <v>12422.0</v>
      </c>
      <c r="O273" s="102">
        <f t="shared" si="159"/>
        <v>12422</v>
      </c>
      <c r="P273" s="102">
        <f t="shared" si="160"/>
        <v>12422</v>
      </c>
      <c r="Q273" s="101">
        <v>71995.0</v>
      </c>
      <c r="R273" s="102">
        <f t="shared" si="161"/>
        <v>54691</v>
      </c>
      <c r="S273" s="102">
        <f t="shared" si="162"/>
        <v>71995</v>
      </c>
      <c r="T273" s="102">
        <f t="shared" si="163"/>
        <v>0</v>
      </c>
      <c r="U273" s="101">
        <v>0.0</v>
      </c>
      <c r="V273" s="101">
        <v>139413.0</v>
      </c>
      <c r="W273" s="101">
        <v>0.0</v>
      </c>
      <c r="X273" s="102">
        <f>'Manufacturing &amp; Production'!K221</f>
        <v>294</v>
      </c>
      <c r="Y273" s="102">
        <f>'Monthly Data'!P17</f>
        <v>7965</v>
      </c>
    </row>
    <row r="274">
      <c r="A274" s="99">
        <f t="shared" si="147"/>
        <v>43586</v>
      </c>
      <c r="B274" s="100">
        <f t="shared" si="148"/>
        <v>9</v>
      </c>
      <c r="C274" s="101">
        <f t="shared" si="149"/>
        <v>103000</v>
      </c>
      <c r="D274" s="101">
        <f t="shared" si="150"/>
        <v>108150</v>
      </c>
      <c r="E274" s="101">
        <f t="shared" si="151"/>
        <v>0</v>
      </c>
      <c r="F274" s="101">
        <f t="shared" si="152"/>
        <v>0</v>
      </c>
      <c r="G274" s="102">
        <f t="shared" si="153"/>
        <v>0</v>
      </c>
      <c r="H274" s="102">
        <f t="shared" si="154"/>
        <v>19467</v>
      </c>
      <c r="I274" s="102">
        <f t="shared" si="155"/>
        <v>88683</v>
      </c>
      <c r="J274" s="102">
        <f t="shared" si="156"/>
        <v>0</v>
      </c>
      <c r="K274" s="101">
        <v>9833.0</v>
      </c>
      <c r="L274" s="102">
        <f t="shared" si="157"/>
        <v>9833</v>
      </c>
      <c r="M274" s="102">
        <f t="shared" si="158"/>
        <v>9833</v>
      </c>
      <c r="N274" s="101">
        <v>14117.0</v>
      </c>
      <c r="O274" s="102">
        <f t="shared" si="159"/>
        <v>14117</v>
      </c>
      <c r="P274" s="102">
        <f t="shared" si="160"/>
        <v>14117</v>
      </c>
      <c r="Q274" s="101">
        <v>71477.0</v>
      </c>
      <c r="R274" s="102">
        <f t="shared" si="161"/>
        <v>52010</v>
      </c>
      <c r="S274" s="102">
        <f t="shared" si="162"/>
        <v>71477</v>
      </c>
      <c r="T274" s="102">
        <f t="shared" si="163"/>
        <v>0</v>
      </c>
      <c r="U274" s="101">
        <v>0.0</v>
      </c>
      <c r="V274" s="101">
        <v>135204.0</v>
      </c>
      <c r="W274" s="101">
        <v>0.0</v>
      </c>
      <c r="X274" s="102">
        <f>'Manufacturing &amp; Production'!K222</f>
        <v>294</v>
      </c>
      <c r="Y274" s="102">
        <f>'Monthly Data'!P18</f>
        <v>8112</v>
      </c>
    </row>
    <row r="275">
      <c r="A275" s="99">
        <f t="shared" si="147"/>
        <v>43617</v>
      </c>
      <c r="B275" s="100">
        <f t="shared" si="148"/>
        <v>9</v>
      </c>
      <c r="C275" s="101">
        <f t="shared" si="149"/>
        <v>103000</v>
      </c>
      <c r="D275" s="101">
        <f t="shared" si="150"/>
        <v>108150</v>
      </c>
      <c r="E275" s="101">
        <f t="shared" si="151"/>
        <v>0</v>
      </c>
      <c r="F275" s="101">
        <f t="shared" si="152"/>
        <v>0</v>
      </c>
      <c r="G275" s="102">
        <f t="shared" si="153"/>
        <v>0</v>
      </c>
      <c r="H275" s="102">
        <f t="shared" si="154"/>
        <v>19467</v>
      </c>
      <c r="I275" s="102">
        <f t="shared" si="155"/>
        <v>88683</v>
      </c>
      <c r="J275" s="102">
        <f t="shared" si="156"/>
        <v>0</v>
      </c>
      <c r="K275" s="101">
        <v>9527.0</v>
      </c>
      <c r="L275" s="102">
        <f t="shared" si="157"/>
        <v>9527</v>
      </c>
      <c r="M275" s="102">
        <f t="shared" si="158"/>
        <v>9527</v>
      </c>
      <c r="N275" s="101">
        <v>15812.0</v>
      </c>
      <c r="O275" s="102">
        <f t="shared" si="159"/>
        <v>15812</v>
      </c>
      <c r="P275" s="102">
        <f t="shared" si="160"/>
        <v>15812</v>
      </c>
      <c r="Q275" s="101">
        <v>70596.0</v>
      </c>
      <c r="R275" s="102">
        <f t="shared" si="161"/>
        <v>51129</v>
      </c>
      <c r="S275" s="102">
        <f t="shared" si="162"/>
        <v>70596</v>
      </c>
      <c r="T275" s="102">
        <f t="shared" si="163"/>
        <v>0</v>
      </c>
      <c r="U275" s="101">
        <v>0.0</v>
      </c>
      <c r="V275" s="101">
        <v>130995.0</v>
      </c>
      <c r="W275" s="101">
        <v>0.0</v>
      </c>
      <c r="X275" s="102">
        <f>'Manufacturing &amp; Production'!K223</f>
        <v>1838</v>
      </c>
      <c r="Y275" s="102">
        <f>'Monthly Data'!P19</f>
        <v>8260</v>
      </c>
    </row>
    <row r="276">
      <c r="A276" s="99">
        <f t="shared" si="147"/>
        <v>43647</v>
      </c>
      <c r="B276" s="100">
        <f t="shared" si="148"/>
        <v>10</v>
      </c>
      <c r="C276" s="101">
        <f t="shared" si="149"/>
        <v>103000</v>
      </c>
      <c r="D276" s="101">
        <f t="shared" si="150"/>
        <v>120167</v>
      </c>
      <c r="E276" s="101">
        <f t="shared" si="151"/>
        <v>0</v>
      </c>
      <c r="F276" s="101">
        <f t="shared" si="152"/>
        <v>0</v>
      </c>
      <c r="G276" s="102">
        <f t="shared" si="153"/>
        <v>0</v>
      </c>
      <c r="H276" s="102">
        <f t="shared" si="154"/>
        <v>21630</v>
      </c>
      <c r="I276" s="102">
        <f t="shared" si="155"/>
        <v>98537</v>
      </c>
      <c r="J276" s="102">
        <f t="shared" si="156"/>
        <v>0</v>
      </c>
      <c r="K276" s="101">
        <v>9333.0</v>
      </c>
      <c r="L276" s="102">
        <f t="shared" si="157"/>
        <v>9333</v>
      </c>
      <c r="M276" s="102">
        <f t="shared" si="158"/>
        <v>9333</v>
      </c>
      <c r="N276" s="101">
        <v>17509.0</v>
      </c>
      <c r="O276" s="102">
        <f t="shared" si="159"/>
        <v>17509</v>
      </c>
      <c r="P276" s="102">
        <f t="shared" si="160"/>
        <v>17509</v>
      </c>
      <c r="Q276" s="101">
        <v>69715.0</v>
      </c>
      <c r="R276" s="102">
        <f t="shared" si="161"/>
        <v>48085</v>
      </c>
      <c r="S276" s="102">
        <f t="shared" si="162"/>
        <v>69715</v>
      </c>
      <c r="T276" s="102">
        <f t="shared" si="163"/>
        <v>0</v>
      </c>
      <c r="U276" s="101">
        <v>0.0</v>
      </c>
      <c r="V276" s="101">
        <v>128324.0</v>
      </c>
      <c r="W276" s="101">
        <v>0.0</v>
      </c>
      <c r="X276" s="102">
        <f>'Manufacturing &amp; Production'!K224</f>
        <v>294</v>
      </c>
      <c r="Y276" s="102">
        <f>'Monthly Data'!P20</f>
        <v>8407</v>
      </c>
    </row>
    <row r="277">
      <c r="A277" s="99">
        <f t="shared" si="147"/>
        <v>43678</v>
      </c>
      <c r="B277" s="100">
        <f t="shared" si="148"/>
        <v>10</v>
      </c>
      <c r="C277" s="101">
        <f t="shared" si="149"/>
        <v>103000</v>
      </c>
      <c r="D277" s="101">
        <f t="shared" si="150"/>
        <v>120167</v>
      </c>
      <c r="E277" s="101">
        <f t="shared" si="151"/>
        <v>0</v>
      </c>
      <c r="F277" s="101">
        <f t="shared" si="152"/>
        <v>0</v>
      </c>
      <c r="G277" s="102">
        <f t="shared" si="153"/>
        <v>0</v>
      </c>
      <c r="H277" s="102">
        <f t="shared" si="154"/>
        <v>21630</v>
      </c>
      <c r="I277" s="102">
        <f t="shared" si="155"/>
        <v>98537</v>
      </c>
      <c r="J277" s="102">
        <f t="shared" si="156"/>
        <v>0</v>
      </c>
      <c r="K277" s="101">
        <v>9332.0</v>
      </c>
      <c r="L277" s="102">
        <f t="shared" si="157"/>
        <v>9332</v>
      </c>
      <c r="M277" s="102">
        <f t="shared" si="158"/>
        <v>9332</v>
      </c>
      <c r="N277" s="101">
        <v>19207.0</v>
      </c>
      <c r="O277" s="102">
        <f t="shared" si="159"/>
        <v>19207</v>
      </c>
      <c r="P277" s="102">
        <f t="shared" si="160"/>
        <v>19207</v>
      </c>
      <c r="Q277" s="101">
        <v>69198.0</v>
      </c>
      <c r="R277" s="102">
        <f t="shared" si="161"/>
        <v>47568</v>
      </c>
      <c r="S277" s="102">
        <f t="shared" si="162"/>
        <v>69198</v>
      </c>
      <c r="T277" s="102">
        <f t="shared" si="163"/>
        <v>0</v>
      </c>
      <c r="U277" s="101">
        <v>0.0</v>
      </c>
      <c r="V277" s="101">
        <v>128316.0</v>
      </c>
      <c r="W277" s="101">
        <v>0.0</v>
      </c>
      <c r="X277" s="102">
        <f>'Manufacturing &amp; Production'!K225</f>
        <v>294</v>
      </c>
      <c r="Y277" s="102">
        <f>'Monthly Data'!P21</f>
        <v>8555</v>
      </c>
    </row>
    <row r="278">
      <c r="A278" s="99">
        <f t="shared" si="147"/>
        <v>43709</v>
      </c>
      <c r="B278" s="100">
        <f t="shared" si="148"/>
        <v>11</v>
      </c>
      <c r="C278" s="101">
        <f t="shared" si="149"/>
        <v>103000</v>
      </c>
      <c r="D278" s="101">
        <f t="shared" si="150"/>
        <v>132183</v>
      </c>
      <c r="E278" s="101">
        <f t="shared" si="151"/>
        <v>0</v>
      </c>
      <c r="F278" s="101">
        <f t="shared" si="152"/>
        <v>0</v>
      </c>
      <c r="G278" s="102">
        <f t="shared" si="153"/>
        <v>0</v>
      </c>
      <c r="H278" s="102">
        <f t="shared" si="154"/>
        <v>23793</v>
      </c>
      <c r="I278" s="102">
        <f t="shared" si="155"/>
        <v>108390</v>
      </c>
      <c r="J278" s="102">
        <f t="shared" si="156"/>
        <v>0</v>
      </c>
      <c r="K278" s="101">
        <v>9555.0</v>
      </c>
      <c r="L278" s="102">
        <f t="shared" si="157"/>
        <v>9555</v>
      </c>
      <c r="M278" s="102">
        <f t="shared" si="158"/>
        <v>9555</v>
      </c>
      <c r="N278" s="101">
        <v>20908.0</v>
      </c>
      <c r="O278" s="102">
        <f t="shared" si="159"/>
        <v>20908</v>
      </c>
      <c r="P278" s="102">
        <f t="shared" si="160"/>
        <v>20908</v>
      </c>
      <c r="Q278" s="101">
        <v>69309.0</v>
      </c>
      <c r="R278" s="102">
        <f t="shared" si="161"/>
        <v>45516</v>
      </c>
      <c r="S278" s="102">
        <f t="shared" si="162"/>
        <v>69309</v>
      </c>
      <c r="T278" s="102">
        <f t="shared" si="163"/>
        <v>0</v>
      </c>
      <c r="U278" s="101">
        <v>0.0</v>
      </c>
      <c r="V278" s="101">
        <v>131385.0</v>
      </c>
      <c r="W278" s="101">
        <v>0.0</v>
      </c>
      <c r="X278" s="102">
        <f>'Manufacturing &amp; Production'!K226</f>
        <v>1838</v>
      </c>
      <c r="Y278" s="102">
        <f>'Monthly Data'!P22</f>
        <v>8702</v>
      </c>
    </row>
    <row r="279">
      <c r="A279" s="99">
        <f t="shared" si="147"/>
        <v>43739</v>
      </c>
      <c r="B279" s="100">
        <f t="shared" si="148"/>
        <v>11</v>
      </c>
      <c r="C279" s="101">
        <f t="shared" si="149"/>
        <v>103000</v>
      </c>
      <c r="D279" s="101">
        <f t="shared" si="150"/>
        <v>132183</v>
      </c>
      <c r="E279" s="101">
        <f t="shared" si="151"/>
        <v>0</v>
      </c>
      <c r="F279" s="101">
        <f t="shared" si="152"/>
        <v>0</v>
      </c>
      <c r="G279" s="102">
        <f t="shared" si="153"/>
        <v>0</v>
      </c>
      <c r="H279" s="102">
        <f t="shared" si="154"/>
        <v>23793</v>
      </c>
      <c r="I279" s="102">
        <f t="shared" si="155"/>
        <v>108390</v>
      </c>
      <c r="J279" s="102">
        <f t="shared" si="156"/>
        <v>0</v>
      </c>
      <c r="K279" s="101">
        <v>9972.0</v>
      </c>
      <c r="L279" s="102">
        <f t="shared" si="157"/>
        <v>9972</v>
      </c>
      <c r="M279" s="102">
        <f t="shared" si="158"/>
        <v>9972</v>
      </c>
      <c r="N279" s="101">
        <v>22611.0</v>
      </c>
      <c r="O279" s="102">
        <f t="shared" si="159"/>
        <v>22611</v>
      </c>
      <c r="P279" s="102">
        <f t="shared" si="160"/>
        <v>22611</v>
      </c>
      <c r="Q279" s="101">
        <v>70146.0</v>
      </c>
      <c r="R279" s="102">
        <f t="shared" si="161"/>
        <v>46353</v>
      </c>
      <c r="S279" s="102">
        <f t="shared" si="162"/>
        <v>70146</v>
      </c>
      <c r="T279" s="102">
        <f t="shared" si="163"/>
        <v>0</v>
      </c>
      <c r="U279" s="101">
        <v>0.0</v>
      </c>
      <c r="V279" s="101">
        <v>137117.0</v>
      </c>
      <c r="W279" s="101">
        <v>0.0</v>
      </c>
      <c r="X279" s="102">
        <f>'Manufacturing &amp; Production'!K227</f>
        <v>294</v>
      </c>
      <c r="Y279" s="102">
        <f>'Monthly Data'!P23</f>
        <v>8850</v>
      </c>
    </row>
    <row r="280">
      <c r="A280" s="99">
        <f t="shared" si="147"/>
        <v>43770</v>
      </c>
      <c r="B280" s="100">
        <f t="shared" si="148"/>
        <v>12</v>
      </c>
      <c r="C280" s="101">
        <f t="shared" si="149"/>
        <v>103000</v>
      </c>
      <c r="D280" s="101">
        <f t="shared" si="150"/>
        <v>144200</v>
      </c>
      <c r="E280" s="101">
        <f t="shared" si="151"/>
        <v>0</v>
      </c>
      <c r="F280" s="101">
        <f t="shared" si="152"/>
        <v>0</v>
      </c>
      <c r="G280" s="102">
        <f t="shared" si="153"/>
        <v>0</v>
      </c>
      <c r="H280" s="102">
        <f t="shared" si="154"/>
        <v>25956</v>
      </c>
      <c r="I280" s="102">
        <f t="shared" si="155"/>
        <v>118244</v>
      </c>
      <c r="J280" s="102">
        <f t="shared" si="156"/>
        <v>0</v>
      </c>
      <c r="K280" s="101">
        <v>10501.0</v>
      </c>
      <c r="L280" s="102">
        <f t="shared" si="157"/>
        <v>10501</v>
      </c>
      <c r="M280" s="102">
        <f t="shared" si="158"/>
        <v>10501</v>
      </c>
      <c r="N280" s="101">
        <v>24315.0</v>
      </c>
      <c r="O280" s="102">
        <f t="shared" si="159"/>
        <v>24315</v>
      </c>
      <c r="P280" s="102">
        <f t="shared" si="160"/>
        <v>24315</v>
      </c>
      <c r="Q280" s="101">
        <v>71612.0</v>
      </c>
      <c r="R280" s="102">
        <f t="shared" si="161"/>
        <v>45656</v>
      </c>
      <c r="S280" s="102">
        <f t="shared" si="162"/>
        <v>71612</v>
      </c>
      <c r="T280" s="102">
        <f t="shared" si="163"/>
        <v>0</v>
      </c>
      <c r="U280" s="101">
        <v>0.0</v>
      </c>
      <c r="V280" s="101">
        <v>144388.0</v>
      </c>
      <c r="W280" s="101">
        <v>0.0</v>
      </c>
      <c r="X280" s="102">
        <f>'Manufacturing &amp; Production'!K228</f>
        <v>294</v>
      </c>
      <c r="Y280" s="102">
        <f>'Monthly Data'!P24</f>
        <v>8997</v>
      </c>
    </row>
    <row r="281">
      <c r="A281" s="99">
        <f t="shared" si="147"/>
        <v>43800</v>
      </c>
      <c r="B281" s="100">
        <f t="shared" si="148"/>
        <v>12</v>
      </c>
      <c r="C281" s="101">
        <f t="shared" si="149"/>
        <v>103000</v>
      </c>
      <c r="D281" s="101">
        <f t="shared" si="150"/>
        <v>144200</v>
      </c>
      <c r="E281" s="101">
        <f t="shared" si="151"/>
        <v>0</v>
      </c>
      <c r="F281" s="101">
        <f t="shared" si="152"/>
        <v>0</v>
      </c>
      <c r="G281" s="102">
        <f t="shared" si="153"/>
        <v>0</v>
      </c>
      <c r="H281" s="102">
        <f t="shared" si="154"/>
        <v>25956</v>
      </c>
      <c r="I281" s="102">
        <f t="shared" si="155"/>
        <v>118244</v>
      </c>
      <c r="J281" s="102">
        <f t="shared" si="156"/>
        <v>0</v>
      </c>
      <c r="K281" s="101">
        <v>11030.0</v>
      </c>
      <c r="L281" s="102">
        <f t="shared" si="157"/>
        <v>11030</v>
      </c>
      <c r="M281" s="102">
        <f t="shared" si="158"/>
        <v>11030</v>
      </c>
      <c r="N281" s="101">
        <v>26021.0</v>
      </c>
      <c r="O281" s="102">
        <f t="shared" si="159"/>
        <v>26021</v>
      </c>
      <c r="P281" s="102">
        <f t="shared" si="160"/>
        <v>26021</v>
      </c>
      <c r="Q281" s="101">
        <v>73443.0</v>
      </c>
      <c r="R281" s="102">
        <f t="shared" si="161"/>
        <v>47487</v>
      </c>
      <c r="S281" s="102">
        <f t="shared" si="162"/>
        <v>73443</v>
      </c>
      <c r="T281" s="102">
        <f t="shared" si="163"/>
        <v>0</v>
      </c>
      <c r="U281" s="101">
        <v>0.0</v>
      </c>
      <c r="V281" s="101">
        <v>151659.0</v>
      </c>
      <c r="W281" s="101">
        <v>0.0</v>
      </c>
      <c r="X281" s="102">
        <f>'Manufacturing &amp; Production'!K229</f>
        <v>2134</v>
      </c>
      <c r="Y281" s="102">
        <f>'Monthly Data'!P25</f>
        <v>9143</v>
      </c>
    </row>
    <row r="282">
      <c r="A282" s="99">
        <f t="shared" si="147"/>
        <v>43831</v>
      </c>
      <c r="B282" s="100">
        <f t="shared" si="148"/>
        <v>13</v>
      </c>
      <c r="C282" s="101">
        <f t="shared" si="149"/>
        <v>106090</v>
      </c>
      <c r="D282" s="101">
        <f t="shared" si="150"/>
        <v>160903</v>
      </c>
      <c r="E282" s="101">
        <f t="shared" si="151"/>
        <v>0</v>
      </c>
      <c r="F282" s="101">
        <f t="shared" si="152"/>
        <v>0</v>
      </c>
      <c r="G282" s="102">
        <f t="shared" si="153"/>
        <v>0</v>
      </c>
      <c r="H282" s="102">
        <f t="shared" si="154"/>
        <v>28963</v>
      </c>
      <c r="I282" s="102">
        <f t="shared" si="155"/>
        <v>131940</v>
      </c>
      <c r="J282" s="102">
        <f t="shared" si="156"/>
        <v>0</v>
      </c>
      <c r="K282" s="101">
        <v>37073.0</v>
      </c>
      <c r="L282" s="102">
        <f t="shared" si="157"/>
        <v>37073</v>
      </c>
      <c r="M282" s="102">
        <f t="shared" si="158"/>
        <v>37073</v>
      </c>
      <c r="N282" s="101">
        <v>14931.0</v>
      </c>
      <c r="O282" s="102">
        <f t="shared" si="159"/>
        <v>14931</v>
      </c>
      <c r="P282" s="102">
        <f t="shared" si="160"/>
        <v>14931</v>
      </c>
      <c r="Q282" s="101">
        <v>122788.0</v>
      </c>
      <c r="R282" s="102">
        <f t="shared" si="161"/>
        <v>93825</v>
      </c>
      <c r="S282" s="102">
        <f t="shared" si="162"/>
        <v>122788</v>
      </c>
      <c r="T282" s="102">
        <f t="shared" si="163"/>
        <v>0</v>
      </c>
      <c r="U282" s="101">
        <v>0.0</v>
      </c>
      <c r="V282" s="101">
        <v>231705.0</v>
      </c>
      <c r="W282" s="101">
        <v>0.0</v>
      </c>
      <c r="X282" s="102">
        <f>'Manufacturing &amp; Production'!K230</f>
        <v>882</v>
      </c>
      <c r="Y282" s="102">
        <f>'Monthly Data'!P26</f>
        <v>18053</v>
      </c>
    </row>
    <row r="283">
      <c r="A283" s="99">
        <f t="shared" si="147"/>
        <v>43862</v>
      </c>
      <c r="B283" s="100">
        <f t="shared" si="148"/>
        <v>13</v>
      </c>
      <c r="C283" s="101">
        <f t="shared" si="149"/>
        <v>106090</v>
      </c>
      <c r="D283" s="101">
        <f t="shared" si="150"/>
        <v>160903</v>
      </c>
      <c r="E283" s="101">
        <f t="shared" si="151"/>
        <v>0</v>
      </c>
      <c r="F283" s="101">
        <f t="shared" si="152"/>
        <v>0</v>
      </c>
      <c r="G283" s="102">
        <f t="shared" si="153"/>
        <v>0</v>
      </c>
      <c r="H283" s="102">
        <f t="shared" si="154"/>
        <v>28963</v>
      </c>
      <c r="I283" s="102">
        <f t="shared" si="155"/>
        <v>131940</v>
      </c>
      <c r="J283" s="102">
        <f t="shared" si="156"/>
        <v>0</v>
      </c>
      <c r="K283" s="101">
        <v>37891.0</v>
      </c>
      <c r="L283" s="102">
        <f t="shared" si="157"/>
        <v>37891</v>
      </c>
      <c r="M283" s="102">
        <f t="shared" si="158"/>
        <v>37891</v>
      </c>
      <c r="N283" s="101">
        <v>18294.0</v>
      </c>
      <c r="O283" s="102">
        <f t="shared" si="159"/>
        <v>18294</v>
      </c>
      <c r="P283" s="102">
        <f t="shared" si="160"/>
        <v>18294</v>
      </c>
      <c r="Q283" s="101">
        <v>125376.0</v>
      </c>
      <c r="R283" s="102">
        <f t="shared" si="161"/>
        <v>96413</v>
      </c>
      <c r="S283" s="102">
        <f t="shared" si="162"/>
        <v>125376</v>
      </c>
      <c r="T283" s="102">
        <f t="shared" si="163"/>
        <v>0</v>
      </c>
      <c r="U283" s="101">
        <v>0.0</v>
      </c>
      <c r="V283" s="101">
        <v>236820.0</v>
      </c>
      <c r="W283" s="101">
        <v>0.0</v>
      </c>
      <c r="X283" s="102">
        <f>'Manufacturing &amp; Production'!K231</f>
        <v>882</v>
      </c>
      <c r="Y283" s="102">
        <f>'Monthly Data'!P27</f>
        <v>18407</v>
      </c>
    </row>
    <row r="284">
      <c r="A284" s="99">
        <f t="shared" si="147"/>
        <v>43891</v>
      </c>
      <c r="B284" s="100">
        <f t="shared" si="148"/>
        <v>14</v>
      </c>
      <c r="C284" s="101">
        <f t="shared" si="149"/>
        <v>106090</v>
      </c>
      <c r="D284" s="101">
        <f t="shared" si="150"/>
        <v>173280</v>
      </c>
      <c r="E284" s="101">
        <f t="shared" si="151"/>
        <v>0</v>
      </c>
      <c r="F284" s="101">
        <f t="shared" si="152"/>
        <v>0</v>
      </c>
      <c r="G284" s="102">
        <f t="shared" si="153"/>
        <v>0</v>
      </c>
      <c r="H284" s="102">
        <f t="shared" si="154"/>
        <v>31190</v>
      </c>
      <c r="I284" s="102">
        <f t="shared" si="155"/>
        <v>142090</v>
      </c>
      <c r="J284" s="102">
        <f t="shared" si="156"/>
        <v>0</v>
      </c>
      <c r="K284" s="101">
        <v>37889.0</v>
      </c>
      <c r="L284" s="102">
        <f t="shared" si="157"/>
        <v>37889</v>
      </c>
      <c r="M284" s="102">
        <f t="shared" si="158"/>
        <v>37889</v>
      </c>
      <c r="N284" s="101">
        <v>21641.0</v>
      </c>
      <c r="O284" s="102">
        <f t="shared" si="159"/>
        <v>21641</v>
      </c>
      <c r="P284" s="102">
        <f t="shared" si="160"/>
        <v>21641</v>
      </c>
      <c r="Q284" s="101">
        <v>126853.0</v>
      </c>
      <c r="R284" s="102">
        <f t="shared" si="161"/>
        <v>95663</v>
      </c>
      <c r="S284" s="102">
        <f t="shared" si="162"/>
        <v>126853</v>
      </c>
      <c r="T284" s="102">
        <f t="shared" si="163"/>
        <v>0</v>
      </c>
      <c r="U284" s="101">
        <v>0.0</v>
      </c>
      <c r="V284" s="101">
        <v>236807.0</v>
      </c>
      <c r="W284" s="101">
        <v>0.0</v>
      </c>
      <c r="X284" s="102">
        <f>'Manufacturing &amp; Production'!K232</f>
        <v>5515</v>
      </c>
      <c r="Y284" s="102">
        <f>'Monthly Data'!P28</f>
        <v>18761</v>
      </c>
    </row>
    <row r="285">
      <c r="A285" s="99">
        <f t="shared" si="147"/>
        <v>43922</v>
      </c>
      <c r="B285" s="100">
        <f t="shared" si="148"/>
        <v>14</v>
      </c>
      <c r="C285" s="101">
        <f t="shared" si="149"/>
        <v>106090</v>
      </c>
      <c r="D285" s="101">
        <f t="shared" si="150"/>
        <v>173280</v>
      </c>
      <c r="E285" s="101">
        <f t="shared" si="151"/>
        <v>0</v>
      </c>
      <c r="F285" s="101">
        <f t="shared" si="152"/>
        <v>0</v>
      </c>
      <c r="G285" s="102">
        <f t="shared" si="153"/>
        <v>0</v>
      </c>
      <c r="H285" s="102">
        <f t="shared" si="154"/>
        <v>31190</v>
      </c>
      <c r="I285" s="102">
        <f t="shared" si="155"/>
        <v>142090</v>
      </c>
      <c r="J285" s="102">
        <f t="shared" si="156"/>
        <v>0</v>
      </c>
      <c r="K285" s="101">
        <v>37177.0</v>
      </c>
      <c r="L285" s="102">
        <f t="shared" si="157"/>
        <v>37177</v>
      </c>
      <c r="M285" s="102">
        <f t="shared" si="158"/>
        <v>37177</v>
      </c>
      <c r="N285" s="101">
        <v>24975.0</v>
      </c>
      <c r="O285" s="102">
        <f t="shared" si="159"/>
        <v>24975</v>
      </c>
      <c r="P285" s="102">
        <f t="shared" si="160"/>
        <v>24975</v>
      </c>
      <c r="Q285" s="101">
        <v>127049.0</v>
      </c>
      <c r="R285" s="102">
        <f t="shared" si="161"/>
        <v>95859</v>
      </c>
      <c r="S285" s="102">
        <f t="shared" si="162"/>
        <v>127049</v>
      </c>
      <c r="T285" s="102">
        <f t="shared" si="163"/>
        <v>0</v>
      </c>
      <c r="U285" s="101">
        <v>0.0</v>
      </c>
      <c r="V285" s="101">
        <v>232355.0</v>
      </c>
      <c r="W285" s="101">
        <v>0.0</v>
      </c>
      <c r="X285" s="102">
        <f>'Manufacturing &amp; Production'!K233</f>
        <v>882</v>
      </c>
      <c r="Y285" s="102">
        <f>'Monthly Data'!P29</f>
        <v>19115</v>
      </c>
    </row>
    <row r="286">
      <c r="A286" s="99">
        <f t="shared" si="147"/>
        <v>43952</v>
      </c>
      <c r="B286" s="100">
        <f t="shared" si="148"/>
        <v>15</v>
      </c>
      <c r="C286" s="101">
        <f t="shared" si="149"/>
        <v>106090</v>
      </c>
      <c r="D286" s="101">
        <f t="shared" si="150"/>
        <v>185658</v>
      </c>
      <c r="E286" s="101">
        <f t="shared" si="151"/>
        <v>0</v>
      </c>
      <c r="F286" s="101">
        <f t="shared" si="152"/>
        <v>0</v>
      </c>
      <c r="G286" s="102">
        <f t="shared" si="153"/>
        <v>0</v>
      </c>
      <c r="H286" s="102">
        <f t="shared" si="154"/>
        <v>33418</v>
      </c>
      <c r="I286" s="102">
        <f t="shared" si="155"/>
        <v>152240</v>
      </c>
      <c r="J286" s="102">
        <f t="shared" si="156"/>
        <v>0</v>
      </c>
      <c r="K286" s="101">
        <v>36054.0</v>
      </c>
      <c r="L286" s="102">
        <f t="shared" si="157"/>
        <v>36054</v>
      </c>
      <c r="M286" s="102">
        <f t="shared" si="158"/>
        <v>36054</v>
      </c>
      <c r="N286" s="101">
        <v>28301.0</v>
      </c>
      <c r="O286" s="102">
        <f t="shared" si="159"/>
        <v>28301</v>
      </c>
      <c r="P286" s="102">
        <f t="shared" si="160"/>
        <v>28301</v>
      </c>
      <c r="Q286" s="101">
        <v>126136.0</v>
      </c>
      <c r="R286" s="102">
        <f t="shared" si="161"/>
        <v>92718</v>
      </c>
      <c r="S286" s="102">
        <f t="shared" si="162"/>
        <v>126136</v>
      </c>
      <c r="T286" s="102">
        <f t="shared" si="163"/>
        <v>0</v>
      </c>
      <c r="U286" s="101">
        <v>0.0</v>
      </c>
      <c r="V286" s="101">
        <v>225340.0</v>
      </c>
      <c r="W286" s="101">
        <v>0.0</v>
      </c>
      <c r="X286" s="102">
        <f>'Manufacturing &amp; Production'!K234</f>
        <v>882</v>
      </c>
      <c r="Y286" s="102">
        <f>'Monthly Data'!P30</f>
        <v>19469</v>
      </c>
    </row>
    <row r="287">
      <c r="A287" s="99">
        <f t="shared" si="147"/>
        <v>43983</v>
      </c>
      <c r="B287" s="100">
        <f t="shared" si="148"/>
        <v>15</v>
      </c>
      <c r="C287" s="101">
        <f t="shared" si="149"/>
        <v>106090</v>
      </c>
      <c r="D287" s="101">
        <f t="shared" si="150"/>
        <v>185658</v>
      </c>
      <c r="E287" s="101">
        <f t="shared" si="151"/>
        <v>0</v>
      </c>
      <c r="F287" s="101">
        <f t="shared" si="152"/>
        <v>0</v>
      </c>
      <c r="G287" s="102">
        <f t="shared" si="153"/>
        <v>0</v>
      </c>
      <c r="H287" s="102">
        <f t="shared" si="154"/>
        <v>33418</v>
      </c>
      <c r="I287" s="102">
        <f t="shared" si="155"/>
        <v>152240</v>
      </c>
      <c r="J287" s="102">
        <f t="shared" si="156"/>
        <v>0</v>
      </c>
      <c r="K287" s="101">
        <v>34932.0</v>
      </c>
      <c r="L287" s="102">
        <f t="shared" si="157"/>
        <v>34932</v>
      </c>
      <c r="M287" s="102">
        <f t="shared" si="158"/>
        <v>34932</v>
      </c>
      <c r="N287" s="101">
        <v>31627.0</v>
      </c>
      <c r="O287" s="102">
        <f t="shared" si="159"/>
        <v>31627</v>
      </c>
      <c r="P287" s="102">
        <f t="shared" si="160"/>
        <v>31627</v>
      </c>
      <c r="Q287" s="101">
        <v>124582.0</v>
      </c>
      <c r="R287" s="102">
        <f t="shared" si="161"/>
        <v>91164</v>
      </c>
      <c r="S287" s="102">
        <f t="shared" si="162"/>
        <v>124582</v>
      </c>
      <c r="T287" s="102">
        <f t="shared" si="163"/>
        <v>0</v>
      </c>
      <c r="U287" s="101">
        <v>0.0</v>
      </c>
      <c r="V287" s="101">
        <v>218325.0</v>
      </c>
      <c r="W287" s="101">
        <v>0.0</v>
      </c>
      <c r="X287" s="102">
        <f>'Manufacturing &amp; Production'!K235</f>
        <v>5515</v>
      </c>
      <c r="Y287" s="102">
        <f>'Monthly Data'!P31</f>
        <v>19823</v>
      </c>
    </row>
    <row r="288">
      <c r="A288" s="99">
        <f t="shared" si="147"/>
        <v>44013</v>
      </c>
      <c r="B288" s="100">
        <f t="shared" si="148"/>
        <v>16</v>
      </c>
      <c r="C288" s="101">
        <f t="shared" si="149"/>
        <v>106090</v>
      </c>
      <c r="D288" s="101">
        <f t="shared" si="150"/>
        <v>198035</v>
      </c>
      <c r="E288" s="101">
        <f t="shared" si="151"/>
        <v>0</v>
      </c>
      <c r="F288" s="101">
        <f t="shared" si="152"/>
        <v>0</v>
      </c>
      <c r="G288" s="102">
        <f t="shared" si="153"/>
        <v>0</v>
      </c>
      <c r="H288" s="102">
        <f t="shared" si="154"/>
        <v>35646</v>
      </c>
      <c r="I288" s="102">
        <f t="shared" si="155"/>
        <v>162389</v>
      </c>
      <c r="J288" s="102">
        <f t="shared" si="156"/>
        <v>0</v>
      </c>
      <c r="K288" s="101">
        <v>34220.0</v>
      </c>
      <c r="L288" s="102">
        <f t="shared" si="157"/>
        <v>34220</v>
      </c>
      <c r="M288" s="102">
        <f t="shared" si="158"/>
        <v>34220</v>
      </c>
      <c r="N288" s="101">
        <v>34960.0</v>
      </c>
      <c r="O288" s="102">
        <f t="shared" si="159"/>
        <v>34960</v>
      </c>
      <c r="P288" s="102">
        <f t="shared" si="160"/>
        <v>34960</v>
      </c>
      <c r="Q288" s="101">
        <v>123027.0</v>
      </c>
      <c r="R288" s="102">
        <f t="shared" si="161"/>
        <v>87381</v>
      </c>
      <c r="S288" s="102">
        <f t="shared" si="162"/>
        <v>123027</v>
      </c>
      <c r="T288" s="102">
        <f t="shared" si="163"/>
        <v>0</v>
      </c>
      <c r="U288" s="101">
        <v>0.0</v>
      </c>
      <c r="V288" s="101">
        <v>213873.0</v>
      </c>
      <c r="W288" s="101">
        <v>0.0</v>
      </c>
      <c r="X288" s="102">
        <f>'Manufacturing &amp; Production'!K236</f>
        <v>882</v>
      </c>
      <c r="Y288" s="102">
        <f>'Monthly Data'!P32</f>
        <v>20177</v>
      </c>
    </row>
    <row r="289">
      <c r="A289" s="99">
        <f t="shared" si="147"/>
        <v>44044</v>
      </c>
      <c r="B289" s="100">
        <f t="shared" si="148"/>
        <v>16</v>
      </c>
      <c r="C289" s="101">
        <f t="shared" si="149"/>
        <v>106090</v>
      </c>
      <c r="D289" s="101">
        <f t="shared" si="150"/>
        <v>198035</v>
      </c>
      <c r="E289" s="101">
        <f t="shared" si="151"/>
        <v>0</v>
      </c>
      <c r="F289" s="101">
        <f t="shared" si="152"/>
        <v>0</v>
      </c>
      <c r="G289" s="102">
        <f t="shared" si="153"/>
        <v>0</v>
      </c>
      <c r="H289" s="102">
        <f t="shared" si="154"/>
        <v>35646</v>
      </c>
      <c r="I289" s="102">
        <f t="shared" si="155"/>
        <v>162389</v>
      </c>
      <c r="J289" s="102">
        <f t="shared" si="156"/>
        <v>0</v>
      </c>
      <c r="K289" s="101">
        <v>34218.0</v>
      </c>
      <c r="L289" s="102">
        <f t="shared" si="157"/>
        <v>34218</v>
      </c>
      <c r="M289" s="102">
        <f t="shared" si="158"/>
        <v>34218</v>
      </c>
      <c r="N289" s="101">
        <v>38308.0</v>
      </c>
      <c r="O289" s="102">
        <f t="shared" si="159"/>
        <v>38308</v>
      </c>
      <c r="P289" s="102">
        <f t="shared" si="160"/>
        <v>38308</v>
      </c>
      <c r="Q289" s="101">
        <v>122114.0</v>
      </c>
      <c r="R289" s="102">
        <f t="shared" si="161"/>
        <v>86468</v>
      </c>
      <c r="S289" s="102">
        <f t="shared" si="162"/>
        <v>122114</v>
      </c>
      <c r="T289" s="102">
        <f t="shared" si="163"/>
        <v>0</v>
      </c>
      <c r="U289" s="101">
        <v>0.0</v>
      </c>
      <c r="V289" s="101">
        <v>213861.0</v>
      </c>
      <c r="W289" s="101">
        <v>0.0</v>
      </c>
      <c r="X289" s="102">
        <f>'Manufacturing &amp; Production'!K237</f>
        <v>882</v>
      </c>
      <c r="Y289" s="102">
        <f>'Monthly Data'!P33</f>
        <v>20531</v>
      </c>
    </row>
    <row r="290">
      <c r="A290" s="99">
        <f t="shared" si="147"/>
        <v>44075</v>
      </c>
      <c r="B290" s="100">
        <f t="shared" si="148"/>
        <v>17</v>
      </c>
      <c r="C290" s="101">
        <f t="shared" si="149"/>
        <v>106090</v>
      </c>
      <c r="D290" s="101">
        <f t="shared" si="150"/>
        <v>210412</v>
      </c>
      <c r="E290" s="101">
        <f t="shared" si="151"/>
        <v>0</v>
      </c>
      <c r="F290" s="101">
        <f t="shared" si="152"/>
        <v>0</v>
      </c>
      <c r="G290" s="102">
        <f t="shared" si="153"/>
        <v>0</v>
      </c>
      <c r="H290" s="102">
        <f t="shared" si="154"/>
        <v>37874</v>
      </c>
      <c r="I290" s="102">
        <f t="shared" si="155"/>
        <v>172538</v>
      </c>
      <c r="J290" s="102">
        <f t="shared" si="156"/>
        <v>0</v>
      </c>
      <c r="K290" s="101">
        <v>35036.0</v>
      </c>
      <c r="L290" s="102">
        <f t="shared" si="157"/>
        <v>35036</v>
      </c>
      <c r="M290" s="102">
        <f t="shared" si="158"/>
        <v>35036</v>
      </c>
      <c r="N290" s="101">
        <v>41671.0</v>
      </c>
      <c r="O290" s="102">
        <f t="shared" si="159"/>
        <v>41671</v>
      </c>
      <c r="P290" s="102">
        <f t="shared" si="160"/>
        <v>41671</v>
      </c>
      <c r="Q290" s="101">
        <v>122310.0</v>
      </c>
      <c r="R290" s="102">
        <f t="shared" si="161"/>
        <v>84436</v>
      </c>
      <c r="S290" s="102">
        <f t="shared" si="162"/>
        <v>122310</v>
      </c>
      <c r="T290" s="102">
        <f t="shared" si="163"/>
        <v>0</v>
      </c>
      <c r="U290" s="101">
        <v>0.0</v>
      </c>
      <c r="V290" s="101">
        <v>218975.0</v>
      </c>
      <c r="W290" s="101">
        <v>0.0</v>
      </c>
      <c r="X290" s="102">
        <f>'Manufacturing &amp; Production'!K238</f>
        <v>5515</v>
      </c>
      <c r="Y290" s="102">
        <f>'Monthly Data'!P34</f>
        <v>20885</v>
      </c>
    </row>
    <row r="291">
      <c r="A291" s="99">
        <f t="shared" si="147"/>
        <v>44105</v>
      </c>
      <c r="B291" s="100">
        <f t="shared" si="148"/>
        <v>17</v>
      </c>
      <c r="C291" s="101">
        <f t="shared" si="149"/>
        <v>106090</v>
      </c>
      <c r="D291" s="101">
        <f t="shared" si="150"/>
        <v>210412</v>
      </c>
      <c r="E291" s="101">
        <f t="shared" si="151"/>
        <v>0</v>
      </c>
      <c r="F291" s="101">
        <f t="shared" si="152"/>
        <v>0</v>
      </c>
      <c r="G291" s="102">
        <f t="shared" si="153"/>
        <v>0</v>
      </c>
      <c r="H291" s="102">
        <f t="shared" si="154"/>
        <v>37874</v>
      </c>
      <c r="I291" s="102">
        <f t="shared" si="155"/>
        <v>172538</v>
      </c>
      <c r="J291" s="102">
        <f t="shared" si="156"/>
        <v>0</v>
      </c>
      <c r="K291" s="101">
        <v>36565.0</v>
      </c>
      <c r="L291" s="102">
        <f t="shared" si="157"/>
        <v>36565</v>
      </c>
      <c r="M291" s="102">
        <f t="shared" si="158"/>
        <v>36565</v>
      </c>
      <c r="N291" s="101">
        <v>45047.0</v>
      </c>
      <c r="O291" s="102">
        <f t="shared" si="159"/>
        <v>45047</v>
      </c>
      <c r="P291" s="102">
        <f t="shared" si="160"/>
        <v>45047</v>
      </c>
      <c r="Q291" s="101">
        <v>123788.0</v>
      </c>
      <c r="R291" s="102">
        <f t="shared" si="161"/>
        <v>85914</v>
      </c>
      <c r="S291" s="102">
        <f t="shared" si="162"/>
        <v>123788</v>
      </c>
      <c r="T291" s="102">
        <f t="shared" si="163"/>
        <v>0</v>
      </c>
      <c r="U291" s="101">
        <v>0.0</v>
      </c>
      <c r="V291" s="101">
        <v>228529.0</v>
      </c>
      <c r="W291" s="101">
        <v>0.0</v>
      </c>
      <c r="X291" s="102">
        <f>'Manufacturing &amp; Production'!K239</f>
        <v>882</v>
      </c>
      <c r="Y291" s="102">
        <f>'Monthly Data'!P35</f>
        <v>21239</v>
      </c>
    </row>
    <row r="292">
      <c r="A292" s="99">
        <f t="shared" si="147"/>
        <v>44136</v>
      </c>
      <c r="B292" s="100">
        <f t="shared" si="148"/>
        <v>18</v>
      </c>
      <c r="C292" s="101">
        <f t="shared" si="149"/>
        <v>106090</v>
      </c>
      <c r="D292" s="101">
        <f t="shared" si="150"/>
        <v>222789</v>
      </c>
      <c r="E292" s="101">
        <f t="shared" si="151"/>
        <v>0</v>
      </c>
      <c r="F292" s="101">
        <f t="shared" si="152"/>
        <v>0</v>
      </c>
      <c r="G292" s="102">
        <f t="shared" si="153"/>
        <v>0</v>
      </c>
      <c r="H292" s="102">
        <f t="shared" si="154"/>
        <v>40102</v>
      </c>
      <c r="I292" s="102">
        <f t="shared" si="155"/>
        <v>182687</v>
      </c>
      <c r="J292" s="102">
        <f t="shared" si="156"/>
        <v>0</v>
      </c>
      <c r="K292" s="101">
        <v>38503.0</v>
      </c>
      <c r="L292" s="102">
        <f t="shared" si="157"/>
        <v>38503</v>
      </c>
      <c r="M292" s="102">
        <f t="shared" si="158"/>
        <v>38503</v>
      </c>
      <c r="N292" s="101">
        <v>48431.0</v>
      </c>
      <c r="O292" s="102">
        <f t="shared" si="159"/>
        <v>48431</v>
      </c>
      <c r="P292" s="102">
        <f t="shared" si="160"/>
        <v>48431</v>
      </c>
      <c r="Q292" s="101">
        <v>126375.0</v>
      </c>
      <c r="R292" s="102">
        <f t="shared" si="161"/>
        <v>86273</v>
      </c>
      <c r="S292" s="102">
        <f t="shared" si="162"/>
        <v>126375</v>
      </c>
      <c r="T292" s="102">
        <f t="shared" si="163"/>
        <v>0</v>
      </c>
      <c r="U292" s="101">
        <v>0.0</v>
      </c>
      <c r="V292" s="101">
        <v>240646.0</v>
      </c>
      <c r="W292" s="101">
        <v>0.0</v>
      </c>
      <c r="X292" s="102">
        <f>'Manufacturing &amp; Production'!K240</f>
        <v>882</v>
      </c>
      <c r="Y292" s="102">
        <f>'Monthly Data'!P36</f>
        <v>21593</v>
      </c>
    </row>
    <row r="293">
      <c r="A293" s="99">
        <f t="shared" si="147"/>
        <v>44166</v>
      </c>
      <c r="B293" s="100">
        <f t="shared" si="148"/>
        <v>18</v>
      </c>
      <c r="C293" s="101">
        <f t="shared" si="149"/>
        <v>106090</v>
      </c>
      <c r="D293" s="101">
        <f t="shared" si="150"/>
        <v>222789</v>
      </c>
      <c r="E293" s="101">
        <f t="shared" si="151"/>
        <v>0</v>
      </c>
      <c r="F293" s="101">
        <f t="shared" si="152"/>
        <v>0</v>
      </c>
      <c r="G293" s="102">
        <f t="shared" si="153"/>
        <v>0</v>
      </c>
      <c r="H293" s="102">
        <f t="shared" si="154"/>
        <v>40102</v>
      </c>
      <c r="I293" s="102">
        <f t="shared" si="155"/>
        <v>182687</v>
      </c>
      <c r="J293" s="102">
        <f t="shared" si="156"/>
        <v>0</v>
      </c>
      <c r="K293" s="101">
        <v>40442.0</v>
      </c>
      <c r="L293" s="102">
        <f t="shared" si="157"/>
        <v>40442</v>
      </c>
      <c r="M293" s="102">
        <f t="shared" si="158"/>
        <v>40442</v>
      </c>
      <c r="N293" s="101">
        <v>51814.0</v>
      </c>
      <c r="O293" s="102">
        <f t="shared" si="159"/>
        <v>51814</v>
      </c>
      <c r="P293" s="102">
        <f t="shared" si="160"/>
        <v>51814</v>
      </c>
      <c r="Q293" s="101">
        <v>129602.0</v>
      </c>
      <c r="R293" s="102">
        <f t="shared" si="161"/>
        <v>89500</v>
      </c>
      <c r="S293" s="102">
        <f t="shared" si="162"/>
        <v>129602</v>
      </c>
      <c r="T293" s="102">
        <f t="shared" si="163"/>
        <v>0</v>
      </c>
      <c r="U293" s="101">
        <v>0.0</v>
      </c>
      <c r="V293" s="101">
        <v>252764.0</v>
      </c>
      <c r="W293" s="101">
        <v>0.0</v>
      </c>
      <c r="X293" s="102">
        <f>'Manufacturing &amp; Production'!K241</f>
        <v>6399</v>
      </c>
      <c r="Y293" s="102">
        <f>'Monthly Data'!P37</f>
        <v>21947</v>
      </c>
    </row>
    <row r="294">
      <c r="A294" s="99">
        <f t="shared" si="147"/>
        <v>44197</v>
      </c>
      <c r="B294" s="100">
        <f t="shared" si="148"/>
        <v>19</v>
      </c>
      <c r="C294" s="101">
        <f t="shared" si="149"/>
        <v>109273</v>
      </c>
      <c r="D294" s="101">
        <f t="shared" si="150"/>
        <v>242222</v>
      </c>
      <c r="E294" s="101">
        <f t="shared" si="151"/>
        <v>0</v>
      </c>
      <c r="F294" s="101">
        <f t="shared" si="152"/>
        <v>0</v>
      </c>
      <c r="G294" s="102">
        <f t="shared" si="153"/>
        <v>0</v>
      </c>
      <c r="H294" s="102">
        <f t="shared" si="154"/>
        <v>43600</v>
      </c>
      <c r="I294" s="102">
        <f t="shared" si="155"/>
        <v>198622</v>
      </c>
      <c r="J294" s="102">
        <f t="shared" si="156"/>
        <v>0</v>
      </c>
      <c r="K294" s="101">
        <v>85267.0</v>
      </c>
      <c r="L294" s="102">
        <f t="shared" si="157"/>
        <v>85267</v>
      </c>
      <c r="M294" s="102">
        <f t="shared" si="158"/>
        <v>85267</v>
      </c>
      <c r="N294" s="101">
        <v>25071.0</v>
      </c>
      <c r="O294" s="102">
        <f t="shared" si="159"/>
        <v>25071</v>
      </c>
      <c r="P294" s="102">
        <f t="shared" si="160"/>
        <v>25071</v>
      </c>
      <c r="Q294" s="101">
        <v>184182.0</v>
      </c>
      <c r="R294" s="102">
        <f t="shared" si="161"/>
        <v>140582</v>
      </c>
      <c r="S294" s="102">
        <f t="shared" si="162"/>
        <v>184182</v>
      </c>
      <c r="T294" s="102">
        <f t="shared" si="163"/>
        <v>0</v>
      </c>
      <c r="U294" s="101">
        <v>0.0</v>
      </c>
      <c r="V294" s="101">
        <v>320174.0</v>
      </c>
      <c r="W294" s="101">
        <v>0.0</v>
      </c>
      <c r="X294" s="102">
        <f>'Manufacturing &amp; Production'!K242</f>
        <v>2059</v>
      </c>
      <c r="Y294" s="102">
        <f>'Monthly Data'!P38</f>
        <v>33850</v>
      </c>
    </row>
    <row r="295">
      <c r="A295" s="99">
        <f t="shared" si="147"/>
        <v>44228</v>
      </c>
      <c r="B295" s="100">
        <f t="shared" si="148"/>
        <v>19</v>
      </c>
      <c r="C295" s="101">
        <f t="shared" si="149"/>
        <v>109273</v>
      </c>
      <c r="D295" s="101">
        <f t="shared" si="150"/>
        <v>242222</v>
      </c>
      <c r="E295" s="101">
        <f t="shared" si="151"/>
        <v>0</v>
      </c>
      <c r="F295" s="101">
        <f t="shared" si="152"/>
        <v>0</v>
      </c>
      <c r="G295" s="102">
        <f t="shared" si="153"/>
        <v>0</v>
      </c>
      <c r="H295" s="102">
        <f t="shared" si="154"/>
        <v>43600</v>
      </c>
      <c r="I295" s="102">
        <f t="shared" si="155"/>
        <v>198622</v>
      </c>
      <c r="J295" s="102">
        <f t="shared" si="156"/>
        <v>0</v>
      </c>
      <c r="K295" s="101">
        <v>87150.0</v>
      </c>
      <c r="L295" s="102">
        <f t="shared" si="157"/>
        <v>87150</v>
      </c>
      <c r="M295" s="102">
        <f t="shared" si="158"/>
        <v>87150</v>
      </c>
      <c r="N295" s="101">
        <v>30422.0</v>
      </c>
      <c r="O295" s="102">
        <f t="shared" si="159"/>
        <v>30422</v>
      </c>
      <c r="P295" s="102">
        <f t="shared" si="160"/>
        <v>30422</v>
      </c>
      <c r="Q295" s="101">
        <v>188063.0</v>
      </c>
      <c r="R295" s="102">
        <f t="shared" si="161"/>
        <v>144463</v>
      </c>
      <c r="S295" s="102">
        <f t="shared" si="162"/>
        <v>188063</v>
      </c>
      <c r="T295" s="102">
        <f t="shared" si="163"/>
        <v>0</v>
      </c>
      <c r="U295" s="101">
        <v>0.0</v>
      </c>
      <c r="V295" s="101">
        <v>327242.0</v>
      </c>
      <c r="W295" s="101">
        <v>0.0</v>
      </c>
      <c r="X295" s="102">
        <f>'Manufacturing &amp; Production'!K243</f>
        <v>2059</v>
      </c>
      <c r="Y295" s="102">
        <f>'Monthly Data'!P39</f>
        <v>34513</v>
      </c>
    </row>
    <row r="296">
      <c r="A296" s="99">
        <f t="shared" si="147"/>
        <v>44256</v>
      </c>
      <c r="B296" s="100">
        <f t="shared" si="148"/>
        <v>20</v>
      </c>
      <c r="C296" s="101">
        <f t="shared" si="149"/>
        <v>109273</v>
      </c>
      <c r="D296" s="101">
        <f t="shared" si="150"/>
        <v>254970</v>
      </c>
      <c r="E296" s="101">
        <f t="shared" si="151"/>
        <v>0</v>
      </c>
      <c r="F296" s="101">
        <f t="shared" si="152"/>
        <v>0</v>
      </c>
      <c r="G296" s="102">
        <f t="shared" si="153"/>
        <v>0</v>
      </c>
      <c r="H296" s="102">
        <f t="shared" si="154"/>
        <v>45895</v>
      </c>
      <c r="I296" s="102">
        <f t="shared" si="155"/>
        <v>209075</v>
      </c>
      <c r="J296" s="102">
        <f t="shared" si="156"/>
        <v>0</v>
      </c>
      <c r="K296" s="101">
        <v>87145.0</v>
      </c>
      <c r="L296" s="102">
        <f t="shared" si="157"/>
        <v>87145</v>
      </c>
      <c r="M296" s="102">
        <f t="shared" si="158"/>
        <v>87145</v>
      </c>
      <c r="N296" s="101">
        <v>35718.0</v>
      </c>
      <c r="O296" s="102">
        <f t="shared" si="159"/>
        <v>35718</v>
      </c>
      <c r="P296" s="102">
        <f t="shared" si="160"/>
        <v>35718</v>
      </c>
      <c r="Q296" s="101">
        <v>190280.0</v>
      </c>
      <c r="R296" s="102">
        <f t="shared" si="161"/>
        <v>144385</v>
      </c>
      <c r="S296" s="102">
        <f t="shared" si="162"/>
        <v>190280</v>
      </c>
      <c r="T296" s="102">
        <f t="shared" si="163"/>
        <v>0</v>
      </c>
      <c r="U296" s="101">
        <v>0.0</v>
      </c>
      <c r="V296" s="101">
        <v>327224.0</v>
      </c>
      <c r="W296" s="101">
        <v>0.0</v>
      </c>
      <c r="X296" s="102">
        <f>'Manufacturing &amp; Production'!K244</f>
        <v>12868</v>
      </c>
      <c r="Y296" s="102">
        <f>'Monthly Data'!P40</f>
        <v>35177</v>
      </c>
    </row>
    <row r="297">
      <c r="A297" s="99">
        <f t="shared" si="147"/>
        <v>44287</v>
      </c>
      <c r="B297" s="100">
        <f t="shared" si="148"/>
        <v>20</v>
      </c>
      <c r="C297" s="101">
        <f t="shared" si="149"/>
        <v>109273</v>
      </c>
      <c r="D297" s="101">
        <f t="shared" si="150"/>
        <v>254970</v>
      </c>
      <c r="E297" s="101">
        <f t="shared" si="151"/>
        <v>0</v>
      </c>
      <c r="F297" s="101">
        <f t="shared" si="152"/>
        <v>0</v>
      </c>
      <c r="G297" s="102">
        <f t="shared" si="153"/>
        <v>0</v>
      </c>
      <c r="H297" s="102">
        <f t="shared" si="154"/>
        <v>45895</v>
      </c>
      <c r="I297" s="102">
        <f t="shared" si="155"/>
        <v>209075</v>
      </c>
      <c r="J297" s="102">
        <f t="shared" si="156"/>
        <v>0</v>
      </c>
      <c r="K297" s="101">
        <v>85507.0</v>
      </c>
      <c r="L297" s="102">
        <f t="shared" si="157"/>
        <v>85507</v>
      </c>
      <c r="M297" s="102">
        <f t="shared" si="158"/>
        <v>85507</v>
      </c>
      <c r="N297" s="101">
        <v>40964.0</v>
      </c>
      <c r="O297" s="102">
        <f t="shared" si="159"/>
        <v>40964</v>
      </c>
      <c r="P297" s="102">
        <f t="shared" si="160"/>
        <v>40964</v>
      </c>
      <c r="Q297" s="101">
        <v>190574.0</v>
      </c>
      <c r="R297" s="102">
        <f t="shared" si="161"/>
        <v>144679</v>
      </c>
      <c r="S297" s="102">
        <f t="shared" si="162"/>
        <v>190574</v>
      </c>
      <c r="T297" s="102">
        <f t="shared" si="163"/>
        <v>0</v>
      </c>
      <c r="U297" s="101">
        <v>0.0</v>
      </c>
      <c r="V297" s="101">
        <v>321073.0</v>
      </c>
      <c r="W297" s="101">
        <v>0.0</v>
      </c>
      <c r="X297" s="102">
        <f>'Manufacturing &amp; Production'!K245</f>
        <v>2059</v>
      </c>
      <c r="Y297" s="102">
        <f>'Monthly Data'!P41</f>
        <v>35841</v>
      </c>
    </row>
    <row r="298">
      <c r="A298" s="99">
        <f t="shared" si="147"/>
        <v>44317</v>
      </c>
      <c r="B298" s="100">
        <f t="shared" si="148"/>
        <v>21</v>
      </c>
      <c r="C298" s="101">
        <f t="shared" si="149"/>
        <v>109273</v>
      </c>
      <c r="D298" s="101">
        <f t="shared" si="150"/>
        <v>267719</v>
      </c>
      <c r="E298" s="101">
        <f t="shared" si="151"/>
        <v>0</v>
      </c>
      <c r="F298" s="101">
        <f t="shared" si="152"/>
        <v>0</v>
      </c>
      <c r="G298" s="102">
        <f t="shared" si="153"/>
        <v>0</v>
      </c>
      <c r="H298" s="102">
        <f t="shared" si="154"/>
        <v>48189</v>
      </c>
      <c r="I298" s="102">
        <f t="shared" si="155"/>
        <v>219530</v>
      </c>
      <c r="J298" s="102">
        <f t="shared" si="156"/>
        <v>0</v>
      </c>
      <c r="K298" s="101">
        <v>82925.0</v>
      </c>
      <c r="L298" s="102">
        <f t="shared" si="157"/>
        <v>82925</v>
      </c>
      <c r="M298" s="102">
        <f t="shared" si="158"/>
        <v>82925</v>
      </c>
      <c r="N298" s="101">
        <v>46181.0</v>
      </c>
      <c r="O298" s="102">
        <f t="shared" si="159"/>
        <v>46181</v>
      </c>
      <c r="P298" s="102">
        <f t="shared" si="160"/>
        <v>46181</v>
      </c>
      <c r="Q298" s="101">
        <v>189204.0</v>
      </c>
      <c r="R298" s="102">
        <f t="shared" si="161"/>
        <v>141015</v>
      </c>
      <c r="S298" s="102">
        <f t="shared" si="162"/>
        <v>189204</v>
      </c>
      <c r="T298" s="102">
        <f t="shared" si="163"/>
        <v>0</v>
      </c>
      <c r="U298" s="101">
        <v>0.0</v>
      </c>
      <c r="V298" s="101">
        <v>311379.0</v>
      </c>
      <c r="W298" s="101">
        <v>0.0</v>
      </c>
      <c r="X298" s="102">
        <f>'Manufacturing &amp; Production'!K246</f>
        <v>2059</v>
      </c>
      <c r="Y298" s="102">
        <f>'Monthly Data'!P42</f>
        <v>36504</v>
      </c>
    </row>
    <row r="299">
      <c r="A299" s="99">
        <f t="shared" si="147"/>
        <v>44348</v>
      </c>
      <c r="B299" s="100">
        <f t="shared" si="148"/>
        <v>22</v>
      </c>
      <c r="C299" s="101">
        <f t="shared" si="149"/>
        <v>109273</v>
      </c>
      <c r="D299" s="101">
        <f t="shared" si="150"/>
        <v>280467</v>
      </c>
      <c r="E299" s="101">
        <f t="shared" si="151"/>
        <v>0</v>
      </c>
      <c r="F299" s="101">
        <f t="shared" si="152"/>
        <v>0</v>
      </c>
      <c r="G299" s="102">
        <f t="shared" si="153"/>
        <v>0</v>
      </c>
      <c r="H299" s="102">
        <f t="shared" si="154"/>
        <v>50484</v>
      </c>
      <c r="I299" s="102">
        <f t="shared" si="155"/>
        <v>229983</v>
      </c>
      <c r="J299" s="102">
        <f t="shared" si="156"/>
        <v>0</v>
      </c>
      <c r="K299" s="101">
        <v>80344.0</v>
      </c>
      <c r="L299" s="102">
        <f t="shared" si="157"/>
        <v>80344</v>
      </c>
      <c r="M299" s="102">
        <f t="shared" si="158"/>
        <v>80344</v>
      </c>
      <c r="N299" s="101">
        <v>51399.0</v>
      </c>
      <c r="O299" s="102">
        <f t="shared" si="159"/>
        <v>51399</v>
      </c>
      <c r="P299" s="102">
        <f t="shared" si="160"/>
        <v>51399</v>
      </c>
      <c r="Q299" s="101">
        <v>186872.0</v>
      </c>
      <c r="R299" s="102">
        <f t="shared" si="161"/>
        <v>136388</v>
      </c>
      <c r="S299" s="102">
        <f t="shared" si="162"/>
        <v>186872</v>
      </c>
      <c r="T299" s="102">
        <f t="shared" si="163"/>
        <v>0</v>
      </c>
      <c r="U299" s="101">
        <v>0.0</v>
      </c>
      <c r="V299" s="101">
        <v>301685.0</v>
      </c>
      <c r="W299" s="101">
        <v>0.0</v>
      </c>
      <c r="X299" s="102">
        <f>'Manufacturing &amp; Production'!K247</f>
        <v>12868</v>
      </c>
      <c r="Y299" s="102">
        <f>'Monthly Data'!P43</f>
        <v>37168</v>
      </c>
    </row>
    <row r="300">
      <c r="A300" s="99">
        <f t="shared" si="147"/>
        <v>44378</v>
      </c>
      <c r="B300" s="100">
        <f t="shared" si="148"/>
        <v>22</v>
      </c>
      <c r="C300" s="101">
        <f t="shared" si="149"/>
        <v>109273</v>
      </c>
      <c r="D300" s="101">
        <f t="shared" si="150"/>
        <v>280467</v>
      </c>
      <c r="E300" s="101">
        <f t="shared" si="151"/>
        <v>0</v>
      </c>
      <c r="F300" s="101">
        <f t="shared" si="152"/>
        <v>0</v>
      </c>
      <c r="G300" s="102">
        <f t="shared" si="153"/>
        <v>0</v>
      </c>
      <c r="H300" s="102">
        <f t="shared" si="154"/>
        <v>50484</v>
      </c>
      <c r="I300" s="102">
        <f t="shared" si="155"/>
        <v>229983</v>
      </c>
      <c r="J300" s="102">
        <f t="shared" si="156"/>
        <v>0</v>
      </c>
      <c r="K300" s="101">
        <v>78705.0</v>
      </c>
      <c r="L300" s="102">
        <f t="shared" si="157"/>
        <v>78705</v>
      </c>
      <c r="M300" s="102">
        <f t="shared" si="158"/>
        <v>78705</v>
      </c>
      <c r="N300" s="101">
        <v>56645.0</v>
      </c>
      <c r="O300" s="102">
        <f t="shared" si="159"/>
        <v>56645</v>
      </c>
      <c r="P300" s="102">
        <f t="shared" si="160"/>
        <v>56645</v>
      </c>
      <c r="Q300" s="101">
        <v>184541.0</v>
      </c>
      <c r="R300" s="102">
        <f t="shared" si="161"/>
        <v>134057</v>
      </c>
      <c r="S300" s="102">
        <f t="shared" si="162"/>
        <v>184541</v>
      </c>
      <c r="T300" s="102">
        <f t="shared" si="163"/>
        <v>0</v>
      </c>
      <c r="U300" s="101">
        <v>0.0</v>
      </c>
      <c r="V300" s="101">
        <v>295534.0</v>
      </c>
      <c r="W300" s="101">
        <v>0.0</v>
      </c>
      <c r="X300" s="102">
        <f>'Manufacturing &amp; Production'!K248</f>
        <v>2059</v>
      </c>
      <c r="Y300" s="102">
        <f>'Monthly Data'!P44</f>
        <v>37832</v>
      </c>
    </row>
    <row r="301">
      <c r="A301" s="99">
        <f t="shared" si="147"/>
        <v>44409</v>
      </c>
      <c r="B301" s="100">
        <f t="shared" si="148"/>
        <v>23</v>
      </c>
      <c r="C301" s="101">
        <f t="shared" si="149"/>
        <v>109273</v>
      </c>
      <c r="D301" s="101">
        <f t="shared" si="150"/>
        <v>293216</v>
      </c>
      <c r="E301" s="101">
        <f t="shared" si="151"/>
        <v>0</v>
      </c>
      <c r="F301" s="101">
        <f t="shared" si="152"/>
        <v>0</v>
      </c>
      <c r="G301" s="102">
        <f t="shared" si="153"/>
        <v>0</v>
      </c>
      <c r="H301" s="102">
        <f t="shared" si="154"/>
        <v>52779</v>
      </c>
      <c r="I301" s="102">
        <f t="shared" si="155"/>
        <v>240437</v>
      </c>
      <c r="J301" s="102">
        <f t="shared" si="156"/>
        <v>0</v>
      </c>
      <c r="K301" s="101">
        <v>78701.0</v>
      </c>
      <c r="L301" s="102">
        <f t="shared" si="157"/>
        <v>78701</v>
      </c>
      <c r="M301" s="102">
        <f t="shared" si="158"/>
        <v>78701</v>
      </c>
      <c r="N301" s="101">
        <v>61940.0</v>
      </c>
      <c r="O301" s="102">
        <f t="shared" si="159"/>
        <v>61940</v>
      </c>
      <c r="P301" s="102">
        <f t="shared" si="160"/>
        <v>61940</v>
      </c>
      <c r="Q301" s="101">
        <v>183171.0</v>
      </c>
      <c r="R301" s="102">
        <f t="shared" si="161"/>
        <v>130392</v>
      </c>
      <c r="S301" s="102">
        <f t="shared" si="162"/>
        <v>183171</v>
      </c>
      <c r="T301" s="102">
        <f t="shared" si="163"/>
        <v>0</v>
      </c>
      <c r="U301" s="101">
        <v>0.0</v>
      </c>
      <c r="V301" s="101">
        <v>295516.0</v>
      </c>
      <c r="W301" s="101">
        <v>0.0</v>
      </c>
      <c r="X301" s="102">
        <f>'Manufacturing &amp; Production'!K249</f>
        <v>2059</v>
      </c>
      <c r="Y301" s="102">
        <f>'Monthly Data'!P45</f>
        <v>38496</v>
      </c>
    </row>
    <row r="302">
      <c r="A302" s="99">
        <f t="shared" si="147"/>
        <v>44440</v>
      </c>
      <c r="B302" s="100">
        <f t="shared" si="148"/>
        <v>23</v>
      </c>
      <c r="C302" s="101">
        <f t="shared" si="149"/>
        <v>109273</v>
      </c>
      <c r="D302" s="101">
        <f t="shared" si="150"/>
        <v>293216</v>
      </c>
      <c r="E302" s="101">
        <f t="shared" si="151"/>
        <v>0</v>
      </c>
      <c r="F302" s="101">
        <f t="shared" si="152"/>
        <v>0</v>
      </c>
      <c r="G302" s="102">
        <f t="shared" si="153"/>
        <v>0</v>
      </c>
      <c r="H302" s="102">
        <f t="shared" si="154"/>
        <v>52779</v>
      </c>
      <c r="I302" s="102">
        <f t="shared" si="155"/>
        <v>240437</v>
      </c>
      <c r="J302" s="102">
        <f t="shared" si="156"/>
        <v>0</v>
      </c>
      <c r="K302" s="101">
        <v>80583.0</v>
      </c>
      <c r="L302" s="102">
        <f t="shared" si="157"/>
        <v>80583</v>
      </c>
      <c r="M302" s="102">
        <f t="shared" si="158"/>
        <v>80583</v>
      </c>
      <c r="N302" s="101">
        <v>67292.0</v>
      </c>
      <c r="O302" s="102">
        <f t="shared" si="159"/>
        <v>67292</v>
      </c>
      <c r="P302" s="102">
        <f t="shared" si="160"/>
        <v>67292</v>
      </c>
      <c r="Q302" s="101">
        <v>183465.0</v>
      </c>
      <c r="R302" s="102">
        <f t="shared" si="161"/>
        <v>130686</v>
      </c>
      <c r="S302" s="102">
        <f t="shared" si="162"/>
        <v>183465</v>
      </c>
      <c r="T302" s="102">
        <f t="shared" si="163"/>
        <v>0</v>
      </c>
      <c r="U302" s="101">
        <v>0.0</v>
      </c>
      <c r="V302" s="101">
        <v>302584.0</v>
      </c>
      <c r="W302" s="101">
        <v>0.0</v>
      </c>
      <c r="X302" s="102">
        <f>'Manufacturing &amp; Production'!K250</f>
        <v>12868</v>
      </c>
      <c r="Y302" s="102">
        <f>'Monthly Data'!P46</f>
        <v>39159</v>
      </c>
    </row>
    <row r="303">
      <c r="A303" s="99">
        <f t="shared" si="147"/>
        <v>44470</v>
      </c>
      <c r="B303" s="100">
        <f t="shared" si="148"/>
        <v>24</v>
      </c>
      <c r="C303" s="101">
        <f t="shared" si="149"/>
        <v>109273</v>
      </c>
      <c r="D303" s="101">
        <f t="shared" si="150"/>
        <v>305964</v>
      </c>
      <c r="E303" s="101">
        <f t="shared" si="151"/>
        <v>0</v>
      </c>
      <c r="F303" s="101">
        <f t="shared" si="152"/>
        <v>0</v>
      </c>
      <c r="G303" s="102">
        <f t="shared" si="153"/>
        <v>0</v>
      </c>
      <c r="H303" s="102">
        <f t="shared" si="154"/>
        <v>55074</v>
      </c>
      <c r="I303" s="102">
        <f t="shared" si="155"/>
        <v>250890</v>
      </c>
      <c r="J303" s="102">
        <f t="shared" si="156"/>
        <v>0</v>
      </c>
      <c r="K303" s="101">
        <v>84099.0</v>
      </c>
      <c r="L303" s="102">
        <f t="shared" si="157"/>
        <v>84099</v>
      </c>
      <c r="M303" s="102">
        <f t="shared" si="158"/>
        <v>84099</v>
      </c>
      <c r="N303" s="101">
        <v>72693.0</v>
      </c>
      <c r="O303" s="102">
        <f t="shared" si="159"/>
        <v>72693</v>
      </c>
      <c r="P303" s="102">
        <f t="shared" si="160"/>
        <v>72693</v>
      </c>
      <c r="Q303" s="101">
        <v>185681.0</v>
      </c>
      <c r="R303" s="102">
        <f t="shared" si="161"/>
        <v>130607</v>
      </c>
      <c r="S303" s="102">
        <f t="shared" si="162"/>
        <v>185681</v>
      </c>
      <c r="T303" s="102">
        <f t="shared" si="163"/>
        <v>0</v>
      </c>
      <c r="U303" s="101">
        <v>0.0</v>
      </c>
      <c r="V303" s="101">
        <v>315785.0</v>
      </c>
      <c r="W303" s="101">
        <v>0.0</v>
      </c>
      <c r="X303" s="102">
        <f>'Manufacturing &amp; Production'!K251</f>
        <v>2059</v>
      </c>
      <c r="Y303" s="102">
        <f>'Monthly Data'!P47</f>
        <v>39823</v>
      </c>
    </row>
    <row r="304">
      <c r="A304" s="99">
        <f t="shared" si="147"/>
        <v>44501</v>
      </c>
      <c r="B304" s="100">
        <f t="shared" si="148"/>
        <v>24</v>
      </c>
      <c r="C304" s="101">
        <f t="shared" si="149"/>
        <v>109273</v>
      </c>
      <c r="D304" s="101">
        <f t="shared" si="150"/>
        <v>305964</v>
      </c>
      <c r="E304" s="101">
        <f t="shared" si="151"/>
        <v>0</v>
      </c>
      <c r="F304" s="101">
        <f t="shared" si="152"/>
        <v>0</v>
      </c>
      <c r="G304" s="102">
        <f t="shared" si="153"/>
        <v>0</v>
      </c>
      <c r="H304" s="102">
        <f t="shared" si="154"/>
        <v>55074</v>
      </c>
      <c r="I304" s="102">
        <f t="shared" si="155"/>
        <v>250890</v>
      </c>
      <c r="J304" s="102">
        <f t="shared" si="156"/>
        <v>0</v>
      </c>
      <c r="K304" s="101">
        <v>88558.0</v>
      </c>
      <c r="L304" s="102">
        <f t="shared" si="157"/>
        <v>88558</v>
      </c>
      <c r="M304" s="102">
        <f t="shared" si="158"/>
        <v>88558</v>
      </c>
      <c r="N304" s="101">
        <v>78123.0</v>
      </c>
      <c r="O304" s="102">
        <f t="shared" si="159"/>
        <v>78123</v>
      </c>
      <c r="P304" s="102">
        <f t="shared" si="160"/>
        <v>78123</v>
      </c>
      <c r="Q304" s="101">
        <v>189562.0</v>
      </c>
      <c r="R304" s="102">
        <f t="shared" si="161"/>
        <v>134488</v>
      </c>
      <c r="S304" s="102">
        <f t="shared" si="162"/>
        <v>189562</v>
      </c>
      <c r="T304" s="102">
        <f t="shared" si="163"/>
        <v>0</v>
      </c>
      <c r="U304" s="101">
        <v>0.0</v>
      </c>
      <c r="V304" s="101">
        <v>332529.0</v>
      </c>
      <c r="W304" s="101">
        <v>0.0</v>
      </c>
      <c r="X304" s="102">
        <f>'Manufacturing &amp; Production'!K252</f>
        <v>2059</v>
      </c>
      <c r="Y304" s="102">
        <f>'Monthly Data'!P48</f>
        <v>40487</v>
      </c>
    </row>
    <row r="305">
      <c r="A305" s="99">
        <f t="shared" si="147"/>
        <v>44531</v>
      </c>
      <c r="B305" s="100">
        <f t="shared" si="148"/>
        <v>25</v>
      </c>
      <c r="C305" s="101">
        <f t="shared" si="149"/>
        <v>109273</v>
      </c>
      <c r="D305" s="101">
        <f t="shared" si="150"/>
        <v>318713</v>
      </c>
      <c r="E305" s="101">
        <f t="shared" si="151"/>
        <v>0</v>
      </c>
      <c r="F305" s="101">
        <f t="shared" si="152"/>
        <v>0</v>
      </c>
      <c r="G305" s="102">
        <f t="shared" si="153"/>
        <v>0</v>
      </c>
      <c r="H305" s="102">
        <f t="shared" si="154"/>
        <v>57368</v>
      </c>
      <c r="I305" s="102">
        <f t="shared" si="155"/>
        <v>261345</v>
      </c>
      <c r="J305" s="102">
        <f t="shared" si="156"/>
        <v>0</v>
      </c>
      <c r="K305" s="101">
        <v>93016.0</v>
      </c>
      <c r="L305" s="102">
        <f t="shared" si="157"/>
        <v>93016</v>
      </c>
      <c r="M305" s="102">
        <f t="shared" si="158"/>
        <v>93016</v>
      </c>
      <c r="N305" s="101">
        <v>83552.0</v>
      </c>
      <c r="O305" s="102">
        <f t="shared" si="159"/>
        <v>83552</v>
      </c>
      <c r="P305" s="102">
        <f t="shared" si="160"/>
        <v>83552</v>
      </c>
      <c r="Q305" s="101">
        <v>194405.0</v>
      </c>
      <c r="R305" s="102">
        <f t="shared" si="161"/>
        <v>137037</v>
      </c>
      <c r="S305" s="102">
        <f t="shared" si="162"/>
        <v>194405</v>
      </c>
      <c r="T305" s="102">
        <f t="shared" si="163"/>
        <v>0</v>
      </c>
      <c r="U305" s="101">
        <v>0.0</v>
      </c>
      <c r="V305" s="101">
        <v>349275.0</v>
      </c>
      <c r="W305" s="101">
        <v>0.0</v>
      </c>
      <c r="X305" s="102">
        <f>'Manufacturing &amp; Production'!K253</f>
        <v>14924</v>
      </c>
      <c r="Y305" s="102">
        <f>'Monthly Data'!P49</f>
        <v>41150</v>
      </c>
    </row>
    <row r="306">
      <c r="A306" s="99">
        <f t="shared" si="147"/>
        <v>44562</v>
      </c>
      <c r="B306" s="100">
        <f t="shared" si="148"/>
        <v>29</v>
      </c>
      <c r="C306" s="101">
        <f t="shared" si="149"/>
        <v>112551</v>
      </c>
      <c r="D306" s="101">
        <f t="shared" si="150"/>
        <v>380798</v>
      </c>
      <c r="E306" s="101">
        <f t="shared" si="151"/>
        <v>0</v>
      </c>
      <c r="F306" s="101">
        <f t="shared" si="152"/>
        <v>19040</v>
      </c>
      <c r="G306" s="102">
        <f t="shared" si="153"/>
        <v>38080</v>
      </c>
      <c r="H306" s="102">
        <f t="shared" si="154"/>
        <v>68544</v>
      </c>
      <c r="I306" s="102">
        <f t="shared" si="155"/>
        <v>193902</v>
      </c>
      <c r="J306" s="102">
        <f t="shared" si="156"/>
        <v>61232</v>
      </c>
      <c r="K306" s="101">
        <v>185364.0</v>
      </c>
      <c r="L306" s="102">
        <f t="shared" si="157"/>
        <v>166324</v>
      </c>
      <c r="M306" s="102">
        <f t="shared" si="158"/>
        <v>185364</v>
      </c>
      <c r="N306" s="101">
        <v>81903.0</v>
      </c>
      <c r="O306" s="102">
        <f t="shared" si="159"/>
        <v>43823</v>
      </c>
      <c r="P306" s="102">
        <f t="shared" si="160"/>
        <v>81903</v>
      </c>
      <c r="Q306" s="101">
        <v>409294.0</v>
      </c>
      <c r="R306" s="102">
        <f t="shared" si="161"/>
        <v>340750</v>
      </c>
      <c r="S306" s="102">
        <f t="shared" si="162"/>
        <v>409294</v>
      </c>
      <c r="T306" s="102">
        <f t="shared" si="163"/>
        <v>0</v>
      </c>
      <c r="U306" s="101">
        <v>0.0</v>
      </c>
      <c r="V306" s="101">
        <v>1074268.0</v>
      </c>
      <c r="W306" s="101">
        <v>189577.0</v>
      </c>
      <c r="X306" s="102">
        <f>'Manufacturing &amp; Production'!K254</f>
        <v>2941</v>
      </c>
      <c r="Y306" s="102">
        <f>'Monthly Data'!P50</f>
        <v>56416</v>
      </c>
    </row>
    <row r="307">
      <c r="A307" s="99">
        <f t="shared" si="147"/>
        <v>44593</v>
      </c>
      <c r="B307" s="100">
        <f t="shared" si="148"/>
        <v>33</v>
      </c>
      <c r="C307" s="101">
        <f t="shared" si="149"/>
        <v>112551</v>
      </c>
      <c r="D307" s="101">
        <f t="shared" si="150"/>
        <v>433321</v>
      </c>
      <c r="E307" s="101">
        <f t="shared" si="151"/>
        <v>0</v>
      </c>
      <c r="F307" s="101">
        <f t="shared" si="152"/>
        <v>21666</v>
      </c>
      <c r="G307" s="102">
        <f t="shared" si="153"/>
        <v>43332</v>
      </c>
      <c r="H307" s="102">
        <f t="shared" si="154"/>
        <v>77998</v>
      </c>
      <c r="I307" s="102">
        <f t="shared" si="155"/>
        <v>220647</v>
      </c>
      <c r="J307" s="102">
        <f t="shared" si="156"/>
        <v>69678</v>
      </c>
      <c r="K307" s="101">
        <v>189456.0</v>
      </c>
      <c r="L307" s="102">
        <f t="shared" si="157"/>
        <v>167790</v>
      </c>
      <c r="M307" s="102">
        <f t="shared" si="158"/>
        <v>189456</v>
      </c>
      <c r="N307" s="101">
        <v>97706.0</v>
      </c>
      <c r="O307" s="102">
        <f t="shared" si="159"/>
        <v>54374</v>
      </c>
      <c r="P307" s="102">
        <f t="shared" si="160"/>
        <v>97706</v>
      </c>
      <c r="Q307" s="101">
        <v>417918.0</v>
      </c>
      <c r="R307" s="102">
        <f t="shared" si="161"/>
        <v>339920</v>
      </c>
      <c r="S307" s="102">
        <f t="shared" si="162"/>
        <v>417918</v>
      </c>
      <c r="T307" s="102">
        <f t="shared" si="163"/>
        <v>0</v>
      </c>
      <c r="U307" s="101">
        <v>0.0</v>
      </c>
      <c r="V307" s="101">
        <v>1097982.0</v>
      </c>
      <c r="W307" s="101">
        <v>193762.0</v>
      </c>
      <c r="X307" s="102">
        <f>'Manufacturing &amp; Production'!K255</f>
        <v>2941</v>
      </c>
      <c r="Y307" s="102">
        <f>'Monthly Data'!P51</f>
        <v>57522</v>
      </c>
    </row>
    <row r="308">
      <c r="A308" s="99">
        <f t="shared" si="147"/>
        <v>44621</v>
      </c>
      <c r="B308" s="100">
        <f t="shared" si="148"/>
        <v>38</v>
      </c>
      <c r="C308" s="101">
        <f t="shared" si="149"/>
        <v>112551</v>
      </c>
      <c r="D308" s="101">
        <f t="shared" si="150"/>
        <v>498976</v>
      </c>
      <c r="E308" s="101">
        <f t="shared" si="151"/>
        <v>0</v>
      </c>
      <c r="F308" s="101">
        <f t="shared" si="152"/>
        <v>24949</v>
      </c>
      <c r="G308" s="102">
        <f t="shared" si="153"/>
        <v>49898</v>
      </c>
      <c r="H308" s="102">
        <f t="shared" si="154"/>
        <v>89816</v>
      </c>
      <c r="I308" s="102">
        <f t="shared" si="155"/>
        <v>254078</v>
      </c>
      <c r="J308" s="102">
        <f t="shared" si="156"/>
        <v>80235</v>
      </c>
      <c r="K308" s="101">
        <v>189446.0</v>
      </c>
      <c r="L308" s="102">
        <f t="shared" si="157"/>
        <v>164497</v>
      </c>
      <c r="M308" s="102">
        <f t="shared" si="158"/>
        <v>189446</v>
      </c>
      <c r="N308" s="101">
        <v>113149.0</v>
      </c>
      <c r="O308" s="102">
        <f t="shared" si="159"/>
        <v>63251</v>
      </c>
      <c r="P308" s="102">
        <f t="shared" si="160"/>
        <v>113149</v>
      </c>
      <c r="Q308" s="101">
        <v>422844.0</v>
      </c>
      <c r="R308" s="102">
        <f t="shared" si="161"/>
        <v>333028</v>
      </c>
      <c r="S308" s="102">
        <f t="shared" si="162"/>
        <v>422844</v>
      </c>
      <c r="T308" s="102">
        <f t="shared" si="163"/>
        <v>0</v>
      </c>
      <c r="U308" s="101">
        <v>0.0</v>
      </c>
      <c r="V308" s="101">
        <v>1097923.0</v>
      </c>
      <c r="W308" s="101">
        <v>193751.0</v>
      </c>
      <c r="X308" s="102">
        <f>'Manufacturing &amp; Production'!K256</f>
        <v>18382</v>
      </c>
      <c r="Y308" s="102">
        <f>'Monthly Data'!P52</f>
        <v>58628</v>
      </c>
    </row>
    <row r="309">
      <c r="A309" s="99">
        <f t="shared" si="147"/>
        <v>44652</v>
      </c>
      <c r="B309" s="100">
        <f t="shared" si="148"/>
        <v>42</v>
      </c>
      <c r="C309" s="101">
        <f t="shared" si="149"/>
        <v>112551</v>
      </c>
      <c r="D309" s="101">
        <f t="shared" si="150"/>
        <v>551500</v>
      </c>
      <c r="E309" s="101">
        <f t="shared" si="151"/>
        <v>0</v>
      </c>
      <c r="F309" s="101">
        <f t="shared" si="152"/>
        <v>27575</v>
      </c>
      <c r="G309" s="102">
        <f t="shared" si="153"/>
        <v>55150</v>
      </c>
      <c r="H309" s="102">
        <f t="shared" si="154"/>
        <v>99270</v>
      </c>
      <c r="I309" s="102">
        <f t="shared" si="155"/>
        <v>280824</v>
      </c>
      <c r="J309" s="102">
        <f t="shared" si="156"/>
        <v>88681</v>
      </c>
      <c r="K309" s="101">
        <v>185884.0</v>
      </c>
      <c r="L309" s="102">
        <f t="shared" si="157"/>
        <v>158309</v>
      </c>
      <c r="M309" s="102">
        <f t="shared" si="158"/>
        <v>185884</v>
      </c>
      <c r="N309" s="101">
        <v>128280.0</v>
      </c>
      <c r="O309" s="102">
        <f t="shared" si="159"/>
        <v>73130</v>
      </c>
      <c r="P309" s="102">
        <f t="shared" si="160"/>
        <v>128280</v>
      </c>
      <c r="Q309" s="101">
        <v>423498.0</v>
      </c>
      <c r="R309" s="102">
        <f t="shared" si="161"/>
        <v>324228</v>
      </c>
      <c r="S309" s="102">
        <f t="shared" si="162"/>
        <v>423498</v>
      </c>
      <c r="T309" s="102">
        <f t="shared" si="163"/>
        <v>0</v>
      </c>
      <c r="U309" s="101">
        <v>0.0</v>
      </c>
      <c r="V309" s="101">
        <v>1077284.0</v>
      </c>
      <c r="W309" s="101">
        <v>190109.0</v>
      </c>
      <c r="X309" s="102">
        <f>'Manufacturing &amp; Production'!K257</f>
        <v>2941</v>
      </c>
      <c r="Y309" s="102">
        <f>'Monthly Data'!P53</f>
        <v>59735</v>
      </c>
    </row>
    <row r="310">
      <c r="A310" s="99">
        <f t="shared" si="147"/>
        <v>44682</v>
      </c>
      <c r="B310" s="100">
        <f t="shared" si="148"/>
        <v>46</v>
      </c>
      <c r="C310" s="101">
        <f t="shared" si="149"/>
        <v>112551</v>
      </c>
      <c r="D310" s="101">
        <f t="shared" si="150"/>
        <v>604024</v>
      </c>
      <c r="E310" s="101">
        <f t="shared" si="151"/>
        <v>0</v>
      </c>
      <c r="F310" s="101">
        <f t="shared" si="152"/>
        <v>30201</v>
      </c>
      <c r="G310" s="102">
        <f t="shared" si="153"/>
        <v>60402</v>
      </c>
      <c r="H310" s="102">
        <f t="shared" si="154"/>
        <v>108724</v>
      </c>
      <c r="I310" s="102">
        <f t="shared" si="155"/>
        <v>307570</v>
      </c>
      <c r="J310" s="102">
        <f t="shared" si="156"/>
        <v>97127</v>
      </c>
      <c r="K310" s="101">
        <v>180272.0</v>
      </c>
      <c r="L310" s="102">
        <f t="shared" si="157"/>
        <v>150071</v>
      </c>
      <c r="M310" s="102">
        <f t="shared" si="158"/>
        <v>180272</v>
      </c>
      <c r="N310" s="101">
        <v>143232.0</v>
      </c>
      <c r="O310" s="102">
        <f t="shared" si="159"/>
        <v>82830</v>
      </c>
      <c r="P310" s="102">
        <f t="shared" si="160"/>
        <v>143232</v>
      </c>
      <c r="Q310" s="101">
        <v>420453.0</v>
      </c>
      <c r="R310" s="102">
        <f t="shared" si="161"/>
        <v>311729</v>
      </c>
      <c r="S310" s="102">
        <f t="shared" si="162"/>
        <v>420453</v>
      </c>
      <c r="T310" s="102">
        <f t="shared" si="163"/>
        <v>0</v>
      </c>
      <c r="U310" s="101">
        <v>0.0</v>
      </c>
      <c r="V310" s="101">
        <v>1044759.0</v>
      </c>
      <c r="W310" s="101">
        <v>184369.0</v>
      </c>
      <c r="X310" s="102">
        <f>'Manufacturing &amp; Production'!K258</f>
        <v>2941</v>
      </c>
      <c r="Y310" s="102">
        <f>'Monthly Data'!P54</f>
        <v>60841</v>
      </c>
    </row>
    <row r="311">
      <c r="A311" s="99">
        <f t="shared" si="147"/>
        <v>44713</v>
      </c>
      <c r="B311" s="100">
        <f t="shared" si="148"/>
        <v>50</v>
      </c>
      <c r="C311" s="101">
        <f t="shared" si="149"/>
        <v>112551</v>
      </c>
      <c r="D311" s="101">
        <f t="shared" si="150"/>
        <v>656548</v>
      </c>
      <c r="E311" s="101">
        <f t="shared" si="151"/>
        <v>0</v>
      </c>
      <c r="F311" s="101">
        <f t="shared" si="152"/>
        <v>32827</v>
      </c>
      <c r="G311" s="102">
        <f t="shared" si="153"/>
        <v>65655</v>
      </c>
      <c r="H311" s="102">
        <f t="shared" si="154"/>
        <v>118179</v>
      </c>
      <c r="I311" s="102">
        <f t="shared" si="155"/>
        <v>334314</v>
      </c>
      <c r="J311" s="102">
        <f t="shared" si="156"/>
        <v>105573</v>
      </c>
      <c r="K311" s="101">
        <v>174660.0</v>
      </c>
      <c r="L311" s="102">
        <f t="shared" si="157"/>
        <v>141833</v>
      </c>
      <c r="M311" s="102">
        <f t="shared" si="158"/>
        <v>174660</v>
      </c>
      <c r="N311" s="101">
        <v>158184.0</v>
      </c>
      <c r="O311" s="102">
        <f t="shared" si="159"/>
        <v>92529</v>
      </c>
      <c r="P311" s="102">
        <f t="shared" si="160"/>
        <v>158184</v>
      </c>
      <c r="Q311" s="101">
        <v>415272.0</v>
      </c>
      <c r="R311" s="102">
        <f t="shared" si="161"/>
        <v>297093</v>
      </c>
      <c r="S311" s="102">
        <f t="shared" si="162"/>
        <v>415272</v>
      </c>
      <c r="T311" s="102">
        <f t="shared" si="163"/>
        <v>0</v>
      </c>
      <c r="U311" s="101">
        <v>0.0</v>
      </c>
      <c r="V311" s="101">
        <v>1012234.0</v>
      </c>
      <c r="W311" s="101">
        <v>178629.0</v>
      </c>
      <c r="X311" s="102">
        <f>'Manufacturing &amp; Production'!K259</f>
        <v>18382</v>
      </c>
      <c r="Y311" s="102">
        <f>'Monthly Data'!P55</f>
        <v>61947</v>
      </c>
    </row>
    <row r="312">
      <c r="A312" s="99">
        <f t="shared" si="147"/>
        <v>44743</v>
      </c>
      <c r="B312" s="100">
        <f t="shared" si="148"/>
        <v>54</v>
      </c>
      <c r="C312" s="101">
        <f t="shared" si="149"/>
        <v>112551</v>
      </c>
      <c r="D312" s="101">
        <f t="shared" si="150"/>
        <v>709071</v>
      </c>
      <c r="E312" s="101">
        <f t="shared" si="151"/>
        <v>0</v>
      </c>
      <c r="F312" s="101">
        <f t="shared" si="152"/>
        <v>35454</v>
      </c>
      <c r="G312" s="102">
        <f t="shared" si="153"/>
        <v>70907</v>
      </c>
      <c r="H312" s="102">
        <f t="shared" si="154"/>
        <v>127633</v>
      </c>
      <c r="I312" s="102">
        <f t="shared" si="155"/>
        <v>361059</v>
      </c>
      <c r="J312" s="102">
        <f t="shared" si="156"/>
        <v>114018</v>
      </c>
      <c r="K312" s="101">
        <v>171099.0</v>
      </c>
      <c r="L312" s="102">
        <f t="shared" si="157"/>
        <v>135645</v>
      </c>
      <c r="M312" s="102">
        <f t="shared" si="158"/>
        <v>171099</v>
      </c>
      <c r="N312" s="101">
        <v>173315.0</v>
      </c>
      <c r="O312" s="102">
        <f t="shared" si="159"/>
        <v>102408</v>
      </c>
      <c r="P312" s="102">
        <f t="shared" si="160"/>
        <v>173315</v>
      </c>
      <c r="Q312" s="101">
        <v>410091.0</v>
      </c>
      <c r="R312" s="102">
        <f t="shared" si="161"/>
        <v>282458</v>
      </c>
      <c r="S312" s="102">
        <f t="shared" si="162"/>
        <v>410091</v>
      </c>
      <c r="T312" s="102">
        <f t="shared" si="163"/>
        <v>0</v>
      </c>
      <c r="U312" s="101">
        <v>0.0</v>
      </c>
      <c r="V312" s="101">
        <v>991595.0</v>
      </c>
      <c r="W312" s="101">
        <v>174987.0</v>
      </c>
      <c r="X312" s="102">
        <f>'Manufacturing &amp; Production'!K260</f>
        <v>2941</v>
      </c>
      <c r="Y312" s="102">
        <f>'Monthly Data'!P56</f>
        <v>63053</v>
      </c>
    </row>
    <row r="313">
      <c r="A313" s="99">
        <f t="shared" si="147"/>
        <v>44774</v>
      </c>
      <c r="B313" s="100">
        <f t="shared" si="148"/>
        <v>58</v>
      </c>
      <c r="C313" s="101">
        <f t="shared" si="149"/>
        <v>112551</v>
      </c>
      <c r="D313" s="101">
        <f t="shared" si="150"/>
        <v>761595</v>
      </c>
      <c r="E313" s="101">
        <f t="shared" si="151"/>
        <v>0</v>
      </c>
      <c r="F313" s="101">
        <f t="shared" si="152"/>
        <v>38080</v>
      </c>
      <c r="G313" s="102">
        <f t="shared" si="153"/>
        <v>76160</v>
      </c>
      <c r="H313" s="102">
        <f t="shared" si="154"/>
        <v>137087</v>
      </c>
      <c r="I313" s="102">
        <f t="shared" si="155"/>
        <v>387804</v>
      </c>
      <c r="J313" s="102">
        <f t="shared" si="156"/>
        <v>122464</v>
      </c>
      <c r="K313" s="101">
        <v>171088.0</v>
      </c>
      <c r="L313" s="102">
        <f t="shared" si="157"/>
        <v>133008</v>
      </c>
      <c r="M313" s="102">
        <f t="shared" si="158"/>
        <v>171088</v>
      </c>
      <c r="N313" s="101">
        <v>188758.0</v>
      </c>
      <c r="O313" s="102">
        <f t="shared" si="159"/>
        <v>112598</v>
      </c>
      <c r="P313" s="102">
        <f t="shared" si="160"/>
        <v>188758</v>
      </c>
      <c r="Q313" s="101">
        <v>407046.0</v>
      </c>
      <c r="R313" s="102">
        <f t="shared" si="161"/>
        <v>269959</v>
      </c>
      <c r="S313" s="102">
        <f t="shared" si="162"/>
        <v>407046</v>
      </c>
      <c r="T313" s="102">
        <f t="shared" si="163"/>
        <v>0</v>
      </c>
      <c r="U313" s="101">
        <v>0.0</v>
      </c>
      <c r="V313" s="101">
        <v>991535.0</v>
      </c>
      <c r="W313" s="101">
        <v>174977.0</v>
      </c>
      <c r="X313" s="102">
        <f>'Manufacturing &amp; Production'!K261</f>
        <v>2941</v>
      </c>
      <c r="Y313" s="102">
        <f>'Monthly Data'!P57</f>
        <v>64159</v>
      </c>
    </row>
    <row r="314">
      <c r="A314" s="99">
        <f t="shared" si="147"/>
        <v>44805</v>
      </c>
      <c r="B314" s="100">
        <f t="shared" si="148"/>
        <v>63</v>
      </c>
      <c r="C314" s="101">
        <f t="shared" si="149"/>
        <v>112551</v>
      </c>
      <c r="D314" s="101">
        <f t="shared" si="150"/>
        <v>827250</v>
      </c>
      <c r="E314" s="101">
        <f t="shared" si="151"/>
        <v>0</v>
      </c>
      <c r="F314" s="101">
        <f t="shared" si="152"/>
        <v>41363</v>
      </c>
      <c r="G314" s="102">
        <f t="shared" si="153"/>
        <v>82725</v>
      </c>
      <c r="H314" s="102">
        <f t="shared" si="154"/>
        <v>148905</v>
      </c>
      <c r="I314" s="102">
        <f t="shared" si="155"/>
        <v>421235</v>
      </c>
      <c r="J314" s="102">
        <f t="shared" si="156"/>
        <v>133022</v>
      </c>
      <c r="K314" s="101">
        <v>175180.0</v>
      </c>
      <c r="L314" s="102">
        <f t="shared" si="157"/>
        <v>133817</v>
      </c>
      <c r="M314" s="102">
        <f t="shared" si="158"/>
        <v>175180</v>
      </c>
      <c r="N314" s="101">
        <v>204561.0</v>
      </c>
      <c r="O314" s="102">
        <f t="shared" si="159"/>
        <v>121836</v>
      </c>
      <c r="P314" s="102">
        <f t="shared" si="160"/>
        <v>204561</v>
      </c>
      <c r="Q314" s="101">
        <v>407700.0</v>
      </c>
      <c r="R314" s="102">
        <f t="shared" si="161"/>
        <v>258795</v>
      </c>
      <c r="S314" s="102">
        <f t="shared" si="162"/>
        <v>407700</v>
      </c>
      <c r="T314" s="102">
        <f t="shared" si="163"/>
        <v>0</v>
      </c>
      <c r="U314" s="101">
        <v>0.0</v>
      </c>
      <c r="V314" s="101">
        <v>1015249.0</v>
      </c>
      <c r="W314" s="101">
        <v>179162.0</v>
      </c>
      <c r="X314" s="102">
        <f>'Manufacturing &amp; Production'!K262</f>
        <v>18382</v>
      </c>
      <c r="Y314" s="102">
        <f>'Monthly Data'!P58</f>
        <v>65265</v>
      </c>
    </row>
    <row r="315">
      <c r="A315" s="99">
        <f t="shared" si="147"/>
        <v>44835</v>
      </c>
      <c r="B315" s="100">
        <f t="shared" si="148"/>
        <v>67</v>
      </c>
      <c r="C315" s="101">
        <f t="shared" si="149"/>
        <v>112551</v>
      </c>
      <c r="D315" s="101">
        <f t="shared" si="150"/>
        <v>879774</v>
      </c>
      <c r="E315" s="101">
        <f t="shared" si="151"/>
        <v>0</v>
      </c>
      <c r="F315" s="101">
        <f t="shared" si="152"/>
        <v>43989</v>
      </c>
      <c r="G315" s="102">
        <f t="shared" si="153"/>
        <v>87977</v>
      </c>
      <c r="H315" s="102">
        <f t="shared" si="154"/>
        <v>158359</v>
      </c>
      <c r="I315" s="102">
        <f t="shared" si="155"/>
        <v>447981</v>
      </c>
      <c r="J315" s="102">
        <f t="shared" si="156"/>
        <v>141468</v>
      </c>
      <c r="K315" s="101">
        <v>182823.0</v>
      </c>
      <c r="L315" s="102">
        <f t="shared" si="157"/>
        <v>138834</v>
      </c>
      <c r="M315" s="102">
        <f t="shared" si="158"/>
        <v>182823</v>
      </c>
      <c r="N315" s="101">
        <v>220676.0</v>
      </c>
      <c r="O315" s="102">
        <f t="shared" si="159"/>
        <v>132699</v>
      </c>
      <c r="P315" s="102">
        <f t="shared" si="160"/>
        <v>220676</v>
      </c>
      <c r="Q315" s="101">
        <v>412625.0</v>
      </c>
      <c r="R315" s="102">
        <f t="shared" si="161"/>
        <v>254266</v>
      </c>
      <c r="S315" s="102">
        <f t="shared" si="162"/>
        <v>412625</v>
      </c>
      <c r="T315" s="102">
        <f t="shared" si="163"/>
        <v>0</v>
      </c>
      <c r="U315" s="101">
        <v>0.0</v>
      </c>
      <c r="V315" s="101">
        <v>1059543.0</v>
      </c>
      <c r="W315" s="101">
        <v>186978.0</v>
      </c>
      <c r="X315" s="102">
        <f>'Manufacturing &amp; Production'!K263</f>
        <v>2941</v>
      </c>
      <c r="Y315" s="102">
        <f>'Monthly Data'!P59</f>
        <v>66372</v>
      </c>
    </row>
    <row r="316">
      <c r="A316" s="99">
        <f t="shared" si="147"/>
        <v>44866</v>
      </c>
      <c r="B316" s="100">
        <f t="shared" si="148"/>
        <v>71</v>
      </c>
      <c r="C316" s="101">
        <f t="shared" si="149"/>
        <v>112551</v>
      </c>
      <c r="D316" s="101">
        <f t="shared" si="150"/>
        <v>932297</v>
      </c>
      <c r="E316" s="101">
        <f t="shared" si="151"/>
        <v>0</v>
      </c>
      <c r="F316" s="101">
        <f t="shared" si="152"/>
        <v>46615</v>
      </c>
      <c r="G316" s="102">
        <f t="shared" si="153"/>
        <v>93230</v>
      </c>
      <c r="H316" s="102">
        <f t="shared" si="154"/>
        <v>167813</v>
      </c>
      <c r="I316" s="102">
        <f t="shared" si="155"/>
        <v>474726</v>
      </c>
      <c r="J316" s="102">
        <f t="shared" si="156"/>
        <v>149913</v>
      </c>
      <c r="K316" s="101">
        <v>192517.0</v>
      </c>
      <c r="L316" s="102">
        <f t="shared" si="157"/>
        <v>145902</v>
      </c>
      <c r="M316" s="102">
        <f t="shared" si="158"/>
        <v>192517</v>
      </c>
      <c r="N316" s="101">
        <v>236971.0</v>
      </c>
      <c r="O316" s="102">
        <f t="shared" si="159"/>
        <v>143741</v>
      </c>
      <c r="P316" s="102">
        <f t="shared" si="160"/>
        <v>236971</v>
      </c>
      <c r="Q316" s="101">
        <v>421250.0</v>
      </c>
      <c r="R316" s="102">
        <f t="shared" si="161"/>
        <v>253437</v>
      </c>
      <c r="S316" s="102">
        <f t="shared" si="162"/>
        <v>421250</v>
      </c>
      <c r="T316" s="102">
        <f t="shared" si="163"/>
        <v>0</v>
      </c>
      <c r="U316" s="101">
        <v>0.0</v>
      </c>
      <c r="V316" s="101">
        <v>1115724.0</v>
      </c>
      <c r="W316" s="101">
        <v>196892.0</v>
      </c>
      <c r="X316" s="102">
        <f>'Manufacturing &amp; Production'!K264</f>
        <v>2941</v>
      </c>
      <c r="Y316" s="102">
        <f>'Monthly Data'!P60</f>
        <v>67478</v>
      </c>
    </row>
    <row r="317">
      <c r="A317" s="99">
        <f t="shared" si="147"/>
        <v>44896</v>
      </c>
      <c r="B317" s="100">
        <f t="shared" si="148"/>
        <v>75</v>
      </c>
      <c r="C317" s="101">
        <f t="shared" si="149"/>
        <v>112551</v>
      </c>
      <c r="D317" s="101">
        <f t="shared" si="150"/>
        <v>984821</v>
      </c>
      <c r="E317" s="101">
        <f t="shared" si="151"/>
        <v>0</v>
      </c>
      <c r="F317" s="101">
        <f t="shared" si="152"/>
        <v>49241</v>
      </c>
      <c r="G317" s="102">
        <f t="shared" si="153"/>
        <v>98482</v>
      </c>
      <c r="H317" s="102">
        <f t="shared" si="154"/>
        <v>177268</v>
      </c>
      <c r="I317" s="102">
        <f t="shared" si="155"/>
        <v>501471</v>
      </c>
      <c r="J317" s="102">
        <f t="shared" si="156"/>
        <v>158359</v>
      </c>
      <c r="K317" s="101">
        <v>202211.0</v>
      </c>
      <c r="L317" s="102">
        <f t="shared" si="157"/>
        <v>152970</v>
      </c>
      <c r="M317" s="102">
        <f t="shared" si="158"/>
        <v>202211</v>
      </c>
      <c r="N317" s="101">
        <v>253265.0</v>
      </c>
      <c r="O317" s="102">
        <f t="shared" si="159"/>
        <v>154783</v>
      </c>
      <c r="P317" s="102">
        <f t="shared" si="160"/>
        <v>253265</v>
      </c>
      <c r="Q317" s="101">
        <v>432009.0</v>
      </c>
      <c r="R317" s="102">
        <f t="shared" si="161"/>
        <v>254741</v>
      </c>
      <c r="S317" s="102">
        <f t="shared" si="162"/>
        <v>432009</v>
      </c>
      <c r="T317" s="102">
        <f t="shared" si="163"/>
        <v>0</v>
      </c>
      <c r="U317" s="101">
        <v>0.0</v>
      </c>
      <c r="V317" s="101">
        <v>1171904.0</v>
      </c>
      <c r="W317" s="101">
        <v>206807.0</v>
      </c>
      <c r="X317" s="102">
        <f>'Manufacturing &amp; Production'!K265</f>
        <v>21326</v>
      </c>
      <c r="Y317" s="102">
        <f>'Monthly Data'!P61</f>
        <v>68584</v>
      </c>
    </row>
    <row r="318">
      <c r="A318" s="99">
        <f t="shared" si="147"/>
        <v>44927</v>
      </c>
      <c r="B318" s="100">
        <f t="shared" si="148"/>
        <v>81</v>
      </c>
      <c r="C318" s="101">
        <f t="shared" si="149"/>
        <v>115927</v>
      </c>
      <c r="D318" s="101">
        <f t="shared" si="150"/>
        <v>1095510</v>
      </c>
      <c r="E318" s="101">
        <f t="shared" si="151"/>
        <v>0</v>
      </c>
      <c r="F318" s="101">
        <f t="shared" si="152"/>
        <v>54776</v>
      </c>
      <c r="G318" s="102">
        <f t="shared" si="153"/>
        <v>109551</v>
      </c>
      <c r="H318" s="102">
        <f t="shared" si="154"/>
        <v>197192</v>
      </c>
      <c r="I318" s="102">
        <f t="shared" si="155"/>
        <v>557833</v>
      </c>
      <c r="J318" s="102">
        <f t="shared" si="156"/>
        <v>176158</v>
      </c>
      <c r="K318" s="101">
        <v>417069.0</v>
      </c>
      <c r="L318" s="102">
        <f t="shared" si="157"/>
        <v>362293</v>
      </c>
      <c r="M318" s="102">
        <f t="shared" si="158"/>
        <v>417069</v>
      </c>
      <c r="N318" s="101">
        <v>409020.0</v>
      </c>
      <c r="O318" s="102">
        <f t="shared" si="159"/>
        <v>299469</v>
      </c>
      <c r="P318" s="102">
        <f t="shared" si="160"/>
        <v>409020</v>
      </c>
      <c r="Q318" s="101">
        <v>982305.0</v>
      </c>
      <c r="R318" s="102">
        <f t="shared" si="161"/>
        <v>785113</v>
      </c>
      <c r="S318" s="102">
        <f t="shared" si="162"/>
        <v>982305</v>
      </c>
      <c r="T318" s="102">
        <f t="shared" si="163"/>
        <v>0</v>
      </c>
      <c r="U318" s="101">
        <v>0.0</v>
      </c>
      <c r="V318" s="101">
        <v>1390229.0</v>
      </c>
      <c r="W318" s="101">
        <v>463410.0</v>
      </c>
      <c r="X318" s="102">
        <f>'Manufacturing &amp; Production'!K266</f>
        <v>14118</v>
      </c>
      <c r="Y318" s="102">
        <f>'Monthly Data'!P62</f>
        <v>150442</v>
      </c>
    </row>
    <row r="319">
      <c r="A319" s="99">
        <f t="shared" si="147"/>
        <v>44958</v>
      </c>
      <c r="B319" s="100">
        <f t="shared" si="148"/>
        <v>88</v>
      </c>
      <c r="C319" s="101">
        <f t="shared" si="149"/>
        <v>115927</v>
      </c>
      <c r="D319" s="101">
        <f t="shared" si="150"/>
        <v>1190184</v>
      </c>
      <c r="E319" s="101">
        <f t="shared" si="151"/>
        <v>0</v>
      </c>
      <c r="F319" s="101">
        <f t="shared" si="152"/>
        <v>59509</v>
      </c>
      <c r="G319" s="102">
        <f t="shared" si="153"/>
        <v>119018</v>
      </c>
      <c r="H319" s="102">
        <f t="shared" si="154"/>
        <v>214233</v>
      </c>
      <c r="I319" s="102">
        <f t="shared" si="155"/>
        <v>606042</v>
      </c>
      <c r="J319" s="102">
        <f t="shared" si="156"/>
        <v>191382</v>
      </c>
      <c r="K319" s="101">
        <v>426276.0</v>
      </c>
      <c r="L319" s="102">
        <f t="shared" si="157"/>
        <v>366767</v>
      </c>
      <c r="M319" s="102">
        <f t="shared" si="158"/>
        <v>426276</v>
      </c>
      <c r="N319" s="101">
        <v>474490.0</v>
      </c>
      <c r="O319" s="102">
        <f t="shared" si="159"/>
        <v>355472</v>
      </c>
      <c r="P319" s="102">
        <f t="shared" si="160"/>
        <v>474490</v>
      </c>
      <c r="Q319" s="101">
        <v>1003004.0</v>
      </c>
      <c r="R319" s="102">
        <f t="shared" si="161"/>
        <v>788771</v>
      </c>
      <c r="S319" s="102">
        <f t="shared" si="162"/>
        <v>1003004</v>
      </c>
      <c r="T319" s="102">
        <f t="shared" si="163"/>
        <v>0</v>
      </c>
      <c r="U319" s="101">
        <v>0.0</v>
      </c>
      <c r="V319" s="101">
        <v>1420919.0</v>
      </c>
      <c r="W319" s="101">
        <v>473639.0</v>
      </c>
      <c r="X319" s="102">
        <f>'Manufacturing &amp; Production'!K267</f>
        <v>14118</v>
      </c>
      <c r="Y319" s="102">
        <f>'Monthly Data'!P63</f>
        <v>153392</v>
      </c>
    </row>
    <row r="320">
      <c r="A320" s="99">
        <f t="shared" si="147"/>
        <v>44986</v>
      </c>
      <c r="B320" s="100">
        <f t="shared" si="148"/>
        <v>94</v>
      </c>
      <c r="C320" s="101">
        <f t="shared" si="149"/>
        <v>115927</v>
      </c>
      <c r="D320" s="101">
        <f t="shared" si="150"/>
        <v>1271333</v>
      </c>
      <c r="E320" s="101">
        <f t="shared" si="151"/>
        <v>0</v>
      </c>
      <c r="F320" s="101">
        <f t="shared" si="152"/>
        <v>63567</v>
      </c>
      <c r="G320" s="102">
        <f t="shared" si="153"/>
        <v>127133</v>
      </c>
      <c r="H320" s="102">
        <f t="shared" si="154"/>
        <v>228840</v>
      </c>
      <c r="I320" s="102">
        <f t="shared" si="155"/>
        <v>647363</v>
      </c>
      <c r="J320" s="102">
        <f t="shared" si="156"/>
        <v>204430</v>
      </c>
      <c r="K320" s="101">
        <v>426253.0</v>
      </c>
      <c r="L320" s="102">
        <f t="shared" si="157"/>
        <v>362686</v>
      </c>
      <c r="M320" s="102">
        <f t="shared" si="158"/>
        <v>426253</v>
      </c>
      <c r="N320" s="101">
        <v>536766.0</v>
      </c>
      <c r="O320" s="102">
        <f t="shared" si="159"/>
        <v>409633</v>
      </c>
      <c r="P320" s="102">
        <f t="shared" si="160"/>
        <v>536766</v>
      </c>
      <c r="Q320" s="101">
        <v>1014825.0</v>
      </c>
      <c r="R320" s="102">
        <f t="shared" si="161"/>
        <v>785985</v>
      </c>
      <c r="S320" s="102">
        <f t="shared" si="162"/>
        <v>1014825</v>
      </c>
      <c r="T320" s="102">
        <f t="shared" si="163"/>
        <v>0</v>
      </c>
      <c r="U320" s="101">
        <v>0.0</v>
      </c>
      <c r="V320" s="101">
        <v>1420842.0</v>
      </c>
      <c r="W320" s="101">
        <v>473614.0</v>
      </c>
      <c r="X320" s="102">
        <f>'Manufacturing &amp; Production'!K268</f>
        <v>88235</v>
      </c>
      <c r="Y320" s="102">
        <f>'Monthly Data'!P64</f>
        <v>156342</v>
      </c>
    </row>
    <row r="321">
      <c r="A321" s="99">
        <f t="shared" si="147"/>
        <v>45017</v>
      </c>
      <c r="B321" s="100">
        <f t="shared" si="148"/>
        <v>100</v>
      </c>
      <c r="C321" s="101">
        <f t="shared" si="149"/>
        <v>115927</v>
      </c>
      <c r="D321" s="101">
        <f t="shared" si="150"/>
        <v>1352482</v>
      </c>
      <c r="E321" s="101">
        <f t="shared" si="151"/>
        <v>0</v>
      </c>
      <c r="F321" s="101">
        <f t="shared" si="152"/>
        <v>67624</v>
      </c>
      <c r="G321" s="102">
        <f t="shared" si="153"/>
        <v>135248</v>
      </c>
      <c r="H321" s="102">
        <f t="shared" si="154"/>
        <v>243447</v>
      </c>
      <c r="I321" s="102">
        <f t="shared" si="155"/>
        <v>688684</v>
      </c>
      <c r="J321" s="102">
        <f t="shared" si="156"/>
        <v>217479</v>
      </c>
      <c r="K321" s="101">
        <v>418240.0</v>
      </c>
      <c r="L321" s="102">
        <f t="shared" si="157"/>
        <v>350616</v>
      </c>
      <c r="M321" s="102">
        <f t="shared" si="158"/>
        <v>418240</v>
      </c>
      <c r="N321" s="101">
        <v>596277.0</v>
      </c>
      <c r="O321" s="102">
        <f t="shared" si="159"/>
        <v>461029</v>
      </c>
      <c r="P321" s="102">
        <f t="shared" si="160"/>
        <v>596277</v>
      </c>
      <c r="Q321" s="101">
        <v>1016395.0</v>
      </c>
      <c r="R321" s="102">
        <f t="shared" si="161"/>
        <v>772948</v>
      </c>
      <c r="S321" s="102">
        <f t="shared" si="162"/>
        <v>1016395</v>
      </c>
      <c r="T321" s="102">
        <f t="shared" si="163"/>
        <v>0</v>
      </c>
      <c r="U321" s="101">
        <v>0.0</v>
      </c>
      <c r="V321" s="101">
        <v>1394133.0</v>
      </c>
      <c r="W321" s="101">
        <v>464711.0</v>
      </c>
      <c r="X321" s="102">
        <f>'Manufacturing &amp; Production'!K269</f>
        <v>14118</v>
      </c>
      <c r="Y321" s="102">
        <f>'Monthly Data'!P65</f>
        <v>159292</v>
      </c>
    </row>
    <row r="322">
      <c r="A322" s="99">
        <f t="shared" si="147"/>
        <v>45047</v>
      </c>
      <c r="B322" s="100">
        <f t="shared" si="148"/>
        <v>106</v>
      </c>
      <c r="C322" s="101">
        <f t="shared" si="149"/>
        <v>115927</v>
      </c>
      <c r="D322" s="101">
        <f t="shared" si="150"/>
        <v>1433631</v>
      </c>
      <c r="E322" s="101">
        <f t="shared" si="151"/>
        <v>0</v>
      </c>
      <c r="F322" s="101">
        <f t="shared" si="152"/>
        <v>71682</v>
      </c>
      <c r="G322" s="102">
        <f t="shared" si="153"/>
        <v>143363</v>
      </c>
      <c r="H322" s="102">
        <f t="shared" si="154"/>
        <v>258054</v>
      </c>
      <c r="I322" s="102">
        <f t="shared" si="155"/>
        <v>730004</v>
      </c>
      <c r="J322" s="102">
        <f t="shared" si="156"/>
        <v>230528</v>
      </c>
      <c r="K322" s="101">
        <v>405612.0</v>
      </c>
      <c r="L322" s="102">
        <f t="shared" si="157"/>
        <v>333930</v>
      </c>
      <c r="M322" s="102">
        <f t="shared" si="158"/>
        <v>405612</v>
      </c>
      <c r="N322" s="101">
        <v>654191.0</v>
      </c>
      <c r="O322" s="102">
        <f t="shared" si="159"/>
        <v>510828</v>
      </c>
      <c r="P322" s="102">
        <f t="shared" si="160"/>
        <v>654191</v>
      </c>
      <c r="Q322" s="101">
        <v>1009087.0</v>
      </c>
      <c r="R322" s="102">
        <f t="shared" si="161"/>
        <v>751033</v>
      </c>
      <c r="S322" s="102">
        <f t="shared" si="162"/>
        <v>1009087</v>
      </c>
      <c r="T322" s="102">
        <f t="shared" si="163"/>
        <v>0</v>
      </c>
      <c r="U322" s="101">
        <v>0.0</v>
      </c>
      <c r="V322" s="101">
        <v>1352041.0</v>
      </c>
      <c r="W322" s="101">
        <v>450680.0</v>
      </c>
      <c r="X322" s="102">
        <f>'Manufacturing &amp; Production'!K270</f>
        <v>14118</v>
      </c>
      <c r="Y322" s="102">
        <f>'Monthly Data'!P66</f>
        <v>162242</v>
      </c>
    </row>
    <row r="323">
      <c r="A323" s="99">
        <f t="shared" si="147"/>
        <v>45078</v>
      </c>
      <c r="B323" s="100">
        <f t="shared" si="148"/>
        <v>113</v>
      </c>
      <c r="C323" s="101">
        <f t="shared" si="149"/>
        <v>115927</v>
      </c>
      <c r="D323" s="101">
        <f t="shared" si="150"/>
        <v>1528304</v>
      </c>
      <c r="E323" s="101">
        <f t="shared" si="151"/>
        <v>0</v>
      </c>
      <c r="F323" s="101">
        <f t="shared" si="152"/>
        <v>76415</v>
      </c>
      <c r="G323" s="102">
        <f t="shared" si="153"/>
        <v>152830</v>
      </c>
      <c r="H323" s="102">
        <f t="shared" si="154"/>
        <v>275095</v>
      </c>
      <c r="I323" s="102">
        <f t="shared" si="155"/>
        <v>778213</v>
      </c>
      <c r="J323" s="102">
        <f t="shared" si="156"/>
        <v>245751</v>
      </c>
      <c r="K323" s="101">
        <v>392985.0</v>
      </c>
      <c r="L323" s="102">
        <f t="shared" si="157"/>
        <v>316570</v>
      </c>
      <c r="M323" s="102">
        <f t="shared" si="158"/>
        <v>392985</v>
      </c>
      <c r="N323" s="101">
        <v>712105.0</v>
      </c>
      <c r="O323" s="102">
        <f t="shared" si="159"/>
        <v>559275</v>
      </c>
      <c r="P323" s="102">
        <f t="shared" si="160"/>
        <v>712105</v>
      </c>
      <c r="Q323" s="101">
        <v>996652.0</v>
      </c>
      <c r="R323" s="102">
        <f t="shared" si="161"/>
        <v>721557</v>
      </c>
      <c r="S323" s="102">
        <f t="shared" si="162"/>
        <v>996652</v>
      </c>
      <c r="T323" s="102">
        <f t="shared" si="163"/>
        <v>0</v>
      </c>
      <c r="U323" s="101">
        <v>0.0</v>
      </c>
      <c r="V323" s="101">
        <v>1309949.0</v>
      </c>
      <c r="W323" s="101">
        <v>436650.0</v>
      </c>
      <c r="X323" s="102">
        <f>'Manufacturing &amp; Production'!K271</f>
        <v>88235</v>
      </c>
      <c r="Y323" s="102">
        <f>'Monthly Data'!P67</f>
        <v>165192</v>
      </c>
    </row>
    <row r="324">
      <c r="A324" s="99">
        <f t="shared" si="147"/>
        <v>45108</v>
      </c>
      <c r="B324" s="100">
        <f t="shared" si="148"/>
        <v>119</v>
      </c>
      <c r="C324" s="101">
        <f t="shared" si="149"/>
        <v>115927</v>
      </c>
      <c r="D324" s="101">
        <f t="shared" si="150"/>
        <v>1609453</v>
      </c>
      <c r="E324" s="101">
        <f t="shared" si="151"/>
        <v>0</v>
      </c>
      <c r="F324" s="101">
        <f t="shared" si="152"/>
        <v>80473</v>
      </c>
      <c r="G324" s="102">
        <f t="shared" si="153"/>
        <v>160945</v>
      </c>
      <c r="H324" s="102">
        <f t="shared" si="154"/>
        <v>289702</v>
      </c>
      <c r="I324" s="102">
        <f t="shared" si="155"/>
        <v>819533</v>
      </c>
      <c r="J324" s="102">
        <f t="shared" si="156"/>
        <v>258800</v>
      </c>
      <c r="K324" s="101">
        <v>384972.0</v>
      </c>
      <c r="L324" s="102">
        <f t="shared" si="157"/>
        <v>304499</v>
      </c>
      <c r="M324" s="102">
        <f t="shared" si="158"/>
        <v>384972</v>
      </c>
      <c r="N324" s="101">
        <v>771617.0</v>
      </c>
      <c r="O324" s="102">
        <f t="shared" si="159"/>
        <v>610672</v>
      </c>
      <c r="P324" s="102">
        <f t="shared" si="160"/>
        <v>771617</v>
      </c>
      <c r="Q324" s="101">
        <v>984218.0</v>
      </c>
      <c r="R324" s="102">
        <f t="shared" si="161"/>
        <v>694516</v>
      </c>
      <c r="S324" s="102">
        <f t="shared" si="162"/>
        <v>984218</v>
      </c>
      <c r="T324" s="102">
        <f t="shared" si="163"/>
        <v>0</v>
      </c>
      <c r="U324" s="101">
        <v>0.0</v>
      </c>
      <c r="V324" s="101">
        <v>1283240.0</v>
      </c>
      <c r="W324" s="101">
        <v>427746.0</v>
      </c>
      <c r="X324" s="102">
        <f>'Manufacturing &amp; Production'!K272</f>
        <v>14118</v>
      </c>
      <c r="Y324" s="102">
        <f>'Monthly Data'!P68</f>
        <v>168142</v>
      </c>
    </row>
    <row r="325">
      <c r="A325" s="99">
        <f t="shared" si="147"/>
        <v>45139</v>
      </c>
      <c r="B325" s="100">
        <f t="shared" si="148"/>
        <v>125</v>
      </c>
      <c r="C325" s="101">
        <f t="shared" si="149"/>
        <v>115927</v>
      </c>
      <c r="D325" s="101">
        <f t="shared" si="150"/>
        <v>1690602</v>
      </c>
      <c r="E325" s="101">
        <f t="shared" si="151"/>
        <v>0</v>
      </c>
      <c r="F325" s="101">
        <f t="shared" si="152"/>
        <v>84530</v>
      </c>
      <c r="G325" s="102">
        <f t="shared" si="153"/>
        <v>169060</v>
      </c>
      <c r="H325" s="102">
        <f t="shared" si="154"/>
        <v>304308</v>
      </c>
      <c r="I325" s="102">
        <f t="shared" si="155"/>
        <v>860855</v>
      </c>
      <c r="J325" s="102">
        <f t="shared" si="156"/>
        <v>271849</v>
      </c>
      <c r="K325" s="101">
        <v>384949.0</v>
      </c>
      <c r="L325" s="102">
        <f t="shared" si="157"/>
        <v>300419</v>
      </c>
      <c r="M325" s="102">
        <f t="shared" si="158"/>
        <v>384949</v>
      </c>
      <c r="N325" s="101">
        <v>833892.0</v>
      </c>
      <c r="O325" s="102">
        <f t="shared" si="159"/>
        <v>664832</v>
      </c>
      <c r="P325" s="102">
        <f t="shared" si="160"/>
        <v>833892</v>
      </c>
      <c r="Q325" s="101">
        <v>976910.0</v>
      </c>
      <c r="R325" s="102">
        <f t="shared" si="161"/>
        <v>672602</v>
      </c>
      <c r="S325" s="102">
        <f t="shared" si="162"/>
        <v>976910</v>
      </c>
      <c r="T325" s="102">
        <f t="shared" si="163"/>
        <v>0</v>
      </c>
      <c r="U325" s="101">
        <v>0.0</v>
      </c>
      <c r="V325" s="101">
        <v>1283163.0</v>
      </c>
      <c r="W325" s="101">
        <v>427721.0</v>
      </c>
      <c r="X325" s="102">
        <f>'Manufacturing &amp; Production'!K273</f>
        <v>14118</v>
      </c>
      <c r="Y325" s="102">
        <f>'Monthly Data'!P69</f>
        <v>171091</v>
      </c>
    </row>
    <row r="326">
      <c r="A326" s="99">
        <f t="shared" si="147"/>
        <v>45170</v>
      </c>
      <c r="B326" s="100">
        <f t="shared" si="148"/>
        <v>131</v>
      </c>
      <c r="C326" s="101">
        <f t="shared" si="149"/>
        <v>115927</v>
      </c>
      <c r="D326" s="101">
        <f t="shared" si="150"/>
        <v>1771751</v>
      </c>
      <c r="E326" s="101">
        <f t="shared" si="151"/>
        <v>0</v>
      </c>
      <c r="F326" s="101">
        <f t="shared" si="152"/>
        <v>88588</v>
      </c>
      <c r="G326" s="102">
        <f t="shared" si="153"/>
        <v>177175</v>
      </c>
      <c r="H326" s="102">
        <f t="shared" si="154"/>
        <v>318915</v>
      </c>
      <c r="I326" s="102">
        <f t="shared" si="155"/>
        <v>902175</v>
      </c>
      <c r="J326" s="102">
        <f t="shared" si="156"/>
        <v>284898</v>
      </c>
      <c r="K326" s="101">
        <v>394156.0</v>
      </c>
      <c r="L326" s="102">
        <f t="shared" si="157"/>
        <v>305568</v>
      </c>
      <c r="M326" s="102">
        <f t="shared" si="158"/>
        <v>394156</v>
      </c>
      <c r="N326" s="101">
        <v>899362.0</v>
      </c>
      <c r="O326" s="102">
        <f t="shared" si="159"/>
        <v>722187</v>
      </c>
      <c r="P326" s="102">
        <f t="shared" si="160"/>
        <v>899362</v>
      </c>
      <c r="Q326" s="101">
        <v>978479.0</v>
      </c>
      <c r="R326" s="102">
        <f t="shared" si="161"/>
        <v>659564</v>
      </c>
      <c r="S326" s="102">
        <f t="shared" si="162"/>
        <v>978479</v>
      </c>
      <c r="T326" s="102">
        <f t="shared" si="163"/>
        <v>0</v>
      </c>
      <c r="U326" s="101">
        <v>0.0</v>
      </c>
      <c r="V326" s="101">
        <v>1313852.0</v>
      </c>
      <c r="W326" s="101">
        <v>437951.0</v>
      </c>
      <c r="X326" s="102">
        <f>'Manufacturing &amp; Production'!K274</f>
        <v>88235</v>
      </c>
      <c r="Y326" s="102">
        <f>'Monthly Data'!P70</f>
        <v>174041</v>
      </c>
    </row>
    <row r="327">
      <c r="A327" s="99">
        <f t="shared" si="147"/>
        <v>45200</v>
      </c>
      <c r="B327" s="100">
        <f t="shared" si="148"/>
        <v>138</v>
      </c>
      <c r="C327" s="101">
        <f t="shared" si="149"/>
        <v>115927</v>
      </c>
      <c r="D327" s="101">
        <f t="shared" si="150"/>
        <v>1866425</v>
      </c>
      <c r="E327" s="101">
        <f t="shared" si="151"/>
        <v>0</v>
      </c>
      <c r="F327" s="101">
        <f t="shared" si="152"/>
        <v>93321</v>
      </c>
      <c r="G327" s="102">
        <f t="shared" si="153"/>
        <v>186643</v>
      </c>
      <c r="H327" s="102">
        <f t="shared" si="154"/>
        <v>335957</v>
      </c>
      <c r="I327" s="102">
        <f t="shared" si="155"/>
        <v>950383</v>
      </c>
      <c r="J327" s="102">
        <f t="shared" si="156"/>
        <v>300121</v>
      </c>
      <c r="K327" s="101">
        <v>411352.0</v>
      </c>
      <c r="L327" s="102">
        <f t="shared" si="157"/>
        <v>318031</v>
      </c>
      <c r="M327" s="102">
        <f t="shared" si="158"/>
        <v>411352</v>
      </c>
      <c r="N327" s="101">
        <v>967596.0</v>
      </c>
      <c r="O327" s="102">
        <f t="shared" si="159"/>
        <v>780953</v>
      </c>
      <c r="P327" s="102">
        <f t="shared" si="160"/>
        <v>967596</v>
      </c>
      <c r="Q327" s="101">
        <v>990300.0</v>
      </c>
      <c r="R327" s="102">
        <f t="shared" si="161"/>
        <v>654343</v>
      </c>
      <c r="S327" s="102">
        <f t="shared" si="162"/>
        <v>990300</v>
      </c>
      <c r="T327" s="102">
        <f t="shared" si="163"/>
        <v>0</v>
      </c>
      <c r="U327" s="101">
        <v>0.0</v>
      </c>
      <c r="V327" s="101">
        <v>1371173.0</v>
      </c>
      <c r="W327" s="101">
        <v>457058.0</v>
      </c>
      <c r="X327" s="102">
        <f>'Manufacturing &amp; Production'!K275</f>
        <v>14118</v>
      </c>
      <c r="Y327" s="102">
        <f>'Monthly Data'!P71</f>
        <v>176991</v>
      </c>
    </row>
    <row r="328">
      <c r="A328" s="99">
        <f t="shared" si="147"/>
        <v>45231</v>
      </c>
      <c r="B328" s="100">
        <f t="shared" si="148"/>
        <v>144</v>
      </c>
      <c r="C328" s="101">
        <f t="shared" si="149"/>
        <v>115927</v>
      </c>
      <c r="D328" s="101">
        <f t="shared" si="150"/>
        <v>1947574</v>
      </c>
      <c r="E328" s="101">
        <f t="shared" si="151"/>
        <v>0</v>
      </c>
      <c r="F328" s="101">
        <f t="shared" si="152"/>
        <v>97379</v>
      </c>
      <c r="G328" s="102">
        <f t="shared" si="153"/>
        <v>194757</v>
      </c>
      <c r="H328" s="102">
        <f t="shared" si="154"/>
        <v>350563</v>
      </c>
      <c r="I328" s="102">
        <f t="shared" si="155"/>
        <v>991705</v>
      </c>
      <c r="J328" s="102">
        <f t="shared" si="156"/>
        <v>313170</v>
      </c>
      <c r="K328" s="101">
        <v>433163.0</v>
      </c>
      <c r="L328" s="102">
        <f t="shared" si="157"/>
        <v>335784</v>
      </c>
      <c r="M328" s="102">
        <f t="shared" si="158"/>
        <v>433163</v>
      </c>
      <c r="N328" s="101">
        <v>1037427.0</v>
      </c>
      <c r="O328" s="102">
        <f t="shared" si="159"/>
        <v>842670</v>
      </c>
      <c r="P328" s="102">
        <f t="shared" si="160"/>
        <v>1037427</v>
      </c>
      <c r="Q328" s="101">
        <v>1011000.0</v>
      </c>
      <c r="R328" s="102">
        <f t="shared" si="161"/>
        <v>660437</v>
      </c>
      <c r="S328" s="102">
        <f t="shared" si="162"/>
        <v>1011000</v>
      </c>
      <c r="T328" s="102">
        <f t="shared" si="163"/>
        <v>0</v>
      </c>
      <c r="U328" s="101">
        <v>0.0</v>
      </c>
      <c r="V328" s="101">
        <v>1443878.0</v>
      </c>
      <c r="W328" s="101">
        <v>481292.0</v>
      </c>
      <c r="X328" s="102">
        <f>'Manufacturing &amp; Production'!K276</f>
        <v>14118</v>
      </c>
      <c r="Y328" s="102">
        <f>'Monthly Data'!P72</f>
        <v>179941</v>
      </c>
    </row>
    <row r="329">
      <c r="A329" s="99">
        <f t="shared" si="147"/>
        <v>45261</v>
      </c>
      <c r="B329" s="100">
        <f t="shared" si="148"/>
        <v>150</v>
      </c>
      <c r="C329" s="101">
        <f t="shared" si="149"/>
        <v>115927</v>
      </c>
      <c r="D329" s="101">
        <f t="shared" si="150"/>
        <v>2028723</v>
      </c>
      <c r="E329" s="101">
        <f t="shared" si="151"/>
        <v>0</v>
      </c>
      <c r="F329" s="101">
        <f t="shared" si="152"/>
        <v>101436</v>
      </c>
      <c r="G329" s="102">
        <f t="shared" si="153"/>
        <v>202872</v>
      </c>
      <c r="H329" s="102">
        <f t="shared" si="154"/>
        <v>365170</v>
      </c>
      <c r="I329" s="102">
        <f t="shared" si="155"/>
        <v>1033026</v>
      </c>
      <c r="J329" s="102">
        <f t="shared" si="156"/>
        <v>326219</v>
      </c>
      <c r="K329" s="101">
        <v>454973.0</v>
      </c>
      <c r="L329" s="102">
        <f t="shared" si="157"/>
        <v>353537</v>
      </c>
      <c r="M329" s="102">
        <f t="shared" si="158"/>
        <v>454973</v>
      </c>
      <c r="N329" s="101">
        <v>1107257.0</v>
      </c>
      <c r="O329" s="102">
        <f t="shared" si="159"/>
        <v>904385</v>
      </c>
      <c r="P329" s="102">
        <f t="shared" si="160"/>
        <v>1107257</v>
      </c>
      <c r="Q329" s="101">
        <v>1036825.0</v>
      </c>
      <c r="R329" s="102">
        <f t="shared" si="161"/>
        <v>671655</v>
      </c>
      <c r="S329" s="102">
        <f t="shared" si="162"/>
        <v>1036825</v>
      </c>
      <c r="T329" s="102">
        <f t="shared" si="163"/>
        <v>0</v>
      </c>
      <c r="U329" s="101">
        <v>0.0</v>
      </c>
      <c r="V329" s="101">
        <v>1516582.0</v>
      </c>
      <c r="W329" s="101">
        <v>505527.0</v>
      </c>
      <c r="X329" s="102">
        <f>'Manufacturing &amp; Production'!K277</f>
        <v>102351</v>
      </c>
      <c r="Y329" s="102">
        <f>'Monthly Data'!P73</f>
        <v>182892</v>
      </c>
    </row>
    <row r="330">
      <c r="A330" s="99">
        <f t="shared" si="147"/>
        <v>45292</v>
      </c>
      <c r="B330" s="100">
        <f t="shared" si="148"/>
        <v>161</v>
      </c>
      <c r="C330" s="101">
        <f t="shared" si="149"/>
        <v>119405</v>
      </c>
      <c r="D330" s="101">
        <f t="shared" si="150"/>
        <v>2242824</v>
      </c>
      <c r="E330" s="101">
        <f t="shared" si="151"/>
        <v>140670</v>
      </c>
      <c r="F330" s="101">
        <f t="shared" si="152"/>
        <v>112141</v>
      </c>
      <c r="G330" s="102">
        <f t="shared" si="153"/>
        <v>224282</v>
      </c>
      <c r="H330" s="102">
        <f t="shared" si="154"/>
        <v>403708</v>
      </c>
      <c r="I330" s="102">
        <f t="shared" si="155"/>
        <v>1035137</v>
      </c>
      <c r="J330" s="102">
        <f t="shared" si="156"/>
        <v>326886</v>
      </c>
      <c r="K330" s="101">
        <v>758307.0</v>
      </c>
      <c r="L330" s="102">
        <f t="shared" si="157"/>
        <v>646166</v>
      </c>
      <c r="M330" s="102">
        <f t="shared" si="158"/>
        <v>758307</v>
      </c>
      <c r="N330" s="101">
        <v>842774.0</v>
      </c>
      <c r="O330" s="102">
        <f t="shared" si="159"/>
        <v>618492</v>
      </c>
      <c r="P330" s="102">
        <f t="shared" si="160"/>
        <v>842774</v>
      </c>
      <c r="Q330" s="101">
        <v>1555316.0</v>
      </c>
      <c r="R330" s="102">
        <f t="shared" si="161"/>
        <v>1151608</v>
      </c>
      <c r="S330" s="102">
        <f t="shared" si="162"/>
        <v>1555316</v>
      </c>
      <c r="T330" s="102">
        <f t="shared" si="163"/>
        <v>0</v>
      </c>
      <c r="U330" s="101">
        <v>187560.0</v>
      </c>
      <c r="V330" s="101">
        <v>2595095.0</v>
      </c>
      <c r="W330" s="101">
        <v>1112184.0</v>
      </c>
      <c r="X330" s="102">
        <f>'Manufacturing &amp; Production'!K278</f>
        <v>16471</v>
      </c>
      <c r="Y330" s="102">
        <f>'Monthly Data'!P74</f>
        <v>300885</v>
      </c>
    </row>
    <row r="331">
      <c r="A331" s="99">
        <f t="shared" si="147"/>
        <v>45323</v>
      </c>
      <c r="B331" s="100">
        <f t="shared" si="148"/>
        <v>172</v>
      </c>
      <c r="C331" s="101">
        <f t="shared" si="149"/>
        <v>119405</v>
      </c>
      <c r="D331" s="101">
        <f t="shared" si="150"/>
        <v>2396060</v>
      </c>
      <c r="E331" s="101">
        <f t="shared" si="151"/>
        <v>164852</v>
      </c>
      <c r="F331" s="101">
        <f t="shared" si="152"/>
        <v>119803</v>
      </c>
      <c r="G331" s="102">
        <f t="shared" si="153"/>
        <v>239606</v>
      </c>
      <c r="H331" s="102">
        <f t="shared" si="154"/>
        <v>431291</v>
      </c>
      <c r="I331" s="102">
        <f t="shared" si="155"/>
        <v>1094786</v>
      </c>
      <c r="J331" s="102">
        <f t="shared" si="156"/>
        <v>345722</v>
      </c>
      <c r="K331" s="101">
        <v>775046.0</v>
      </c>
      <c r="L331" s="102">
        <f t="shared" si="157"/>
        <v>655243</v>
      </c>
      <c r="M331" s="102">
        <f t="shared" si="158"/>
        <v>775046</v>
      </c>
      <c r="N331" s="101">
        <v>959701.0</v>
      </c>
      <c r="O331" s="102">
        <f t="shared" si="159"/>
        <v>720095</v>
      </c>
      <c r="P331" s="102">
        <f t="shared" si="160"/>
        <v>959701</v>
      </c>
      <c r="Q331" s="101">
        <v>1588090.0</v>
      </c>
      <c r="R331" s="102">
        <f t="shared" si="161"/>
        <v>1156799</v>
      </c>
      <c r="S331" s="102">
        <f t="shared" si="162"/>
        <v>1588090</v>
      </c>
      <c r="T331" s="102">
        <f t="shared" si="163"/>
        <v>0</v>
      </c>
      <c r="U331" s="101">
        <v>219802.0</v>
      </c>
      <c r="V331" s="101">
        <v>2652381.0</v>
      </c>
      <c r="W331" s="101">
        <v>1136735.0</v>
      </c>
      <c r="X331" s="102">
        <f>'Manufacturing &amp; Production'!K279</f>
        <v>16471</v>
      </c>
      <c r="Y331" s="102">
        <f>'Monthly Data'!P75</f>
        <v>306785</v>
      </c>
    </row>
    <row r="332">
      <c r="A332" s="99">
        <f t="shared" si="147"/>
        <v>45352</v>
      </c>
      <c r="B332" s="100">
        <f t="shared" si="148"/>
        <v>183</v>
      </c>
      <c r="C332" s="101">
        <f t="shared" si="149"/>
        <v>119405</v>
      </c>
      <c r="D332" s="101">
        <f t="shared" si="150"/>
        <v>2549297</v>
      </c>
      <c r="E332" s="101">
        <f t="shared" si="151"/>
        <v>190667</v>
      </c>
      <c r="F332" s="101">
        <f t="shared" si="152"/>
        <v>127465</v>
      </c>
      <c r="G332" s="102">
        <f t="shared" si="153"/>
        <v>254930</v>
      </c>
      <c r="H332" s="102">
        <f t="shared" si="154"/>
        <v>458873</v>
      </c>
      <c r="I332" s="102">
        <f t="shared" si="155"/>
        <v>1153195</v>
      </c>
      <c r="J332" s="102">
        <f t="shared" si="156"/>
        <v>364167</v>
      </c>
      <c r="K332" s="101">
        <v>775005.0</v>
      </c>
      <c r="L332" s="102">
        <f t="shared" si="157"/>
        <v>647540</v>
      </c>
      <c r="M332" s="102">
        <f t="shared" si="158"/>
        <v>775005</v>
      </c>
      <c r="N332" s="101">
        <v>1071621.0</v>
      </c>
      <c r="O332" s="102">
        <f t="shared" si="159"/>
        <v>816691</v>
      </c>
      <c r="P332" s="102">
        <f t="shared" si="160"/>
        <v>1071621</v>
      </c>
      <c r="Q332" s="101">
        <v>1606807.0</v>
      </c>
      <c r="R332" s="102">
        <f t="shared" si="161"/>
        <v>1147934</v>
      </c>
      <c r="S332" s="102">
        <f t="shared" si="162"/>
        <v>1606807</v>
      </c>
      <c r="T332" s="102">
        <f t="shared" si="163"/>
        <v>0</v>
      </c>
      <c r="U332" s="101">
        <v>254223.0</v>
      </c>
      <c r="V332" s="101">
        <v>2652238.0</v>
      </c>
      <c r="W332" s="101">
        <v>1136674.0</v>
      </c>
      <c r="X332" s="102">
        <f>'Manufacturing &amp; Production'!K280</f>
        <v>102941</v>
      </c>
      <c r="Y332" s="102">
        <f>'Monthly Data'!P76</f>
        <v>312684</v>
      </c>
    </row>
    <row r="333">
      <c r="A333" s="99">
        <f t="shared" si="147"/>
        <v>45383</v>
      </c>
      <c r="B333" s="100">
        <f t="shared" si="148"/>
        <v>193</v>
      </c>
      <c r="C333" s="101">
        <f t="shared" si="149"/>
        <v>119405</v>
      </c>
      <c r="D333" s="101">
        <f t="shared" si="150"/>
        <v>2688603</v>
      </c>
      <c r="E333" s="101">
        <f t="shared" si="151"/>
        <v>218125</v>
      </c>
      <c r="F333" s="101">
        <f t="shared" si="152"/>
        <v>134430</v>
      </c>
      <c r="G333" s="102">
        <f t="shared" si="153"/>
        <v>268860</v>
      </c>
      <c r="H333" s="102">
        <f t="shared" si="154"/>
        <v>483949</v>
      </c>
      <c r="I333" s="102">
        <f t="shared" si="155"/>
        <v>1203262</v>
      </c>
      <c r="J333" s="102">
        <f t="shared" si="156"/>
        <v>379977</v>
      </c>
      <c r="K333" s="101">
        <v>760436.0</v>
      </c>
      <c r="L333" s="102">
        <f t="shared" si="157"/>
        <v>626006</v>
      </c>
      <c r="M333" s="102">
        <f t="shared" si="158"/>
        <v>760436</v>
      </c>
      <c r="N333" s="101">
        <v>1179512.0</v>
      </c>
      <c r="O333" s="102">
        <f t="shared" si="159"/>
        <v>910652</v>
      </c>
      <c r="P333" s="102">
        <f t="shared" si="160"/>
        <v>1179512</v>
      </c>
      <c r="Q333" s="101">
        <v>1609292.0</v>
      </c>
      <c r="R333" s="102">
        <f t="shared" si="161"/>
        <v>1125343</v>
      </c>
      <c r="S333" s="102">
        <f t="shared" si="162"/>
        <v>1609292</v>
      </c>
      <c r="T333" s="102">
        <f t="shared" si="163"/>
        <v>0</v>
      </c>
      <c r="U333" s="101">
        <v>290833.0</v>
      </c>
      <c r="V333" s="101">
        <v>2602381.0</v>
      </c>
      <c r="W333" s="101">
        <v>1115306.0</v>
      </c>
      <c r="X333" s="102">
        <f>'Manufacturing &amp; Production'!K281</f>
        <v>16471</v>
      </c>
      <c r="Y333" s="102">
        <f>'Monthly Data'!P77</f>
        <v>318584</v>
      </c>
    </row>
    <row r="334">
      <c r="A334" s="99">
        <f t="shared" si="147"/>
        <v>45413</v>
      </c>
      <c r="B334" s="100">
        <f t="shared" si="148"/>
        <v>204</v>
      </c>
      <c r="C334" s="101">
        <f t="shared" si="149"/>
        <v>119405</v>
      </c>
      <c r="D334" s="101">
        <f t="shared" si="150"/>
        <v>2841839</v>
      </c>
      <c r="E334" s="101">
        <f t="shared" si="151"/>
        <v>247221</v>
      </c>
      <c r="F334" s="101">
        <f t="shared" si="152"/>
        <v>142092</v>
      </c>
      <c r="G334" s="102">
        <f t="shared" si="153"/>
        <v>284184</v>
      </c>
      <c r="H334" s="102">
        <f t="shared" si="154"/>
        <v>511531</v>
      </c>
      <c r="I334" s="102">
        <f t="shared" si="155"/>
        <v>1259176</v>
      </c>
      <c r="J334" s="102">
        <f t="shared" si="156"/>
        <v>397635</v>
      </c>
      <c r="K334" s="101">
        <v>737477.0</v>
      </c>
      <c r="L334" s="102">
        <f t="shared" si="157"/>
        <v>595385</v>
      </c>
      <c r="M334" s="102">
        <f t="shared" si="158"/>
        <v>737477</v>
      </c>
      <c r="N334" s="101">
        <v>1286002.0</v>
      </c>
      <c r="O334" s="102">
        <f t="shared" si="159"/>
        <v>1001818</v>
      </c>
      <c r="P334" s="102">
        <f t="shared" si="160"/>
        <v>1286002</v>
      </c>
      <c r="Q334" s="101">
        <v>1597720.0</v>
      </c>
      <c r="R334" s="102">
        <f t="shared" si="161"/>
        <v>1086189</v>
      </c>
      <c r="S334" s="102">
        <f t="shared" si="162"/>
        <v>1597720</v>
      </c>
      <c r="T334" s="102">
        <f t="shared" si="163"/>
        <v>0</v>
      </c>
      <c r="U334" s="101">
        <v>329628.0</v>
      </c>
      <c r="V334" s="101">
        <v>2523809.0</v>
      </c>
      <c r="W334" s="101">
        <v>1081633.0</v>
      </c>
      <c r="X334" s="102">
        <f>'Manufacturing &amp; Production'!K282</f>
        <v>16471</v>
      </c>
      <c r="Y334" s="102">
        <f>'Monthly Data'!P78</f>
        <v>324484</v>
      </c>
    </row>
    <row r="335">
      <c r="A335" s="99">
        <f t="shared" si="147"/>
        <v>45444</v>
      </c>
      <c r="B335" s="100">
        <f t="shared" si="148"/>
        <v>215</v>
      </c>
      <c r="C335" s="101">
        <f t="shared" si="149"/>
        <v>119405</v>
      </c>
      <c r="D335" s="101">
        <f t="shared" si="150"/>
        <v>2995075</v>
      </c>
      <c r="E335" s="101">
        <f t="shared" si="151"/>
        <v>269557</v>
      </c>
      <c r="F335" s="101">
        <f t="shared" si="152"/>
        <v>149754</v>
      </c>
      <c r="G335" s="102">
        <f t="shared" si="153"/>
        <v>299508</v>
      </c>
      <c r="H335" s="102">
        <f t="shared" si="154"/>
        <v>539114</v>
      </c>
      <c r="I335" s="102">
        <f t="shared" si="155"/>
        <v>1320228</v>
      </c>
      <c r="J335" s="102">
        <f t="shared" si="156"/>
        <v>416914</v>
      </c>
      <c r="K335" s="101">
        <v>714518.0</v>
      </c>
      <c r="L335" s="102">
        <f t="shared" si="157"/>
        <v>564764</v>
      </c>
      <c r="M335" s="102">
        <f t="shared" si="158"/>
        <v>714518</v>
      </c>
      <c r="N335" s="101">
        <v>1394689.0</v>
      </c>
      <c r="O335" s="102">
        <f t="shared" si="159"/>
        <v>1095181</v>
      </c>
      <c r="P335" s="102">
        <f t="shared" si="160"/>
        <v>1394689</v>
      </c>
      <c r="Q335" s="101">
        <v>1578033.0</v>
      </c>
      <c r="R335" s="102">
        <f t="shared" si="161"/>
        <v>1038919</v>
      </c>
      <c r="S335" s="102">
        <f t="shared" si="162"/>
        <v>1578033</v>
      </c>
      <c r="T335" s="102">
        <f t="shared" si="163"/>
        <v>0</v>
      </c>
      <c r="U335" s="101">
        <v>370601.0</v>
      </c>
      <c r="V335" s="101">
        <v>2445238.0</v>
      </c>
      <c r="W335" s="101">
        <v>1047959.0</v>
      </c>
      <c r="X335" s="102">
        <f>'Manufacturing &amp; Production'!K283</f>
        <v>102941</v>
      </c>
      <c r="Y335" s="102">
        <f>'Monthly Data'!P79</f>
        <v>330383</v>
      </c>
    </row>
    <row r="336">
      <c r="A336" s="99">
        <f t="shared" si="147"/>
        <v>45474</v>
      </c>
      <c r="B336" s="100">
        <f t="shared" si="148"/>
        <v>226</v>
      </c>
      <c r="C336" s="101">
        <f t="shared" si="149"/>
        <v>119405</v>
      </c>
      <c r="D336" s="101">
        <f t="shared" si="150"/>
        <v>3148312</v>
      </c>
      <c r="E336" s="101">
        <f t="shared" si="151"/>
        <v>283348</v>
      </c>
      <c r="F336" s="101">
        <f t="shared" si="152"/>
        <v>157416</v>
      </c>
      <c r="G336" s="102">
        <f t="shared" si="153"/>
        <v>314831</v>
      </c>
      <c r="H336" s="102">
        <f t="shared" si="154"/>
        <v>566696</v>
      </c>
      <c r="I336" s="102">
        <f t="shared" si="155"/>
        <v>1387776</v>
      </c>
      <c r="J336" s="102">
        <f t="shared" si="156"/>
        <v>438245</v>
      </c>
      <c r="K336" s="101">
        <v>699949.0</v>
      </c>
      <c r="L336" s="102">
        <f t="shared" si="157"/>
        <v>542533</v>
      </c>
      <c r="M336" s="102">
        <f t="shared" si="158"/>
        <v>699949</v>
      </c>
      <c r="N336" s="101">
        <v>1509177.0</v>
      </c>
      <c r="O336" s="102">
        <f t="shared" si="159"/>
        <v>1194346</v>
      </c>
      <c r="P336" s="102">
        <f t="shared" si="160"/>
        <v>1509177</v>
      </c>
      <c r="Q336" s="101">
        <v>1558345.0</v>
      </c>
      <c r="R336" s="102">
        <f t="shared" si="161"/>
        <v>991649</v>
      </c>
      <c r="S336" s="102">
        <f t="shared" si="162"/>
        <v>1558345</v>
      </c>
      <c r="T336" s="102">
        <f t="shared" si="163"/>
        <v>0</v>
      </c>
      <c r="U336" s="101">
        <v>413759.0</v>
      </c>
      <c r="V336" s="101">
        <v>2395381.0</v>
      </c>
      <c r="W336" s="101">
        <v>1026592.0</v>
      </c>
      <c r="X336" s="102">
        <f>'Manufacturing &amp; Production'!K284</f>
        <v>16471</v>
      </c>
      <c r="Y336" s="102">
        <f>'Monthly Data'!P80</f>
        <v>336283</v>
      </c>
    </row>
    <row r="337">
      <c r="A337" s="99">
        <f t="shared" si="147"/>
        <v>45505</v>
      </c>
      <c r="B337" s="111">
        <f t="shared" si="148"/>
        <v>237</v>
      </c>
      <c r="C337" s="102">
        <f t="shared" si="149"/>
        <v>119405</v>
      </c>
      <c r="D337" s="102">
        <f t="shared" si="150"/>
        <v>3301548</v>
      </c>
      <c r="E337" s="102">
        <f t="shared" si="151"/>
        <v>297139</v>
      </c>
      <c r="F337" s="102">
        <f t="shared" si="152"/>
        <v>165077</v>
      </c>
      <c r="G337" s="102">
        <f t="shared" si="153"/>
        <v>330155</v>
      </c>
      <c r="H337" s="102">
        <f t="shared" si="154"/>
        <v>594279</v>
      </c>
      <c r="I337" s="102">
        <f t="shared" si="155"/>
        <v>1455322</v>
      </c>
      <c r="J337" s="102">
        <f t="shared" si="156"/>
        <v>459576</v>
      </c>
      <c r="K337" s="101">
        <v>699907.0</v>
      </c>
      <c r="L337" s="102">
        <f t="shared" si="157"/>
        <v>534830</v>
      </c>
      <c r="M337" s="102">
        <f t="shared" si="158"/>
        <v>699907</v>
      </c>
      <c r="N337" s="101">
        <v>1632105.0</v>
      </c>
      <c r="O337" s="102">
        <f t="shared" si="159"/>
        <v>1301950</v>
      </c>
      <c r="P337" s="102">
        <f t="shared" si="160"/>
        <v>1632105</v>
      </c>
      <c r="Q337" s="101">
        <v>1546774.0</v>
      </c>
      <c r="R337" s="102">
        <f t="shared" si="161"/>
        <v>952495</v>
      </c>
      <c r="S337" s="102">
        <f t="shared" si="162"/>
        <v>1546774</v>
      </c>
      <c r="T337" s="102">
        <f t="shared" si="163"/>
        <v>0</v>
      </c>
      <c r="U337" s="101">
        <v>459105.0</v>
      </c>
      <c r="V337" s="101">
        <v>2395238.0</v>
      </c>
      <c r="W337" s="101">
        <v>1026531.0</v>
      </c>
      <c r="X337" s="102">
        <f>'Manufacturing &amp; Production'!K285</f>
        <v>16471</v>
      </c>
      <c r="Y337" s="102">
        <f>'Monthly Data'!P81</f>
        <v>342183</v>
      </c>
    </row>
    <row r="338">
      <c r="A338" s="99">
        <f t="shared" si="147"/>
        <v>45536</v>
      </c>
      <c r="B338" s="111">
        <f t="shared" si="148"/>
        <v>248</v>
      </c>
      <c r="C338" s="102">
        <f t="shared" si="149"/>
        <v>119405</v>
      </c>
      <c r="D338" s="102">
        <f t="shared" si="150"/>
        <v>3454785</v>
      </c>
      <c r="E338" s="102">
        <f t="shared" si="151"/>
        <v>310931</v>
      </c>
      <c r="F338" s="102">
        <f t="shared" si="152"/>
        <v>172739</v>
      </c>
      <c r="G338" s="102">
        <f t="shared" si="153"/>
        <v>345479</v>
      </c>
      <c r="H338" s="102">
        <f t="shared" si="154"/>
        <v>621861</v>
      </c>
      <c r="I338" s="102">
        <f t="shared" si="155"/>
        <v>1522869</v>
      </c>
      <c r="J338" s="102">
        <f t="shared" si="156"/>
        <v>480906</v>
      </c>
      <c r="K338" s="101">
        <v>716647.0</v>
      </c>
      <c r="L338" s="102">
        <f t="shared" si="157"/>
        <v>543908</v>
      </c>
      <c r="M338" s="102">
        <f t="shared" si="158"/>
        <v>716647</v>
      </c>
      <c r="N338" s="101">
        <v>1764436.0</v>
      </c>
      <c r="O338" s="102">
        <f t="shared" si="159"/>
        <v>1418957</v>
      </c>
      <c r="P338" s="102">
        <f t="shared" si="160"/>
        <v>1764436</v>
      </c>
      <c r="Q338" s="101">
        <v>1549259.0</v>
      </c>
      <c r="R338" s="102">
        <f t="shared" si="161"/>
        <v>927398</v>
      </c>
      <c r="S338" s="102">
        <f t="shared" si="162"/>
        <v>1549259</v>
      </c>
      <c r="T338" s="102">
        <f t="shared" si="163"/>
        <v>0</v>
      </c>
      <c r="U338" s="101">
        <v>506635.0</v>
      </c>
      <c r="V338" s="101">
        <v>2452524.0</v>
      </c>
      <c r="W338" s="101">
        <v>1051081.0</v>
      </c>
      <c r="X338" s="102">
        <f>'Manufacturing &amp; Production'!K286</f>
        <v>102941</v>
      </c>
      <c r="Y338" s="102">
        <f>'Monthly Data'!P82</f>
        <v>348083</v>
      </c>
    </row>
    <row r="339">
      <c r="A339" s="99">
        <f t="shared" si="147"/>
        <v>45566</v>
      </c>
      <c r="B339" s="111">
        <f t="shared" si="148"/>
        <v>258</v>
      </c>
      <c r="C339" s="102">
        <f t="shared" si="149"/>
        <v>119405</v>
      </c>
      <c r="D339" s="102">
        <f t="shared" si="150"/>
        <v>3594091</v>
      </c>
      <c r="E339" s="102">
        <f t="shared" si="151"/>
        <v>323468</v>
      </c>
      <c r="F339" s="102">
        <f t="shared" si="152"/>
        <v>179705</v>
      </c>
      <c r="G339" s="102">
        <f t="shared" si="153"/>
        <v>359409</v>
      </c>
      <c r="H339" s="102">
        <f t="shared" si="154"/>
        <v>646936</v>
      </c>
      <c r="I339" s="102">
        <f t="shared" si="155"/>
        <v>1584275</v>
      </c>
      <c r="J339" s="102">
        <f t="shared" si="156"/>
        <v>500298</v>
      </c>
      <c r="K339" s="101">
        <v>747913.0</v>
      </c>
      <c r="L339" s="102">
        <f t="shared" si="157"/>
        <v>568208</v>
      </c>
      <c r="M339" s="102">
        <f t="shared" si="158"/>
        <v>747913</v>
      </c>
      <c r="N339" s="101">
        <v>1966863.0</v>
      </c>
      <c r="O339" s="102">
        <f t="shared" si="159"/>
        <v>1607454</v>
      </c>
      <c r="P339" s="102">
        <f t="shared" si="160"/>
        <v>1966863</v>
      </c>
      <c r="Q339" s="101">
        <v>1567976.0</v>
      </c>
      <c r="R339" s="102">
        <f t="shared" si="161"/>
        <v>921040</v>
      </c>
      <c r="S339" s="102">
        <f t="shared" si="162"/>
        <v>1567976</v>
      </c>
      <c r="T339" s="102">
        <f t="shared" si="163"/>
        <v>0</v>
      </c>
      <c r="U339" s="101">
        <v>617541.0</v>
      </c>
      <c r="V339" s="101">
        <v>2559524.0</v>
      </c>
      <c r="W339" s="101">
        <v>1096939.0</v>
      </c>
      <c r="X339" s="102">
        <f>'Manufacturing &amp; Production'!K287</f>
        <v>16471</v>
      </c>
      <c r="Y339" s="102">
        <f>'Monthly Data'!P83</f>
        <v>353982</v>
      </c>
    </row>
    <row r="340">
      <c r="A340" s="99">
        <f t="shared" si="147"/>
        <v>45597</v>
      </c>
      <c r="B340" s="111">
        <f t="shared" si="148"/>
        <v>269</v>
      </c>
      <c r="C340" s="102">
        <f t="shared" si="149"/>
        <v>119405</v>
      </c>
      <c r="D340" s="102">
        <f t="shared" si="150"/>
        <v>3747327</v>
      </c>
      <c r="E340" s="102">
        <f t="shared" si="151"/>
        <v>337259</v>
      </c>
      <c r="F340" s="102">
        <f t="shared" si="152"/>
        <v>187366</v>
      </c>
      <c r="G340" s="102">
        <f t="shared" si="153"/>
        <v>374733</v>
      </c>
      <c r="H340" s="102">
        <f t="shared" si="154"/>
        <v>674519</v>
      </c>
      <c r="I340" s="102">
        <f t="shared" si="155"/>
        <v>1651822</v>
      </c>
      <c r="J340" s="102">
        <f t="shared" si="156"/>
        <v>521628</v>
      </c>
      <c r="K340" s="101">
        <v>787570.0</v>
      </c>
      <c r="L340" s="102">
        <f t="shared" si="157"/>
        <v>600204</v>
      </c>
      <c r="M340" s="102">
        <f t="shared" si="158"/>
        <v>787570</v>
      </c>
      <c r="N340" s="101">
        <v>2119179.0</v>
      </c>
      <c r="O340" s="102">
        <f t="shared" si="159"/>
        <v>1744446</v>
      </c>
      <c r="P340" s="102">
        <f t="shared" si="160"/>
        <v>2119179</v>
      </c>
      <c r="Q340" s="101">
        <v>1600749.0</v>
      </c>
      <c r="R340" s="102">
        <f t="shared" si="161"/>
        <v>926230</v>
      </c>
      <c r="S340" s="102">
        <f t="shared" si="162"/>
        <v>1600749</v>
      </c>
      <c r="T340" s="102">
        <f t="shared" si="163"/>
        <v>0</v>
      </c>
      <c r="U340" s="101">
        <v>675143.0</v>
      </c>
      <c r="V340" s="101">
        <v>2695238.0</v>
      </c>
      <c r="W340" s="101">
        <v>1155102.0</v>
      </c>
      <c r="X340" s="102">
        <f>'Manufacturing &amp; Production'!K288</f>
        <v>16471</v>
      </c>
      <c r="Y340" s="102">
        <f>'Monthly Data'!P84</f>
        <v>359882</v>
      </c>
    </row>
    <row r="341">
      <c r="A341" s="99">
        <f t="shared" si="147"/>
        <v>45627</v>
      </c>
      <c r="B341" s="111">
        <f t="shared" si="148"/>
        <v>280</v>
      </c>
      <c r="C341" s="102">
        <f t="shared" si="149"/>
        <v>119405</v>
      </c>
      <c r="D341" s="102">
        <f t="shared" si="150"/>
        <v>3900563</v>
      </c>
      <c r="E341" s="102">
        <f t="shared" si="151"/>
        <v>351051</v>
      </c>
      <c r="F341" s="102">
        <f t="shared" si="152"/>
        <v>195028</v>
      </c>
      <c r="G341" s="102">
        <f t="shared" si="153"/>
        <v>390056</v>
      </c>
      <c r="H341" s="102">
        <f t="shared" si="154"/>
        <v>702101</v>
      </c>
      <c r="I341" s="102">
        <f t="shared" si="155"/>
        <v>1719369</v>
      </c>
      <c r="J341" s="102">
        <f t="shared" si="156"/>
        <v>542958</v>
      </c>
      <c r="K341" s="101">
        <v>827225.0</v>
      </c>
      <c r="L341" s="102">
        <f t="shared" si="157"/>
        <v>632197</v>
      </c>
      <c r="M341" s="102">
        <f t="shared" si="158"/>
        <v>827225</v>
      </c>
      <c r="N341" s="101">
        <v>2273941.0</v>
      </c>
      <c r="O341" s="102">
        <f t="shared" si="159"/>
        <v>1883885</v>
      </c>
      <c r="P341" s="102">
        <f t="shared" si="160"/>
        <v>2273941</v>
      </c>
      <c r="Q341" s="101">
        <v>1641639.0</v>
      </c>
      <c r="R341" s="102">
        <f t="shared" si="161"/>
        <v>939538</v>
      </c>
      <c r="S341" s="102">
        <f t="shared" si="162"/>
        <v>1641639</v>
      </c>
      <c r="T341" s="102">
        <f t="shared" si="163"/>
        <v>0</v>
      </c>
      <c r="U341" s="101">
        <v>735170.0</v>
      </c>
      <c r="V341" s="101">
        <v>2830952.0</v>
      </c>
      <c r="W341" s="101">
        <v>1213265.0</v>
      </c>
      <c r="X341" s="102">
        <f>'Manufacturing &amp; Production'!K289</f>
        <v>119409</v>
      </c>
      <c r="Y341" s="102">
        <f>'Monthly Data'!P85</f>
        <v>365782</v>
      </c>
    </row>
    <row r="342">
      <c r="A342" s="99">
        <f t="shared" si="147"/>
        <v>45658</v>
      </c>
      <c r="B342" s="111">
        <f t="shared" si="148"/>
        <v>290</v>
      </c>
      <c r="C342" s="102">
        <f t="shared" si="149"/>
        <v>122987</v>
      </c>
      <c r="D342" s="102">
        <f t="shared" si="150"/>
        <v>4161060</v>
      </c>
      <c r="E342" s="102">
        <f t="shared" si="151"/>
        <v>374495</v>
      </c>
      <c r="F342" s="102">
        <f t="shared" si="152"/>
        <v>208053</v>
      </c>
      <c r="G342" s="102">
        <f t="shared" si="153"/>
        <v>416106</v>
      </c>
      <c r="H342" s="102">
        <f t="shared" si="154"/>
        <v>748991</v>
      </c>
      <c r="I342" s="102">
        <f t="shared" si="155"/>
        <v>1834195</v>
      </c>
      <c r="J342" s="102">
        <f t="shared" si="156"/>
        <v>579220</v>
      </c>
      <c r="K342" s="101">
        <v>797065.0</v>
      </c>
      <c r="L342" s="102">
        <f t="shared" si="157"/>
        <v>589012</v>
      </c>
      <c r="M342" s="102">
        <f t="shared" si="158"/>
        <v>797065</v>
      </c>
      <c r="N342" s="101">
        <v>2081003.0</v>
      </c>
      <c r="O342" s="102">
        <f t="shared" si="159"/>
        <v>1664897</v>
      </c>
      <c r="P342" s="102">
        <f t="shared" si="160"/>
        <v>2081003</v>
      </c>
      <c r="Q342" s="101">
        <v>2292045.0</v>
      </c>
      <c r="R342" s="102">
        <f t="shared" si="161"/>
        <v>1543054</v>
      </c>
      <c r="S342" s="102">
        <f t="shared" si="162"/>
        <v>2292045</v>
      </c>
      <c r="T342" s="102">
        <f t="shared" si="163"/>
        <v>0</v>
      </c>
      <c r="U342" s="101">
        <v>904242.0</v>
      </c>
      <c r="V342" s="101">
        <v>3774684.0</v>
      </c>
      <c r="W342" s="101">
        <v>2123260.0</v>
      </c>
      <c r="X342" s="102">
        <f>'Manufacturing &amp; Production'!K290</f>
        <v>16471</v>
      </c>
      <c r="Y342" s="102">
        <f>'Monthly Data'!P86</f>
        <v>526549</v>
      </c>
    </row>
    <row r="343">
      <c r="A343" s="99">
        <f t="shared" si="147"/>
        <v>45689</v>
      </c>
      <c r="B343" s="111">
        <f t="shared" si="148"/>
        <v>300</v>
      </c>
      <c r="C343" s="102">
        <f t="shared" si="149"/>
        <v>122987</v>
      </c>
      <c r="D343" s="102">
        <f t="shared" si="150"/>
        <v>4304545</v>
      </c>
      <c r="E343" s="102">
        <f t="shared" si="151"/>
        <v>387409</v>
      </c>
      <c r="F343" s="102">
        <f t="shared" si="152"/>
        <v>215227</v>
      </c>
      <c r="G343" s="102">
        <f t="shared" si="153"/>
        <v>430455</v>
      </c>
      <c r="H343" s="102">
        <f t="shared" si="154"/>
        <v>774818</v>
      </c>
      <c r="I343" s="102">
        <f t="shared" si="155"/>
        <v>1897443</v>
      </c>
      <c r="J343" s="102">
        <f t="shared" si="156"/>
        <v>599193</v>
      </c>
      <c r="K343" s="101">
        <v>814660.0</v>
      </c>
      <c r="L343" s="102">
        <f t="shared" si="157"/>
        <v>599433</v>
      </c>
      <c r="M343" s="102">
        <f t="shared" si="158"/>
        <v>814660</v>
      </c>
      <c r="N343" s="101">
        <v>2249945.0</v>
      </c>
      <c r="O343" s="102">
        <f t="shared" si="159"/>
        <v>1819490</v>
      </c>
      <c r="P343" s="102">
        <f t="shared" si="160"/>
        <v>2249945</v>
      </c>
      <c r="Q343" s="101">
        <v>2340343.0</v>
      </c>
      <c r="R343" s="102">
        <f t="shared" si="161"/>
        <v>1565525</v>
      </c>
      <c r="S343" s="102">
        <f t="shared" si="162"/>
        <v>2340343</v>
      </c>
      <c r="T343" s="102">
        <f t="shared" si="163"/>
        <v>0</v>
      </c>
      <c r="U343" s="101">
        <v>949706.0</v>
      </c>
      <c r="V343" s="101">
        <v>3858009.0</v>
      </c>
      <c r="W343" s="101">
        <v>2170130.0</v>
      </c>
      <c r="X343" s="102">
        <f>'Manufacturing &amp; Production'!K291</f>
        <v>16471</v>
      </c>
      <c r="Y343" s="102">
        <f>'Monthly Data'!P87</f>
        <v>536873</v>
      </c>
    </row>
    <row r="344">
      <c r="A344" s="99">
        <f t="shared" si="147"/>
        <v>45717</v>
      </c>
      <c r="B344" s="111">
        <f t="shared" si="148"/>
        <v>310</v>
      </c>
      <c r="C344" s="102">
        <f t="shared" si="149"/>
        <v>122987</v>
      </c>
      <c r="D344" s="102">
        <f t="shared" si="150"/>
        <v>4448030</v>
      </c>
      <c r="E344" s="102">
        <f t="shared" si="151"/>
        <v>400323</v>
      </c>
      <c r="F344" s="102">
        <f t="shared" si="152"/>
        <v>222402</v>
      </c>
      <c r="G344" s="102">
        <f t="shared" si="153"/>
        <v>444803</v>
      </c>
      <c r="H344" s="102">
        <f t="shared" si="154"/>
        <v>800645</v>
      </c>
      <c r="I344" s="102">
        <f t="shared" si="155"/>
        <v>1960691</v>
      </c>
      <c r="J344" s="102">
        <f t="shared" si="156"/>
        <v>619166</v>
      </c>
      <c r="K344" s="101">
        <v>814616.0</v>
      </c>
      <c r="L344" s="102">
        <f t="shared" si="157"/>
        <v>592214</v>
      </c>
      <c r="M344" s="102">
        <f t="shared" si="158"/>
        <v>814616</v>
      </c>
      <c r="N344" s="101">
        <v>2408827.0</v>
      </c>
      <c r="O344" s="102">
        <f t="shared" si="159"/>
        <v>1964024</v>
      </c>
      <c r="P344" s="102">
        <f t="shared" si="160"/>
        <v>2408827</v>
      </c>
      <c r="Q344" s="101">
        <v>2367926.0</v>
      </c>
      <c r="R344" s="102">
        <f t="shared" si="161"/>
        <v>1567281</v>
      </c>
      <c r="S344" s="102">
        <f t="shared" si="162"/>
        <v>2367926</v>
      </c>
      <c r="T344" s="102">
        <f t="shared" si="163"/>
        <v>0</v>
      </c>
      <c r="U344" s="101">
        <v>995171.0</v>
      </c>
      <c r="V344" s="101">
        <v>3857801.0</v>
      </c>
      <c r="W344" s="101">
        <v>2170013.0</v>
      </c>
      <c r="X344" s="102">
        <f>'Manufacturing &amp; Production'!K292</f>
        <v>102941</v>
      </c>
      <c r="Y344" s="102">
        <f>'Monthly Data'!P88</f>
        <v>547198</v>
      </c>
    </row>
    <row r="345">
      <c r="A345" s="99">
        <f t="shared" si="147"/>
        <v>45748</v>
      </c>
      <c r="B345" s="111">
        <f t="shared" si="148"/>
        <v>320</v>
      </c>
      <c r="C345" s="102">
        <f t="shared" si="149"/>
        <v>122987</v>
      </c>
      <c r="D345" s="102">
        <f t="shared" si="150"/>
        <v>4591515</v>
      </c>
      <c r="E345" s="102">
        <f t="shared" si="151"/>
        <v>413236</v>
      </c>
      <c r="F345" s="102">
        <f t="shared" si="152"/>
        <v>229576</v>
      </c>
      <c r="G345" s="102">
        <f t="shared" si="153"/>
        <v>459152</v>
      </c>
      <c r="H345" s="102">
        <f t="shared" si="154"/>
        <v>826473</v>
      </c>
      <c r="I345" s="102">
        <f t="shared" si="155"/>
        <v>2023939</v>
      </c>
      <c r="J345" s="102">
        <f t="shared" si="156"/>
        <v>639139</v>
      </c>
      <c r="K345" s="101">
        <v>799303.0</v>
      </c>
      <c r="L345" s="102">
        <f t="shared" si="157"/>
        <v>569727</v>
      </c>
      <c r="M345" s="102">
        <f t="shared" si="158"/>
        <v>799303</v>
      </c>
      <c r="N345" s="101">
        <v>2559001.0</v>
      </c>
      <c r="O345" s="102">
        <f t="shared" si="159"/>
        <v>2099849</v>
      </c>
      <c r="P345" s="102">
        <f t="shared" si="160"/>
        <v>2559001</v>
      </c>
      <c r="Q345" s="101">
        <v>2371588.0</v>
      </c>
      <c r="R345" s="102">
        <f t="shared" si="161"/>
        <v>1545115</v>
      </c>
      <c r="S345" s="102">
        <f t="shared" si="162"/>
        <v>2371588</v>
      </c>
      <c r="T345" s="102">
        <f t="shared" si="163"/>
        <v>0</v>
      </c>
      <c r="U345" s="101">
        <v>1040636.0</v>
      </c>
      <c r="V345" s="101">
        <v>3785281.0</v>
      </c>
      <c r="W345" s="101">
        <v>2129221.0</v>
      </c>
      <c r="X345" s="102">
        <f>'Manufacturing &amp; Production'!K293</f>
        <v>16471</v>
      </c>
      <c r="Y345" s="102">
        <f>'Monthly Data'!P89</f>
        <v>557522</v>
      </c>
    </row>
    <row r="346">
      <c r="A346" s="99">
        <f t="shared" si="147"/>
        <v>45778</v>
      </c>
      <c r="B346" s="111">
        <f t="shared" si="148"/>
        <v>330</v>
      </c>
      <c r="C346" s="102">
        <f t="shared" si="149"/>
        <v>122987</v>
      </c>
      <c r="D346" s="102">
        <f t="shared" si="150"/>
        <v>4735000</v>
      </c>
      <c r="E346" s="102">
        <f t="shared" si="151"/>
        <v>426150</v>
      </c>
      <c r="F346" s="102">
        <f t="shared" si="152"/>
        <v>236750</v>
      </c>
      <c r="G346" s="102">
        <f t="shared" si="153"/>
        <v>473500</v>
      </c>
      <c r="H346" s="102">
        <f t="shared" si="154"/>
        <v>852300</v>
      </c>
      <c r="I346" s="102">
        <f t="shared" si="155"/>
        <v>2087188</v>
      </c>
      <c r="J346" s="102">
        <f t="shared" si="156"/>
        <v>659112</v>
      </c>
      <c r="K346" s="101">
        <v>775170.0</v>
      </c>
      <c r="L346" s="102">
        <f t="shared" si="157"/>
        <v>538420</v>
      </c>
      <c r="M346" s="102">
        <f t="shared" si="158"/>
        <v>775170</v>
      </c>
      <c r="N346" s="101">
        <v>2704145.0</v>
      </c>
      <c r="O346" s="102">
        <f t="shared" si="159"/>
        <v>2230645</v>
      </c>
      <c r="P346" s="102">
        <f t="shared" si="160"/>
        <v>2704145</v>
      </c>
      <c r="Q346" s="101">
        <v>2354535.0</v>
      </c>
      <c r="R346" s="102">
        <f t="shared" si="161"/>
        <v>1502235</v>
      </c>
      <c r="S346" s="102">
        <f t="shared" si="162"/>
        <v>2354535</v>
      </c>
      <c r="T346" s="102">
        <f t="shared" si="163"/>
        <v>0</v>
      </c>
      <c r="U346" s="101">
        <v>1086100.0</v>
      </c>
      <c r="V346" s="101">
        <v>3670996.0</v>
      </c>
      <c r="W346" s="101">
        <v>2064935.0</v>
      </c>
      <c r="X346" s="102">
        <f>'Manufacturing &amp; Production'!K294</f>
        <v>16471</v>
      </c>
      <c r="Y346" s="102">
        <f>'Monthly Data'!P90</f>
        <v>567847</v>
      </c>
    </row>
    <row r="347">
      <c r="A347" s="99">
        <f t="shared" si="147"/>
        <v>45809</v>
      </c>
      <c r="B347" s="111">
        <f t="shared" si="148"/>
        <v>340</v>
      </c>
      <c r="C347" s="102">
        <f t="shared" si="149"/>
        <v>122987</v>
      </c>
      <c r="D347" s="102">
        <f t="shared" si="150"/>
        <v>4878484</v>
      </c>
      <c r="E347" s="102">
        <f t="shared" si="151"/>
        <v>439064</v>
      </c>
      <c r="F347" s="102">
        <f t="shared" si="152"/>
        <v>243924</v>
      </c>
      <c r="G347" s="102">
        <f t="shared" si="153"/>
        <v>487848</v>
      </c>
      <c r="H347" s="102">
        <f t="shared" si="154"/>
        <v>878127</v>
      </c>
      <c r="I347" s="102">
        <f t="shared" si="155"/>
        <v>2150436</v>
      </c>
      <c r="J347" s="102">
        <f t="shared" si="156"/>
        <v>679085</v>
      </c>
      <c r="K347" s="101">
        <v>751037.0</v>
      </c>
      <c r="L347" s="102">
        <f t="shared" si="157"/>
        <v>507113</v>
      </c>
      <c r="M347" s="102">
        <f t="shared" si="158"/>
        <v>751037</v>
      </c>
      <c r="N347" s="101">
        <v>2849290.0</v>
      </c>
      <c r="O347" s="102">
        <f t="shared" si="159"/>
        <v>2361442</v>
      </c>
      <c r="P347" s="102">
        <f t="shared" si="160"/>
        <v>2849290</v>
      </c>
      <c r="Q347" s="101">
        <v>2325522.0</v>
      </c>
      <c r="R347" s="102">
        <f t="shared" si="161"/>
        <v>1447395</v>
      </c>
      <c r="S347" s="102">
        <f t="shared" si="162"/>
        <v>2325522</v>
      </c>
      <c r="T347" s="102">
        <f t="shared" si="163"/>
        <v>0</v>
      </c>
      <c r="U347" s="101">
        <v>1131565.0</v>
      </c>
      <c r="V347" s="101">
        <v>3556710.0</v>
      </c>
      <c r="W347" s="101">
        <v>2000649.0</v>
      </c>
      <c r="X347" s="102">
        <f>'Manufacturing &amp; Production'!K295</f>
        <v>102941</v>
      </c>
      <c r="Y347" s="102">
        <f>'Monthly Data'!P91</f>
        <v>578171</v>
      </c>
    </row>
    <row r="348">
      <c r="A348" s="99">
        <f t="shared" si="147"/>
        <v>45839</v>
      </c>
      <c r="B348" s="111">
        <f t="shared" si="148"/>
        <v>350</v>
      </c>
      <c r="C348" s="102">
        <f t="shared" si="149"/>
        <v>122987</v>
      </c>
      <c r="D348" s="102">
        <f t="shared" si="150"/>
        <v>5021969</v>
      </c>
      <c r="E348" s="102">
        <f t="shared" si="151"/>
        <v>451977</v>
      </c>
      <c r="F348" s="102">
        <f t="shared" si="152"/>
        <v>251098</v>
      </c>
      <c r="G348" s="102">
        <f t="shared" si="153"/>
        <v>502197</v>
      </c>
      <c r="H348" s="102">
        <f t="shared" si="154"/>
        <v>903954</v>
      </c>
      <c r="I348" s="102">
        <f t="shared" si="155"/>
        <v>2213685</v>
      </c>
      <c r="J348" s="102">
        <f t="shared" si="156"/>
        <v>699058</v>
      </c>
      <c r="K348" s="101">
        <v>735724.0</v>
      </c>
      <c r="L348" s="102">
        <f t="shared" si="157"/>
        <v>484626</v>
      </c>
      <c r="M348" s="102">
        <f t="shared" si="158"/>
        <v>735724</v>
      </c>
      <c r="N348" s="101">
        <v>2999464.0</v>
      </c>
      <c r="O348" s="102">
        <f t="shared" si="159"/>
        <v>2497267</v>
      </c>
      <c r="P348" s="102">
        <f t="shared" si="160"/>
        <v>2999464</v>
      </c>
      <c r="Q348" s="101">
        <v>2296509.0</v>
      </c>
      <c r="R348" s="102">
        <f t="shared" si="161"/>
        <v>1392555</v>
      </c>
      <c r="S348" s="102">
        <f t="shared" si="162"/>
        <v>2296509</v>
      </c>
      <c r="T348" s="102">
        <f t="shared" si="163"/>
        <v>0</v>
      </c>
      <c r="U348" s="101">
        <v>1177029.0</v>
      </c>
      <c r="V348" s="101">
        <v>3484191.0</v>
      </c>
      <c r="W348" s="101">
        <v>1959857.0</v>
      </c>
      <c r="X348" s="102">
        <f>'Manufacturing &amp; Production'!K296</f>
        <v>16471</v>
      </c>
      <c r="Y348" s="102">
        <f>'Monthly Data'!P92</f>
        <v>588496</v>
      </c>
    </row>
    <row r="349">
      <c r="A349" s="99">
        <f t="shared" si="147"/>
        <v>45870</v>
      </c>
      <c r="B349" s="111">
        <f t="shared" si="148"/>
        <v>360</v>
      </c>
      <c r="C349" s="102">
        <f t="shared" si="149"/>
        <v>122987</v>
      </c>
      <c r="D349" s="102">
        <f t="shared" si="150"/>
        <v>5165454</v>
      </c>
      <c r="E349" s="102">
        <f t="shared" si="151"/>
        <v>464891</v>
      </c>
      <c r="F349" s="102">
        <f t="shared" si="152"/>
        <v>258273</v>
      </c>
      <c r="G349" s="102">
        <f t="shared" si="153"/>
        <v>516545</v>
      </c>
      <c r="H349" s="102">
        <f t="shared" si="154"/>
        <v>929782</v>
      </c>
      <c r="I349" s="102">
        <f t="shared" si="155"/>
        <v>2276932</v>
      </c>
      <c r="J349" s="102">
        <f t="shared" si="156"/>
        <v>719031</v>
      </c>
      <c r="K349" s="101">
        <v>735680.0</v>
      </c>
      <c r="L349" s="102">
        <f t="shared" si="157"/>
        <v>477407</v>
      </c>
      <c r="M349" s="102">
        <f t="shared" si="158"/>
        <v>735680</v>
      </c>
      <c r="N349" s="101">
        <v>3158346.0</v>
      </c>
      <c r="O349" s="102">
        <f t="shared" si="159"/>
        <v>2641801</v>
      </c>
      <c r="P349" s="102">
        <f t="shared" si="160"/>
        <v>3158346</v>
      </c>
      <c r="Q349" s="101">
        <v>2279456.0</v>
      </c>
      <c r="R349" s="102">
        <f t="shared" si="161"/>
        <v>1349674</v>
      </c>
      <c r="S349" s="102">
        <f t="shared" si="162"/>
        <v>2279456</v>
      </c>
      <c r="T349" s="102">
        <f t="shared" si="163"/>
        <v>0</v>
      </c>
      <c r="U349" s="101">
        <v>1222495.0</v>
      </c>
      <c r="V349" s="101">
        <v>3483983.0</v>
      </c>
      <c r="W349" s="101">
        <v>1959740.0</v>
      </c>
      <c r="X349" s="102">
        <f>'Manufacturing &amp; Production'!K297</f>
        <v>16471</v>
      </c>
      <c r="Y349" s="102">
        <f>'Monthly Data'!P93</f>
        <v>598820</v>
      </c>
    </row>
    <row r="350">
      <c r="A350" s="99">
        <f t="shared" si="147"/>
        <v>45901</v>
      </c>
      <c r="B350" s="111">
        <f t="shared" si="148"/>
        <v>370</v>
      </c>
      <c r="C350" s="102">
        <f t="shared" si="149"/>
        <v>122987</v>
      </c>
      <c r="D350" s="102">
        <f t="shared" si="150"/>
        <v>5308939</v>
      </c>
      <c r="E350" s="102">
        <f t="shared" si="151"/>
        <v>477805</v>
      </c>
      <c r="F350" s="102">
        <f t="shared" si="152"/>
        <v>265447</v>
      </c>
      <c r="G350" s="102">
        <f t="shared" si="153"/>
        <v>530894</v>
      </c>
      <c r="H350" s="102">
        <f t="shared" si="154"/>
        <v>955609</v>
      </c>
      <c r="I350" s="102">
        <f t="shared" si="155"/>
        <v>2340180</v>
      </c>
      <c r="J350" s="102">
        <f t="shared" si="156"/>
        <v>739004</v>
      </c>
      <c r="K350" s="101">
        <v>753275.0</v>
      </c>
      <c r="L350" s="102">
        <f t="shared" si="157"/>
        <v>487828</v>
      </c>
      <c r="M350" s="102">
        <f t="shared" si="158"/>
        <v>753275</v>
      </c>
      <c r="N350" s="101">
        <v>3327288.0</v>
      </c>
      <c r="O350" s="102">
        <f t="shared" si="159"/>
        <v>2796394</v>
      </c>
      <c r="P350" s="102">
        <f t="shared" si="160"/>
        <v>3327288</v>
      </c>
      <c r="Q350" s="101">
        <v>2283118.0</v>
      </c>
      <c r="R350" s="102">
        <f t="shared" si="161"/>
        <v>1327509</v>
      </c>
      <c r="S350" s="102">
        <f t="shared" si="162"/>
        <v>2283118</v>
      </c>
      <c r="T350" s="102">
        <f t="shared" si="163"/>
        <v>0</v>
      </c>
      <c r="U350" s="101">
        <v>1267959.0</v>
      </c>
      <c r="V350" s="101">
        <v>3567308.0</v>
      </c>
      <c r="W350" s="101">
        <v>2006610.0</v>
      </c>
      <c r="X350" s="102">
        <f>'Manufacturing &amp; Production'!K298</f>
        <v>102941</v>
      </c>
      <c r="Y350" s="102">
        <f>'Monthly Data'!P94</f>
        <v>609145</v>
      </c>
    </row>
    <row r="351">
      <c r="A351" s="99">
        <f t="shared" si="147"/>
        <v>45931</v>
      </c>
      <c r="B351" s="111">
        <f t="shared" si="148"/>
        <v>380</v>
      </c>
      <c r="C351" s="102">
        <f t="shared" si="149"/>
        <v>122987</v>
      </c>
      <c r="D351" s="102">
        <f t="shared" si="150"/>
        <v>5452424</v>
      </c>
      <c r="E351" s="102">
        <f t="shared" si="151"/>
        <v>490718</v>
      </c>
      <c r="F351" s="102">
        <f t="shared" si="152"/>
        <v>272621</v>
      </c>
      <c r="G351" s="102">
        <f t="shared" si="153"/>
        <v>545242</v>
      </c>
      <c r="H351" s="102">
        <f t="shared" si="154"/>
        <v>981436</v>
      </c>
      <c r="I351" s="102">
        <f t="shared" si="155"/>
        <v>2403429</v>
      </c>
      <c r="J351" s="102">
        <f t="shared" si="156"/>
        <v>758978</v>
      </c>
      <c r="K351" s="101">
        <v>786139.0</v>
      </c>
      <c r="L351" s="102">
        <f t="shared" si="157"/>
        <v>513518</v>
      </c>
      <c r="M351" s="102">
        <f t="shared" si="158"/>
        <v>786139</v>
      </c>
      <c r="N351" s="101">
        <v>3698194.0</v>
      </c>
      <c r="O351" s="102">
        <f t="shared" si="159"/>
        <v>3152952</v>
      </c>
      <c r="P351" s="102">
        <f t="shared" si="160"/>
        <v>3698194</v>
      </c>
      <c r="Q351" s="101">
        <v>2310701.0</v>
      </c>
      <c r="R351" s="102">
        <f t="shared" si="161"/>
        <v>1329265</v>
      </c>
      <c r="S351" s="102">
        <f t="shared" si="162"/>
        <v>2310701</v>
      </c>
      <c r="T351" s="102">
        <f t="shared" si="163"/>
        <v>0</v>
      </c>
      <c r="U351" s="101">
        <v>1457900.0</v>
      </c>
      <c r="V351" s="101">
        <v>3722944.0</v>
      </c>
      <c r="W351" s="101">
        <v>2094156.0</v>
      </c>
      <c r="X351" s="102">
        <f>'Manufacturing &amp; Production'!K299</f>
        <v>16471</v>
      </c>
      <c r="Y351" s="102">
        <f>'Monthly Data'!P95</f>
        <v>619469</v>
      </c>
    </row>
    <row r="352">
      <c r="A352" s="99">
        <f t="shared" si="147"/>
        <v>45962</v>
      </c>
      <c r="B352" s="111">
        <f t="shared" si="148"/>
        <v>390</v>
      </c>
      <c r="C352" s="102">
        <f t="shared" si="149"/>
        <v>122987</v>
      </c>
      <c r="D352" s="102">
        <f t="shared" si="150"/>
        <v>5595909</v>
      </c>
      <c r="E352" s="102">
        <f t="shared" si="151"/>
        <v>503632</v>
      </c>
      <c r="F352" s="102">
        <f t="shared" si="152"/>
        <v>279795</v>
      </c>
      <c r="G352" s="102">
        <f t="shared" si="153"/>
        <v>559591</v>
      </c>
      <c r="H352" s="102">
        <f t="shared" si="154"/>
        <v>1007264</v>
      </c>
      <c r="I352" s="102">
        <f t="shared" si="155"/>
        <v>2466677</v>
      </c>
      <c r="J352" s="102">
        <f t="shared" si="156"/>
        <v>778950</v>
      </c>
      <c r="K352" s="101">
        <v>827823.0</v>
      </c>
      <c r="L352" s="102">
        <f t="shared" si="157"/>
        <v>548028</v>
      </c>
      <c r="M352" s="102">
        <f t="shared" si="158"/>
        <v>827823</v>
      </c>
      <c r="N352" s="101">
        <v>3887564.0</v>
      </c>
      <c r="O352" s="102">
        <f t="shared" si="159"/>
        <v>3327973</v>
      </c>
      <c r="P352" s="102">
        <f t="shared" si="160"/>
        <v>3887564</v>
      </c>
      <c r="Q352" s="101">
        <v>2358999.0</v>
      </c>
      <c r="R352" s="102">
        <f t="shared" si="161"/>
        <v>1351735</v>
      </c>
      <c r="S352" s="102">
        <f t="shared" si="162"/>
        <v>2358999</v>
      </c>
      <c r="T352" s="102">
        <f t="shared" si="163"/>
        <v>0</v>
      </c>
      <c r="U352" s="101">
        <v>1508366.0</v>
      </c>
      <c r="V352" s="101">
        <v>3920346.0</v>
      </c>
      <c r="W352" s="101">
        <v>2205195.0</v>
      </c>
      <c r="X352" s="102">
        <f>'Manufacturing &amp; Production'!K300</f>
        <v>16471</v>
      </c>
      <c r="Y352" s="102">
        <f>'Monthly Data'!P96</f>
        <v>629794</v>
      </c>
    </row>
    <row r="353">
      <c r="A353" s="99">
        <f t="shared" si="147"/>
        <v>45992</v>
      </c>
      <c r="B353" s="111">
        <f t="shared" si="148"/>
        <v>400</v>
      </c>
      <c r="C353" s="102">
        <f t="shared" si="149"/>
        <v>122987</v>
      </c>
      <c r="D353" s="102">
        <f t="shared" si="150"/>
        <v>5739393</v>
      </c>
      <c r="E353" s="102">
        <f t="shared" si="151"/>
        <v>516545</v>
      </c>
      <c r="F353" s="102">
        <f t="shared" si="152"/>
        <v>286970</v>
      </c>
      <c r="G353" s="102">
        <f t="shared" si="153"/>
        <v>573939</v>
      </c>
      <c r="H353" s="102">
        <f t="shared" si="154"/>
        <v>1033091</v>
      </c>
      <c r="I353" s="102">
        <f t="shared" si="155"/>
        <v>2529924</v>
      </c>
      <c r="J353" s="102">
        <f t="shared" si="156"/>
        <v>798924</v>
      </c>
      <c r="K353" s="101">
        <v>869508.0</v>
      </c>
      <c r="L353" s="102">
        <f t="shared" si="157"/>
        <v>582538</v>
      </c>
      <c r="M353" s="102">
        <f t="shared" si="158"/>
        <v>869508</v>
      </c>
      <c r="N353" s="101">
        <v>4076933.0</v>
      </c>
      <c r="O353" s="102">
        <f t="shared" si="159"/>
        <v>3502994</v>
      </c>
      <c r="P353" s="102">
        <f t="shared" si="160"/>
        <v>4076933</v>
      </c>
      <c r="Q353" s="101">
        <v>2419258.0</v>
      </c>
      <c r="R353" s="102">
        <f t="shared" si="161"/>
        <v>1386167</v>
      </c>
      <c r="S353" s="102">
        <f t="shared" si="162"/>
        <v>2419258</v>
      </c>
      <c r="T353" s="102">
        <f t="shared" si="163"/>
        <v>0</v>
      </c>
      <c r="U353" s="101">
        <v>1558830.0</v>
      </c>
      <c r="V353" s="101">
        <v>4117748.0</v>
      </c>
      <c r="W353" s="101">
        <v>2316233.0</v>
      </c>
      <c r="X353" s="102">
        <f>'Manufacturing &amp; Production'!K301</f>
        <v>119409</v>
      </c>
      <c r="Y353" s="102">
        <f>'Monthly Data'!P97</f>
        <v>640116</v>
      </c>
    </row>
    <row r="354">
      <c r="A354" s="113">
        <v>46023.0</v>
      </c>
      <c r="B354" s="114">
        <v>480.0</v>
      </c>
      <c r="C354" s="115">
        <f t="shared" ref="C354:C437" si="164">IFERROR(D354*12/B354/(1+$D$242),0)</f>
        <v>133075.6786</v>
      </c>
      <c r="D354" s="115">
        <f t="shared" ref="D354:D437" si="165">SUM(E354:J354)</f>
        <v>7452238</v>
      </c>
      <c r="E354" s="116">
        <v>1475035.0</v>
      </c>
      <c r="F354" s="116">
        <v>514200.0</v>
      </c>
      <c r="G354" s="116">
        <v>989443.0</v>
      </c>
      <c r="H354" s="116">
        <v>779240.0</v>
      </c>
      <c r="I354" s="116">
        <v>2897370.0</v>
      </c>
      <c r="J354" s="116">
        <v>796950.0</v>
      </c>
      <c r="K354" s="116">
        <v>1045452.0</v>
      </c>
      <c r="L354" s="115">
        <f t="shared" si="157"/>
        <v>531252</v>
      </c>
      <c r="M354" s="115">
        <f t="shared" si="158"/>
        <v>1045452</v>
      </c>
      <c r="N354" s="116">
        <v>3917386.0</v>
      </c>
      <c r="O354" s="115">
        <f t="shared" si="159"/>
        <v>2927943</v>
      </c>
      <c r="P354" s="115">
        <f t="shared" si="160"/>
        <v>3917386</v>
      </c>
      <c r="Q354" s="116">
        <v>3629032.0</v>
      </c>
      <c r="R354" s="115">
        <f t="shared" si="161"/>
        <v>2849792</v>
      </c>
      <c r="S354" s="115">
        <f t="shared" si="162"/>
        <v>3629032</v>
      </c>
      <c r="T354" s="115">
        <f t="shared" si="163"/>
        <v>0</v>
      </c>
      <c r="U354" s="115">
        <f>'Manufacturing &amp; Production'!F302</f>
        <v>1966713</v>
      </c>
      <c r="V354" s="115">
        <f>'Clinical Trials &amp; R&amp;D'!F302</f>
        <v>6167770</v>
      </c>
      <c r="W354" s="115">
        <f>'Clinical Trials &amp; R&amp;D'!I302</f>
        <v>4189174</v>
      </c>
      <c r="X354" s="116">
        <v>16471.0</v>
      </c>
      <c r="Y354" s="116">
        <v>922075.0</v>
      </c>
    </row>
    <row r="355" ht="15.75" customHeight="1">
      <c r="A355" s="113">
        <v>46054.0</v>
      </c>
      <c r="B355" s="114">
        <v>480.0</v>
      </c>
      <c r="C355" s="115">
        <f t="shared" si="164"/>
        <v>132966.6786</v>
      </c>
      <c r="D355" s="115">
        <f t="shared" si="165"/>
        <v>7446134</v>
      </c>
      <c r="E355" s="116">
        <v>1468106.0</v>
      </c>
      <c r="F355" s="116">
        <v>525005.0</v>
      </c>
      <c r="G355" s="116">
        <v>985052.0</v>
      </c>
      <c r="H355" s="116">
        <v>777116.0</v>
      </c>
      <c r="I355" s="116">
        <v>2886030.0</v>
      </c>
      <c r="J355" s="116">
        <v>804825.0</v>
      </c>
      <c r="K355" s="116">
        <v>1085501.0</v>
      </c>
      <c r="L355" s="115">
        <f t="shared" si="157"/>
        <v>560496</v>
      </c>
      <c r="M355" s="115">
        <f t="shared" si="158"/>
        <v>1085501</v>
      </c>
      <c r="N355" s="116">
        <v>3900001.0</v>
      </c>
      <c r="O355" s="115">
        <f t="shared" si="159"/>
        <v>2914949</v>
      </c>
      <c r="P355" s="115">
        <f t="shared" si="160"/>
        <v>3900001</v>
      </c>
      <c r="Q355" s="116">
        <v>3619141.0</v>
      </c>
      <c r="R355" s="115">
        <f t="shared" si="161"/>
        <v>2842025</v>
      </c>
      <c r="S355" s="115">
        <f t="shared" si="162"/>
        <v>3619141</v>
      </c>
      <c r="T355" s="115">
        <f t="shared" si="163"/>
        <v>0</v>
      </c>
      <c r="U355" s="115">
        <f>'Manufacturing &amp; Production'!F303</f>
        <v>1964464</v>
      </c>
      <c r="V355" s="115">
        <f>'Clinical Trials &amp; R&amp;D'!F303</f>
        <v>6143630</v>
      </c>
      <c r="W355" s="115">
        <f>'Clinical Trials &amp; R&amp;D'!I303</f>
        <v>4230569</v>
      </c>
      <c r="X355" s="116">
        <v>16471.0</v>
      </c>
      <c r="Y355" s="116">
        <v>940781.0</v>
      </c>
    </row>
    <row r="356" ht="16.5" customHeight="1">
      <c r="A356" s="117">
        <v>46082.0</v>
      </c>
      <c r="B356" s="118">
        <v>480.0</v>
      </c>
      <c r="C356" s="119">
        <f t="shared" si="164"/>
        <v>133581.4643</v>
      </c>
      <c r="D356" s="119">
        <f t="shared" si="165"/>
        <v>7480562</v>
      </c>
      <c r="E356" s="119">
        <v>1504898.0</v>
      </c>
      <c r="F356" s="119">
        <v>522472.0</v>
      </c>
      <c r="G356" s="119">
        <v>973260.0</v>
      </c>
      <c r="H356" s="119">
        <v>772697.0</v>
      </c>
      <c r="I356" s="119">
        <v>2894535.0</v>
      </c>
      <c r="J356" s="119">
        <v>812700.0</v>
      </c>
      <c r="K356" s="119">
        <v>1098257.0</v>
      </c>
      <c r="L356" s="119">
        <f t="shared" si="157"/>
        <v>575785</v>
      </c>
      <c r="M356" s="119">
        <f t="shared" si="158"/>
        <v>1098257</v>
      </c>
      <c r="N356" s="119">
        <v>3853315.0</v>
      </c>
      <c r="O356" s="119">
        <f t="shared" si="159"/>
        <v>2880055</v>
      </c>
      <c r="P356" s="119">
        <f t="shared" si="160"/>
        <v>3853315</v>
      </c>
      <c r="Q356" s="119">
        <v>3598562.0</v>
      </c>
      <c r="R356" s="119">
        <f t="shared" si="161"/>
        <v>2825865</v>
      </c>
      <c r="S356" s="119">
        <f t="shared" si="162"/>
        <v>3598562</v>
      </c>
      <c r="T356" s="119">
        <f t="shared" si="163"/>
        <v>0</v>
      </c>
      <c r="U356" s="119">
        <f>'Manufacturing &amp; Production'!F304</f>
        <v>2027731</v>
      </c>
      <c r="V356" s="120">
        <f>'Clinical Trials &amp; R&amp;D'!F304</f>
        <v>6161735</v>
      </c>
      <c r="W356" s="120">
        <f>'Clinical Trials &amp; R&amp;D'!I304</f>
        <v>4271964</v>
      </c>
      <c r="X356" s="121">
        <v>102941.0</v>
      </c>
      <c r="Y356" s="121">
        <v>959512.0</v>
      </c>
    </row>
    <row r="357">
      <c r="A357" s="113">
        <v>46113.0</v>
      </c>
      <c r="B357" s="114">
        <v>480.0</v>
      </c>
      <c r="C357" s="115">
        <f t="shared" si="164"/>
        <v>133697.1607</v>
      </c>
      <c r="D357" s="116">
        <f t="shared" si="165"/>
        <v>7487041</v>
      </c>
      <c r="E357" s="116">
        <v>1498461.0</v>
      </c>
      <c r="F357" s="116">
        <v>524522.0</v>
      </c>
      <c r="G357" s="116">
        <v>971342.0</v>
      </c>
      <c r="H357" s="116">
        <v>770046.0</v>
      </c>
      <c r="I357" s="116">
        <v>2925720.0</v>
      </c>
      <c r="J357" s="116">
        <v>796950.0</v>
      </c>
      <c r="K357" s="116">
        <v>1111599.0</v>
      </c>
      <c r="L357" s="116">
        <f t="shared" si="157"/>
        <v>587077</v>
      </c>
      <c r="M357" s="116">
        <f t="shared" si="158"/>
        <v>1111599</v>
      </c>
      <c r="N357" s="116">
        <v>3845722.0</v>
      </c>
      <c r="O357" s="115">
        <f t="shared" si="159"/>
        <v>2874380</v>
      </c>
      <c r="P357" s="115">
        <f t="shared" si="160"/>
        <v>3845722</v>
      </c>
      <c r="Q357" s="116">
        <v>3586215.0</v>
      </c>
      <c r="R357" s="115">
        <f t="shared" si="161"/>
        <v>2816169</v>
      </c>
      <c r="S357" s="115">
        <f t="shared" si="162"/>
        <v>3586215</v>
      </c>
      <c r="T357" s="115">
        <f t="shared" si="163"/>
        <v>0</v>
      </c>
      <c r="U357" s="115">
        <f>'Manufacturing &amp; Production'!F305</f>
        <v>2033516</v>
      </c>
      <c r="V357" s="115">
        <f>'Clinical Trials &amp; R&amp;D'!F305</f>
        <v>6228120</v>
      </c>
      <c r="W357" s="115">
        <f>'Clinical Trials &amp; R&amp;D'!I305</f>
        <v>4189174</v>
      </c>
      <c r="X357" s="116">
        <v>16471.0</v>
      </c>
      <c r="Y357" s="116">
        <v>978266.0</v>
      </c>
    </row>
    <row r="358">
      <c r="A358" s="113">
        <v>46143.0</v>
      </c>
      <c r="B358" s="114">
        <v>480.0</v>
      </c>
      <c r="C358" s="115">
        <f t="shared" si="164"/>
        <v>134372.1607</v>
      </c>
      <c r="D358" s="116">
        <f t="shared" si="165"/>
        <v>7524841</v>
      </c>
      <c r="E358" s="116">
        <v>1522915.0</v>
      </c>
      <c r="F358" s="116">
        <v>529013.0</v>
      </c>
      <c r="G358" s="116">
        <v>982108.0</v>
      </c>
      <c r="H358" s="116">
        <v>771600.0</v>
      </c>
      <c r="I358" s="116">
        <v>2914380.0</v>
      </c>
      <c r="J358" s="116">
        <v>804825.0</v>
      </c>
      <c r="K358" s="116">
        <v>1139335.0</v>
      </c>
      <c r="L358" s="116">
        <f t="shared" si="157"/>
        <v>610322</v>
      </c>
      <c r="M358" s="116">
        <f t="shared" si="158"/>
        <v>1139335</v>
      </c>
      <c r="N358" s="116">
        <v>3888347.0</v>
      </c>
      <c r="O358" s="115">
        <f t="shared" si="159"/>
        <v>2906239</v>
      </c>
      <c r="P358" s="115">
        <f t="shared" si="160"/>
        <v>3888347</v>
      </c>
      <c r="Q358" s="116">
        <v>3593452.0</v>
      </c>
      <c r="R358" s="115">
        <f t="shared" si="161"/>
        <v>2821852</v>
      </c>
      <c r="S358" s="115">
        <f t="shared" si="162"/>
        <v>3593452</v>
      </c>
      <c r="T358" s="115">
        <f t="shared" si="163"/>
        <v>0</v>
      </c>
      <c r="U358" s="115">
        <f>'Manufacturing &amp; Production'!F306</f>
        <v>2081804</v>
      </c>
      <c r="V358" s="115">
        <f>'Clinical Trials &amp; R&amp;D'!F306</f>
        <v>6203980</v>
      </c>
      <c r="W358" s="115">
        <f>'Clinical Trials &amp; R&amp;D'!I306</f>
        <v>4230569</v>
      </c>
      <c r="X358" s="116">
        <v>16471.0</v>
      </c>
      <c r="Y358" s="116">
        <v>997044.0</v>
      </c>
    </row>
    <row r="359">
      <c r="A359" s="113">
        <v>46174.0</v>
      </c>
      <c r="B359" s="114">
        <v>480.0</v>
      </c>
      <c r="C359" s="115">
        <f t="shared" si="164"/>
        <v>134523.7857</v>
      </c>
      <c r="D359" s="116">
        <f t="shared" si="165"/>
        <v>7533332</v>
      </c>
      <c r="E359" s="116">
        <v>1525352.0</v>
      </c>
      <c r="F359" s="116">
        <v>526524.0</v>
      </c>
      <c r="G359" s="116">
        <v>989786.0</v>
      </c>
      <c r="H359" s="116">
        <v>775930.0</v>
      </c>
      <c r="I359" s="116">
        <v>2903040.0</v>
      </c>
      <c r="J359" s="116">
        <v>812700.0</v>
      </c>
      <c r="K359" s="116">
        <v>1152107.0</v>
      </c>
      <c r="L359" s="116">
        <f t="shared" si="157"/>
        <v>625583</v>
      </c>
      <c r="M359" s="116">
        <f t="shared" si="158"/>
        <v>1152107</v>
      </c>
      <c r="N359" s="116">
        <v>3918743.0</v>
      </c>
      <c r="O359" s="115">
        <f t="shared" si="159"/>
        <v>2928957</v>
      </c>
      <c r="P359" s="115">
        <f t="shared" si="160"/>
        <v>3918743</v>
      </c>
      <c r="Q359" s="116">
        <v>3613619.0</v>
      </c>
      <c r="R359" s="115">
        <f t="shared" si="161"/>
        <v>2837689</v>
      </c>
      <c r="S359" s="115">
        <f t="shared" si="162"/>
        <v>3613619</v>
      </c>
      <c r="T359" s="115">
        <f t="shared" si="163"/>
        <v>0</v>
      </c>
      <c r="U359" s="115">
        <f>'Manufacturing &amp; Production'!F307</f>
        <v>2100917</v>
      </c>
      <c r="V359" s="115">
        <f>'Clinical Trials &amp; R&amp;D'!F307</f>
        <v>6179840</v>
      </c>
      <c r="W359" s="115">
        <f>'Clinical Trials &amp; R&amp;D'!I307</f>
        <v>4271964</v>
      </c>
      <c r="X359" s="116">
        <v>102941.0</v>
      </c>
      <c r="Y359" s="116">
        <v>1015846.0</v>
      </c>
    </row>
    <row r="360">
      <c r="A360" s="113">
        <v>46204.0</v>
      </c>
      <c r="B360" s="114">
        <v>480.0</v>
      </c>
      <c r="C360" s="115">
        <f t="shared" si="164"/>
        <v>134888.4464</v>
      </c>
      <c r="D360" s="116">
        <f t="shared" si="165"/>
        <v>7553753</v>
      </c>
      <c r="E360" s="116">
        <v>1524327.0</v>
      </c>
      <c r="F360" s="116">
        <v>536068.0</v>
      </c>
      <c r="G360" s="116">
        <v>983127.0</v>
      </c>
      <c r="H360" s="116">
        <v>779056.0</v>
      </c>
      <c r="I360" s="116">
        <v>2934225.0</v>
      </c>
      <c r="J360" s="116">
        <v>796950.0</v>
      </c>
      <c r="K360" s="116">
        <v>1191452.0</v>
      </c>
      <c r="L360" s="116">
        <f t="shared" si="157"/>
        <v>655384</v>
      </c>
      <c r="M360" s="116">
        <f t="shared" si="158"/>
        <v>1191452</v>
      </c>
      <c r="N360" s="116">
        <v>3892381.0</v>
      </c>
      <c r="O360" s="115">
        <f t="shared" si="159"/>
        <v>2909254</v>
      </c>
      <c r="P360" s="115">
        <f t="shared" si="160"/>
        <v>3892381</v>
      </c>
      <c r="Q360" s="116">
        <v>3628175.0</v>
      </c>
      <c r="R360" s="115">
        <f t="shared" si="161"/>
        <v>2849119</v>
      </c>
      <c r="S360" s="115">
        <f t="shared" si="162"/>
        <v>3628175</v>
      </c>
      <c r="T360" s="115">
        <f t="shared" si="163"/>
        <v>0</v>
      </c>
      <c r="U360" s="115">
        <f>'Manufacturing &amp; Production'!F308</f>
        <v>2115766</v>
      </c>
      <c r="V360" s="115">
        <f>'Clinical Trials &amp; R&amp;D'!F308</f>
        <v>6246225</v>
      </c>
      <c r="W360" s="115">
        <f>'Clinical Trials &amp; R&amp;D'!I308</f>
        <v>4189174</v>
      </c>
      <c r="X360" s="116">
        <v>16471.0</v>
      </c>
      <c r="Y360" s="116">
        <v>1034674.0</v>
      </c>
    </row>
    <row r="361">
      <c r="A361" s="113">
        <v>46235.0</v>
      </c>
      <c r="B361" s="114">
        <v>480.0</v>
      </c>
      <c r="C361" s="115">
        <f t="shared" si="164"/>
        <v>134872.2679</v>
      </c>
      <c r="D361" s="116">
        <f t="shared" si="165"/>
        <v>7552847</v>
      </c>
      <c r="E361" s="116">
        <v>1542437.0</v>
      </c>
      <c r="F361" s="116">
        <v>532710.0</v>
      </c>
      <c r="G361" s="116">
        <v>971887.0</v>
      </c>
      <c r="H361" s="116">
        <v>778103.0</v>
      </c>
      <c r="I361" s="116">
        <v>2922885.0</v>
      </c>
      <c r="J361" s="116">
        <v>804825.0</v>
      </c>
      <c r="K361" s="116">
        <v>1202334.0</v>
      </c>
      <c r="L361" s="116">
        <f t="shared" si="157"/>
        <v>669624</v>
      </c>
      <c r="M361" s="116">
        <f t="shared" si="158"/>
        <v>1202334</v>
      </c>
      <c r="N361" s="116">
        <v>3847880.0</v>
      </c>
      <c r="O361" s="115">
        <f t="shared" si="159"/>
        <v>2875993</v>
      </c>
      <c r="P361" s="115">
        <f t="shared" si="160"/>
        <v>3847880</v>
      </c>
      <c r="Q361" s="116">
        <v>3623737.0</v>
      </c>
      <c r="R361" s="115">
        <f t="shared" si="161"/>
        <v>2845634</v>
      </c>
      <c r="S361" s="115">
        <f t="shared" si="162"/>
        <v>3623737</v>
      </c>
      <c r="T361" s="115">
        <f t="shared" si="163"/>
        <v>0</v>
      </c>
      <c r="U361" s="115">
        <f>'Manufacturing &amp; Production'!F309</f>
        <v>2157852</v>
      </c>
      <c r="V361" s="115">
        <f>'Clinical Trials &amp; R&amp;D'!F309</f>
        <v>6222085</v>
      </c>
      <c r="W361" s="115">
        <f>'Clinical Trials &amp; R&amp;D'!I309</f>
        <v>4230569</v>
      </c>
      <c r="X361" s="116">
        <v>16471.0</v>
      </c>
      <c r="Y361" s="116">
        <v>1053524.0</v>
      </c>
    </row>
    <row r="362">
      <c r="A362" s="113">
        <v>46266.0</v>
      </c>
      <c r="B362" s="114">
        <v>480.0</v>
      </c>
      <c r="C362" s="115">
        <f t="shared" si="164"/>
        <v>134558.875</v>
      </c>
      <c r="D362" s="116">
        <f t="shared" si="165"/>
        <v>7535297</v>
      </c>
      <c r="E362" s="116">
        <v>1536472.0</v>
      </c>
      <c r="F362" s="116">
        <v>528099.0</v>
      </c>
      <c r="G362" s="116">
        <v>972533.0</v>
      </c>
      <c r="H362" s="116">
        <v>773948.0</v>
      </c>
      <c r="I362" s="116">
        <v>2911545.0</v>
      </c>
      <c r="J362" s="116">
        <v>812700.0</v>
      </c>
      <c r="K362" s="116">
        <v>1210114.0</v>
      </c>
      <c r="L362" s="116">
        <f t="shared" si="157"/>
        <v>682015</v>
      </c>
      <c r="M362" s="116">
        <f t="shared" si="158"/>
        <v>1210114</v>
      </c>
      <c r="N362" s="116">
        <v>3850435.0</v>
      </c>
      <c r="O362" s="115">
        <f t="shared" si="159"/>
        <v>2877902</v>
      </c>
      <c r="P362" s="115">
        <f t="shared" si="160"/>
        <v>3850435</v>
      </c>
      <c r="Q362" s="116">
        <v>3604385.0</v>
      </c>
      <c r="R362" s="115">
        <f t="shared" si="161"/>
        <v>2830437</v>
      </c>
      <c r="S362" s="115">
        <f t="shared" si="162"/>
        <v>3604385</v>
      </c>
      <c r="T362" s="115">
        <f t="shared" si="163"/>
        <v>0</v>
      </c>
      <c r="U362" s="115">
        <f>'Manufacturing &amp; Production'!F310</f>
        <v>2167051</v>
      </c>
      <c r="V362" s="115">
        <f>'Clinical Trials &amp; R&amp;D'!F310</f>
        <v>6197945</v>
      </c>
      <c r="W362" s="115">
        <f>'Clinical Trials &amp; R&amp;D'!I310</f>
        <v>4271964</v>
      </c>
      <c r="X362" s="116">
        <v>102941.0</v>
      </c>
      <c r="Y362" s="116">
        <v>1072400.0</v>
      </c>
    </row>
    <row r="363">
      <c r="A363" s="122">
        <f>'Monthly Data'!A107</f>
        <v>46296</v>
      </c>
      <c r="B363" s="123">
        <f>'Workforce &amp; Expenses'!M161</f>
        <v>480</v>
      </c>
      <c r="C363" s="124">
        <f t="shared" si="164"/>
        <v>131854.1786</v>
      </c>
      <c r="D363" s="125">
        <f t="shared" si="165"/>
        <v>7383834</v>
      </c>
      <c r="E363" s="125">
        <f>'Workforce &amp; Expenses'!S59</f>
        <v>1488667</v>
      </c>
      <c r="F363" s="125">
        <f>'Workforce &amp; Expenses'!V59</f>
        <v>522667</v>
      </c>
      <c r="G363" s="125">
        <f>'Workforce &amp; Expenses'!W59</f>
        <v>980000</v>
      </c>
      <c r="H363" s="125">
        <f t="shared" ref="H363:H437" si="166">Q59</f>
        <v>770000</v>
      </c>
      <c r="I363" s="125">
        <f>'Workforce &amp; Expenses'!T59</f>
        <v>2835000</v>
      </c>
      <c r="J363" s="125">
        <f>'Workforce &amp; Expenses'!U59</f>
        <v>787500</v>
      </c>
      <c r="K363" s="125">
        <f>'Workforce &amp; Expenses'!E161</f>
        <v>1206667</v>
      </c>
      <c r="L363" s="125">
        <f t="shared" si="157"/>
        <v>684000</v>
      </c>
      <c r="M363" s="125">
        <f t="shared" si="158"/>
        <v>1206667</v>
      </c>
      <c r="N363" s="125">
        <f>'Workforce &amp; Expenses'!J161</f>
        <v>3880000</v>
      </c>
      <c r="O363" s="124">
        <f t="shared" si="159"/>
        <v>2900000</v>
      </c>
      <c r="P363" s="124">
        <f t="shared" si="160"/>
        <v>3880000</v>
      </c>
      <c r="Q363" s="124">
        <f>'Workforce &amp; Expenses'!O161</f>
        <v>3586000</v>
      </c>
      <c r="R363" s="124">
        <f t="shared" si="161"/>
        <v>2816000</v>
      </c>
      <c r="S363" s="124">
        <f t="shared" si="162"/>
        <v>3586000</v>
      </c>
      <c r="T363" s="124">
        <f t="shared" si="163"/>
        <v>0</v>
      </c>
      <c r="U363" s="124">
        <f>'Manufacturing &amp; Production'!F311</f>
        <v>2116305</v>
      </c>
      <c r="V363" s="124">
        <f>'Clinical Trials &amp; R&amp;D'!F311</f>
        <v>6035000</v>
      </c>
      <c r="W363" s="124">
        <f>'Clinical Trials &amp; R&amp;D'!I311</f>
        <v>4139500</v>
      </c>
      <c r="X363" s="124">
        <f>'Manufacturing &amp; Production'!K311</f>
        <v>16471</v>
      </c>
      <c r="Y363" s="124">
        <f>'Monthly Data'!P107</f>
        <v>1084071</v>
      </c>
    </row>
    <row r="364">
      <c r="A364" s="122">
        <f>'Monthly Data'!A108</f>
        <v>46327</v>
      </c>
      <c r="B364" s="123">
        <f>'Workforce &amp; Expenses'!M162</f>
        <v>480</v>
      </c>
      <c r="C364" s="124">
        <f t="shared" si="164"/>
        <v>131854.1786</v>
      </c>
      <c r="D364" s="125">
        <f t="shared" si="165"/>
        <v>7383834</v>
      </c>
      <c r="E364" s="125">
        <f>'Workforce &amp; Expenses'!S60</f>
        <v>1488667</v>
      </c>
      <c r="F364" s="125">
        <f>'Workforce &amp; Expenses'!V60</f>
        <v>522667</v>
      </c>
      <c r="G364" s="125">
        <f>'Workforce &amp; Expenses'!W60</f>
        <v>980000</v>
      </c>
      <c r="H364" s="125">
        <f t="shared" si="166"/>
        <v>770000</v>
      </c>
      <c r="I364" s="125">
        <f>'Workforce &amp; Expenses'!T60</f>
        <v>2835000</v>
      </c>
      <c r="J364" s="125">
        <f>'Workforce &amp; Expenses'!U60</f>
        <v>787500</v>
      </c>
      <c r="K364" s="125">
        <f>'Workforce &amp; Expenses'!E162</f>
        <v>1224667</v>
      </c>
      <c r="L364" s="125">
        <f t="shared" si="157"/>
        <v>702000</v>
      </c>
      <c r="M364" s="125">
        <f t="shared" si="158"/>
        <v>1224667</v>
      </c>
      <c r="N364" s="125">
        <f>'Workforce &amp; Expenses'!J162</f>
        <v>3880000</v>
      </c>
      <c r="O364" s="124">
        <f t="shared" si="159"/>
        <v>2900000</v>
      </c>
      <c r="P364" s="124">
        <f t="shared" si="160"/>
        <v>3880000</v>
      </c>
      <c r="Q364" s="124">
        <f>'Workforce &amp; Expenses'!O162</f>
        <v>3586000</v>
      </c>
      <c r="R364" s="124">
        <f t="shared" si="161"/>
        <v>2816000</v>
      </c>
      <c r="S364" s="124">
        <f t="shared" si="162"/>
        <v>3586000</v>
      </c>
      <c r="T364" s="124">
        <f t="shared" si="163"/>
        <v>0</v>
      </c>
      <c r="U364" s="124">
        <f>'Manufacturing &amp; Production'!F312</f>
        <v>2134419</v>
      </c>
      <c r="V364" s="124">
        <f>'Clinical Trials &amp; R&amp;D'!F312</f>
        <v>6035000</v>
      </c>
      <c r="W364" s="124">
        <f>'Clinical Trials &amp; R&amp;D'!I312</f>
        <v>4139500</v>
      </c>
      <c r="X364" s="124">
        <f>'Manufacturing &amp; Production'!K312</f>
        <v>16471</v>
      </c>
      <c r="Y364" s="124">
        <f>'Monthly Data'!P108</f>
        <v>1102140</v>
      </c>
    </row>
    <row r="365">
      <c r="A365" s="122">
        <f>'Monthly Data'!A109</f>
        <v>46357</v>
      </c>
      <c r="B365" s="123">
        <f>'Workforce &amp; Expenses'!M163</f>
        <v>480</v>
      </c>
      <c r="C365" s="124">
        <f t="shared" si="164"/>
        <v>131854.1786</v>
      </c>
      <c r="D365" s="125">
        <f t="shared" si="165"/>
        <v>7383834</v>
      </c>
      <c r="E365" s="125">
        <f>'Workforce &amp; Expenses'!S61</f>
        <v>1488667</v>
      </c>
      <c r="F365" s="125">
        <f>'Workforce &amp; Expenses'!V61</f>
        <v>522667</v>
      </c>
      <c r="G365" s="125">
        <f>'Workforce &amp; Expenses'!W61</f>
        <v>980000</v>
      </c>
      <c r="H365" s="125">
        <f t="shared" si="166"/>
        <v>770000</v>
      </c>
      <c r="I365" s="125">
        <f>'Workforce &amp; Expenses'!T61</f>
        <v>2835000</v>
      </c>
      <c r="J365" s="125">
        <f>'Workforce &amp; Expenses'!U61</f>
        <v>787500</v>
      </c>
      <c r="K365" s="125">
        <f>'Workforce &amp; Expenses'!E163</f>
        <v>1242667</v>
      </c>
      <c r="L365" s="125">
        <f t="shared" si="157"/>
        <v>720000</v>
      </c>
      <c r="M365" s="125">
        <f t="shared" si="158"/>
        <v>1242667</v>
      </c>
      <c r="N365" s="125">
        <f>'Workforce &amp; Expenses'!J163</f>
        <v>3880000</v>
      </c>
      <c r="O365" s="124">
        <f t="shared" si="159"/>
        <v>2900000</v>
      </c>
      <c r="P365" s="124">
        <f t="shared" si="160"/>
        <v>3880000</v>
      </c>
      <c r="Q365" s="124">
        <f>'Workforce &amp; Expenses'!O163</f>
        <v>3586000</v>
      </c>
      <c r="R365" s="124">
        <f t="shared" si="161"/>
        <v>2816000</v>
      </c>
      <c r="S365" s="124">
        <f t="shared" si="162"/>
        <v>3586000</v>
      </c>
      <c r="T365" s="124">
        <f t="shared" si="163"/>
        <v>0</v>
      </c>
      <c r="U365" s="124">
        <f>'Manufacturing &amp; Production'!F313</f>
        <v>2153172</v>
      </c>
      <c r="V365" s="124">
        <f>'Clinical Trials &amp; R&amp;D'!F313</f>
        <v>6035000</v>
      </c>
      <c r="W365" s="124">
        <f>'Clinical Trials &amp; R&amp;D'!I313</f>
        <v>4139500</v>
      </c>
      <c r="X365" s="124">
        <f>'Manufacturing &amp; Production'!K313</f>
        <v>119412</v>
      </c>
      <c r="Y365" s="124">
        <f>'Monthly Data'!P109</f>
        <v>1120203</v>
      </c>
    </row>
    <row r="366">
      <c r="A366" s="126">
        <f>'Monthly Data'!A110</f>
        <v>46388</v>
      </c>
      <c r="B366" s="127">
        <f>'Workforce &amp; Expenses'!M164</f>
        <v>486</v>
      </c>
      <c r="C366" s="124">
        <f t="shared" si="164"/>
        <v>135769.2769</v>
      </c>
      <c r="D366" s="124">
        <f t="shared" si="165"/>
        <v>7698118</v>
      </c>
      <c r="E366" s="124">
        <f>'Workforce &amp; Expenses'!S62</f>
        <v>1544382</v>
      </c>
      <c r="F366" s="124">
        <f>'Workforce &amp; Expenses'!V62</f>
        <v>538347</v>
      </c>
      <c r="G366" s="124">
        <f>'Workforce &amp; Expenses'!W62</f>
        <v>1038240</v>
      </c>
      <c r="H366" s="124">
        <f t="shared" si="166"/>
        <v>808962</v>
      </c>
      <c r="I366" s="124">
        <f>'Workforce &amp; Expenses'!T62</f>
        <v>2939037</v>
      </c>
      <c r="J366" s="124">
        <f>'Workforce &amp; Expenses'!U62</f>
        <v>829150</v>
      </c>
      <c r="K366" s="124">
        <f>'Workforce &amp; Expenses'!E164</f>
        <v>1252137</v>
      </c>
      <c r="L366" s="124">
        <f t="shared" si="157"/>
        <v>713790</v>
      </c>
      <c r="M366" s="124">
        <f t="shared" si="158"/>
        <v>1252137</v>
      </c>
      <c r="N366" s="124">
        <f>'Workforce &amp; Expenses'!J164</f>
        <v>4808240</v>
      </c>
      <c r="O366" s="124">
        <f t="shared" si="159"/>
        <v>3770000</v>
      </c>
      <c r="P366" s="124">
        <f t="shared" si="160"/>
        <v>4808240</v>
      </c>
      <c r="Q366" s="124">
        <f>'Workforce &amp; Expenses'!O164</f>
        <v>3816223</v>
      </c>
      <c r="R366" s="124">
        <f t="shared" si="161"/>
        <v>3007261</v>
      </c>
      <c r="S366" s="124">
        <f t="shared" si="162"/>
        <v>3816223</v>
      </c>
      <c r="T366" s="124">
        <f t="shared" si="163"/>
        <v>0</v>
      </c>
      <c r="U366" s="124">
        <f>'Manufacturing &amp; Production'!F314</f>
        <v>2241644</v>
      </c>
      <c r="V366" s="124">
        <f>'Clinical Trials &amp; R&amp;D'!F314</f>
        <v>6387477</v>
      </c>
      <c r="W366" s="124">
        <f>'Clinical Trials &amp; R&amp;D'!I314</f>
        <v>4383870</v>
      </c>
      <c r="X366" s="124">
        <f>'Manufacturing &amp; Production'!K314</f>
        <v>16471</v>
      </c>
      <c r="Y366" s="124">
        <f>'Monthly Data'!P110</f>
        <v>1106490</v>
      </c>
    </row>
    <row r="367">
      <c r="A367" s="126">
        <f>'Monthly Data'!A111</f>
        <v>46419</v>
      </c>
      <c r="B367" s="127">
        <f>'Workforce &amp; Expenses'!M165</f>
        <v>492</v>
      </c>
      <c r="C367" s="124">
        <f t="shared" si="164"/>
        <v>135759.007</v>
      </c>
      <c r="D367" s="124">
        <f t="shared" si="165"/>
        <v>7792567</v>
      </c>
      <c r="E367" s="124">
        <f>'Workforce &amp; Expenses'!S63</f>
        <v>1571539</v>
      </c>
      <c r="F367" s="124">
        <f>'Workforce &amp; Expenses'!V63</f>
        <v>551805</v>
      </c>
      <c r="G367" s="124">
        <f>'Workforce &amp; Expenses'!W63</f>
        <v>1052660</v>
      </c>
      <c r="H367" s="124">
        <f t="shared" si="166"/>
        <v>808962</v>
      </c>
      <c r="I367" s="124">
        <f>'Workforce &amp; Expenses'!T63</f>
        <v>2978451</v>
      </c>
      <c r="J367" s="124">
        <f>'Workforce &amp; Expenses'!U63</f>
        <v>829150</v>
      </c>
      <c r="K367" s="124">
        <f>'Workforce &amp; Expenses'!E165</f>
        <v>1284135</v>
      </c>
      <c r="L367" s="124">
        <f t="shared" si="157"/>
        <v>732330</v>
      </c>
      <c r="M367" s="124">
        <f t="shared" si="158"/>
        <v>1284135</v>
      </c>
      <c r="N367" s="124">
        <f>'Workforce &amp; Expenses'!J165</f>
        <v>4822660</v>
      </c>
      <c r="O367" s="124">
        <f t="shared" si="159"/>
        <v>3770000</v>
      </c>
      <c r="P367" s="124">
        <f t="shared" si="160"/>
        <v>4822660</v>
      </c>
      <c r="Q367" s="124">
        <f>'Workforce &amp; Expenses'!O165</f>
        <v>3819004</v>
      </c>
      <c r="R367" s="124">
        <f t="shared" si="161"/>
        <v>3010042</v>
      </c>
      <c r="S367" s="124">
        <f t="shared" si="162"/>
        <v>3819004</v>
      </c>
      <c r="T367" s="124">
        <f t="shared" si="163"/>
        <v>0</v>
      </c>
      <c r="U367" s="124">
        <f>'Manufacturing &amp; Production'!F315</f>
        <v>2281954</v>
      </c>
      <c r="V367" s="124">
        <f>'Clinical Trials &amp; R&amp;D'!F315</f>
        <v>6426891</v>
      </c>
      <c r="W367" s="124">
        <f>'Clinical Trials &amp; R&amp;D'!I315</f>
        <v>4383870</v>
      </c>
      <c r="X367" s="124">
        <f>'Manufacturing &amp; Production'!K315</f>
        <v>16471</v>
      </c>
      <c r="Y367" s="124">
        <f>'Monthly Data'!P111</f>
        <v>1128937</v>
      </c>
    </row>
    <row r="368">
      <c r="A368" s="126">
        <f>'Monthly Data'!A112</f>
        <v>46447</v>
      </c>
      <c r="B368" s="127">
        <f>'Workforce &amp; Expenses'!M166</f>
        <v>498</v>
      </c>
      <c r="C368" s="124">
        <f t="shared" si="164"/>
        <v>135720.0688</v>
      </c>
      <c r="D368" s="124">
        <f t="shared" si="165"/>
        <v>7885336</v>
      </c>
      <c r="E368" s="124">
        <f>'Workforce &amp; Expenses'!S64</f>
        <v>1582595</v>
      </c>
      <c r="F368" s="124">
        <f>'Workforce &amp; Expenses'!V64</f>
        <v>551805</v>
      </c>
      <c r="G368" s="124">
        <f>'Workforce &amp; Expenses'!W64</f>
        <v>1081500</v>
      </c>
      <c r="H368" s="124">
        <f t="shared" si="166"/>
        <v>824824</v>
      </c>
      <c r="I368" s="124">
        <f>'Workforce &amp; Expenses'!T64</f>
        <v>2997437</v>
      </c>
      <c r="J368" s="124">
        <f>'Workforce &amp; Expenses'!U64</f>
        <v>847175</v>
      </c>
      <c r="K368" s="124">
        <f>'Workforce &amp; Expenses'!E166</f>
        <v>1311945</v>
      </c>
      <c r="L368" s="124">
        <f t="shared" si="157"/>
        <v>760140</v>
      </c>
      <c r="M368" s="124">
        <f t="shared" si="158"/>
        <v>1311945</v>
      </c>
      <c r="N368" s="124">
        <f>'Workforce &amp; Expenses'!J166</f>
        <v>4851500</v>
      </c>
      <c r="O368" s="124">
        <f t="shared" si="159"/>
        <v>3770000</v>
      </c>
      <c r="P368" s="124">
        <f t="shared" si="160"/>
        <v>4851500</v>
      </c>
      <c r="Q368" s="124">
        <f>'Workforce &amp; Expenses'!O166</f>
        <v>3837647</v>
      </c>
      <c r="R368" s="124">
        <f t="shared" si="161"/>
        <v>3012823</v>
      </c>
      <c r="S368" s="124">
        <f t="shared" si="162"/>
        <v>3837647</v>
      </c>
      <c r="T368" s="124">
        <f t="shared" si="163"/>
        <v>0</v>
      </c>
      <c r="U368" s="124">
        <f>'Manufacturing &amp; Production'!F316</f>
        <v>2306488</v>
      </c>
      <c r="V368" s="124">
        <f>'Clinical Trials &amp; R&amp;D'!F316</f>
        <v>6445877</v>
      </c>
      <c r="W368" s="124">
        <f>'Clinical Trials &amp; R&amp;D'!I316</f>
        <v>4401895</v>
      </c>
      <c r="X368" s="124">
        <f>'Manufacturing &amp; Production'!K316</f>
        <v>102941</v>
      </c>
      <c r="Y368" s="124">
        <f>'Monthly Data'!P112</f>
        <v>1151414</v>
      </c>
    </row>
    <row r="369">
      <c r="A369" s="126">
        <f>'Monthly Data'!A113</f>
        <v>46478</v>
      </c>
      <c r="B369" s="127">
        <f>'Workforce &amp; Expenses'!M167</f>
        <v>500</v>
      </c>
      <c r="C369" s="124">
        <f t="shared" si="164"/>
        <v>135774.5829</v>
      </c>
      <c r="D369" s="124">
        <f t="shared" si="165"/>
        <v>7920184</v>
      </c>
      <c r="E369" s="124">
        <f>'Workforce &amp; Expenses'!S65</f>
        <v>1582595</v>
      </c>
      <c r="F369" s="124">
        <f>'Workforce &amp; Expenses'!V65</f>
        <v>551805</v>
      </c>
      <c r="G369" s="124">
        <f>'Workforce &amp; Expenses'!W65</f>
        <v>1095920</v>
      </c>
      <c r="H369" s="124">
        <f t="shared" si="166"/>
        <v>824824</v>
      </c>
      <c r="I369" s="124">
        <f>'Workforce &amp; Expenses'!T65</f>
        <v>3017865</v>
      </c>
      <c r="J369" s="124">
        <f>'Workforce &amp; Expenses'!U65</f>
        <v>847175</v>
      </c>
      <c r="K369" s="124">
        <f>'Workforce &amp; Expenses'!E167</f>
        <v>1321215</v>
      </c>
      <c r="L369" s="124">
        <f t="shared" si="157"/>
        <v>769410</v>
      </c>
      <c r="M369" s="124">
        <f t="shared" si="158"/>
        <v>1321215</v>
      </c>
      <c r="N369" s="124">
        <f>'Workforce &amp; Expenses'!J167</f>
        <v>4865920</v>
      </c>
      <c r="O369" s="124">
        <f t="shared" si="159"/>
        <v>3770000</v>
      </c>
      <c r="P369" s="124">
        <f t="shared" si="160"/>
        <v>4865920</v>
      </c>
      <c r="Q369" s="124">
        <f>'Workforce &amp; Expenses'!O167</f>
        <v>3838574</v>
      </c>
      <c r="R369" s="124">
        <f t="shared" si="161"/>
        <v>3013750</v>
      </c>
      <c r="S369" s="124">
        <f t="shared" si="162"/>
        <v>3838574</v>
      </c>
      <c r="T369" s="124">
        <f t="shared" si="163"/>
        <v>0</v>
      </c>
      <c r="U369" s="124">
        <f>'Manufacturing &amp; Production'!F317</f>
        <v>2320215</v>
      </c>
      <c r="V369" s="124">
        <f>'Clinical Trials &amp; R&amp;D'!F317</f>
        <v>6466305</v>
      </c>
      <c r="W369" s="124">
        <f>'Clinical Trials &amp; R&amp;D'!I317</f>
        <v>4401895</v>
      </c>
      <c r="X369" s="124">
        <f>'Manufacturing &amp; Production'!K317</f>
        <v>16471</v>
      </c>
      <c r="Y369" s="124">
        <f>'Monthly Data'!P113</f>
        <v>1173919</v>
      </c>
    </row>
    <row r="370">
      <c r="A370" s="126">
        <f>'Monthly Data'!A114</f>
        <v>46508</v>
      </c>
      <c r="B370" s="127">
        <f>'Workforce &amp; Expenses'!M168</f>
        <v>506</v>
      </c>
      <c r="C370" s="124">
        <f t="shared" si="164"/>
        <v>135736.0757</v>
      </c>
      <c r="D370" s="124">
        <f t="shared" si="165"/>
        <v>8012953</v>
      </c>
      <c r="E370" s="124">
        <f>'Workforce &amp; Expenses'!S66</f>
        <v>1593650</v>
      </c>
      <c r="F370" s="124">
        <f>'Workforce &amp; Expenses'!V66</f>
        <v>551805</v>
      </c>
      <c r="G370" s="124">
        <f>'Workforce &amp; Expenses'!W66</f>
        <v>1124760</v>
      </c>
      <c r="H370" s="124">
        <f t="shared" si="166"/>
        <v>840686</v>
      </c>
      <c r="I370" s="124">
        <f>'Workforce &amp; Expenses'!T66</f>
        <v>3036852</v>
      </c>
      <c r="J370" s="124">
        <f>'Workforce &amp; Expenses'!U66</f>
        <v>865200</v>
      </c>
      <c r="K370" s="124">
        <f>'Workforce &amp; Expenses'!E168</f>
        <v>1349025</v>
      </c>
      <c r="L370" s="124">
        <f t="shared" si="157"/>
        <v>797220</v>
      </c>
      <c r="M370" s="124">
        <f t="shared" si="158"/>
        <v>1349025</v>
      </c>
      <c r="N370" s="124">
        <f>'Workforce &amp; Expenses'!J168</f>
        <v>4894760</v>
      </c>
      <c r="O370" s="124">
        <f t="shared" si="159"/>
        <v>3770000</v>
      </c>
      <c r="P370" s="124">
        <f t="shared" si="160"/>
        <v>4894760</v>
      </c>
      <c r="Q370" s="124">
        <f>'Workforce &amp; Expenses'!O168</f>
        <v>3857217</v>
      </c>
      <c r="R370" s="124">
        <f t="shared" si="161"/>
        <v>3016531</v>
      </c>
      <c r="S370" s="124">
        <f t="shared" si="162"/>
        <v>3857217</v>
      </c>
      <c r="T370" s="124">
        <f t="shared" si="163"/>
        <v>0</v>
      </c>
      <c r="U370" s="124">
        <f>'Manufacturing &amp; Production'!F318</f>
        <v>2345243</v>
      </c>
      <c r="V370" s="124">
        <f>'Clinical Trials &amp; R&amp;D'!F318</f>
        <v>6485292</v>
      </c>
      <c r="W370" s="124">
        <f>'Clinical Trials &amp; R&amp;D'!I318</f>
        <v>4419920</v>
      </c>
      <c r="X370" s="124">
        <f>'Manufacturing &amp; Production'!K318</f>
        <v>16471</v>
      </c>
      <c r="Y370" s="124">
        <f>'Monthly Data'!P114</f>
        <v>1196453</v>
      </c>
    </row>
    <row r="371">
      <c r="A371" s="126">
        <f>'Monthly Data'!A115</f>
        <v>46539</v>
      </c>
      <c r="B371" s="127">
        <f>'Workforce &amp; Expenses'!M169</f>
        <v>513</v>
      </c>
      <c r="C371" s="124">
        <f t="shared" si="164"/>
        <v>135763.2414</v>
      </c>
      <c r="D371" s="124">
        <f t="shared" si="165"/>
        <v>8125430</v>
      </c>
      <c r="E371" s="124">
        <f>'Workforce &amp; Expenses'!S67</f>
        <v>1620808</v>
      </c>
      <c r="F371" s="124">
        <f>'Workforce &amp; Expenses'!V67</f>
        <v>565264</v>
      </c>
      <c r="G371" s="124">
        <f>'Workforce &amp; Expenses'!W67</f>
        <v>1139180</v>
      </c>
      <c r="H371" s="124">
        <f t="shared" si="166"/>
        <v>840686</v>
      </c>
      <c r="I371" s="124">
        <f>'Workforce &amp; Expenses'!T67</f>
        <v>3076267</v>
      </c>
      <c r="J371" s="124">
        <f>'Workforce &amp; Expenses'!U67</f>
        <v>883225</v>
      </c>
      <c r="K371" s="124">
        <f>'Workforce &amp; Expenses'!E169</f>
        <v>1381024</v>
      </c>
      <c r="L371" s="124">
        <f t="shared" si="157"/>
        <v>815760</v>
      </c>
      <c r="M371" s="124">
        <f t="shared" si="158"/>
        <v>1381024</v>
      </c>
      <c r="N371" s="124">
        <f>'Workforce &amp; Expenses'!J169</f>
        <v>4909180</v>
      </c>
      <c r="O371" s="124">
        <f t="shared" si="159"/>
        <v>3770000</v>
      </c>
      <c r="P371" s="124">
        <f t="shared" si="160"/>
        <v>4909180</v>
      </c>
      <c r="Q371" s="124">
        <f>'Workforce &amp; Expenses'!O169</f>
        <v>3860462</v>
      </c>
      <c r="R371" s="124">
        <f t="shared" si="161"/>
        <v>3019776</v>
      </c>
      <c r="S371" s="124">
        <f t="shared" si="162"/>
        <v>3860462</v>
      </c>
      <c r="T371" s="124">
        <f t="shared" si="163"/>
        <v>0</v>
      </c>
      <c r="U371" s="124">
        <f>'Manufacturing &amp; Production'!F319</f>
        <v>2386785</v>
      </c>
      <c r="V371" s="124">
        <f>'Clinical Trials &amp; R&amp;D'!F319</f>
        <v>6524707</v>
      </c>
      <c r="W371" s="124">
        <f>'Clinical Trials &amp; R&amp;D'!I319</f>
        <v>4437945</v>
      </c>
      <c r="X371" s="124">
        <f>'Manufacturing &amp; Production'!K319</f>
        <v>102941</v>
      </c>
      <c r="Y371" s="124">
        <f>'Monthly Data'!P115</f>
        <v>1219015</v>
      </c>
    </row>
    <row r="372">
      <c r="A372" s="126">
        <f>'Monthly Data'!A116</f>
        <v>46569</v>
      </c>
      <c r="B372" s="127">
        <f>'Workforce &amp; Expenses'!M170</f>
        <v>518</v>
      </c>
      <c r="C372" s="124">
        <f t="shared" si="164"/>
        <v>135689.5863</v>
      </c>
      <c r="D372" s="124">
        <f t="shared" si="165"/>
        <v>8200174</v>
      </c>
      <c r="E372" s="124">
        <f>'Workforce &amp; Expenses'!S68</f>
        <v>1631864</v>
      </c>
      <c r="F372" s="124">
        <f>'Workforce &amp; Expenses'!V68</f>
        <v>565264</v>
      </c>
      <c r="G372" s="124">
        <f>'Workforce &amp; Expenses'!W68</f>
        <v>1168020</v>
      </c>
      <c r="H372" s="124">
        <f t="shared" si="166"/>
        <v>856548</v>
      </c>
      <c r="I372" s="124">
        <f>'Workforce &amp; Expenses'!T68</f>
        <v>3095253</v>
      </c>
      <c r="J372" s="124">
        <f>'Workforce &amp; Expenses'!U68</f>
        <v>883225</v>
      </c>
      <c r="K372" s="124">
        <f>'Workforce &amp; Expenses'!E170</f>
        <v>1390294</v>
      </c>
      <c r="L372" s="124">
        <f t="shared" si="157"/>
        <v>825030</v>
      </c>
      <c r="M372" s="124">
        <f t="shared" si="158"/>
        <v>1390294</v>
      </c>
      <c r="N372" s="124">
        <f>'Workforce &amp; Expenses'!J170</f>
        <v>5658020</v>
      </c>
      <c r="O372" s="124">
        <f t="shared" si="159"/>
        <v>4490000</v>
      </c>
      <c r="P372" s="124">
        <f t="shared" si="160"/>
        <v>5658020</v>
      </c>
      <c r="Q372" s="124">
        <f>'Workforce &amp; Expenses'!O170</f>
        <v>3878641</v>
      </c>
      <c r="R372" s="124">
        <f t="shared" si="161"/>
        <v>3022093</v>
      </c>
      <c r="S372" s="124">
        <f t="shared" si="162"/>
        <v>3878641</v>
      </c>
      <c r="T372" s="124">
        <f t="shared" si="163"/>
        <v>0</v>
      </c>
      <c r="U372" s="124">
        <f>'Manufacturing &amp; Production'!F320</f>
        <v>2412472</v>
      </c>
      <c r="V372" s="124">
        <f>'Clinical Trials &amp; R&amp;D'!F320</f>
        <v>4204048</v>
      </c>
      <c r="W372" s="124">
        <f>'Clinical Trials &amp; R&amp;D'!I320</f>
        <v>4437945</v>
      </c>
      <c r="X372" s="124">
        <f>'Manufacturing &amp; Production'!K320</f>
        <v>16471</v>
      </c>
      <c r="Y372" s="124">
        <f>'Monthly Data'!P116</f>
        <v>1241609</v>
      </c>
    </row>
    <row r="373">
      <c r="A373" s="126">
        <f>'Monthly Data'!A117</f>
        <v>46600</v>
      </c>
      <c r="B373" s="127">
        <f>'Workforce &amp; Expenses'!M171</f>
        <v>522</v>
      </c>
      <c r="C373" s="124">
        <f t="shared" si="164"/>
        <v>135675.8785</v>
      </c>
      <c r="D373" s="124">
        <f t="shared" si="165"/>
        <v>8262661</v>
      </c>
      <c r="E373" s="124">
        <f>'Workforce &amp; Expenses'!S69</f>
        <v>1642919</v>
      </c>
      <c r="F373" s="124">
        <f>'Workforce &amp; Expenses'!V69</f>
        <v>565264</v>
      </c>
      <c r="G373" s="124">
        <f>'Workforce &amp; Expenses'!W69</f>
        <v>1182440</v>
      </c>
      <c r="H373" s="124">
        <f t="shared" si="166"/>
        <v>856548</v>
      </c>
      <c r="I373" s="124">
        <f>'Workforce &amp; Expenses'!T69</f>
        <v>3114240</v>
      </c>
      <c r="J373" s="124">
        <f>'Workforce &amp; Expenses'!U69</f>
        <v>901250</v>
      </c>
      <c r="K373" s="124">
        <f>'Workforce &amp; Expenses'!E171</f>
        <v>1418104</v>
      </c>
      <c r="L373" s="124">
        <f t="shared" si="157"/>
        <v>852840</v>
      </c>
      <c r="M373" s="124">
        <f t="shared" si="158"/>
        <v>1418104</v>
      </c>
      <c r="N373" s="124">
        <f>'Workforce &amp; Expenses'!J171</f>
        <v>4966840</v>
      </c>
      <c r="O373" s="124">
        <f t="shared" si="159"/>
        <v>3784400</v>
      </c>
      <c r="P373" s="124">
        <f t="shared" si="160"/>
        <v>4966840</v>
      </c>
      <c r="Q373" s="124">
        <f>'Workforce &amp; Expenses'!O171</f>
        <v>3880495</v>
      </c>
      <c r="R373" s="124">
        <f t="shared" si="161"/>
        <v>3023947</v>
      </c>
      <c r="S373" s="124">
        <f t="shared" si="162"/>
        <v>3880495</v>
      </c>
      <c r="T373" s="124">
        <f t="shared" si="163"/>
        <v>0</v>
      </c>
      <c r="U373" s="124">
        <f>'Manufacturing &amp; Production'!F321</f>
        <v>2438485</v>
      </c>
      <c r="V373" s="124">
        <f>'Clinical Trials &amp; R&amp;D'!F321</f>
        <v>4223035</v>
      </c>
      <c r="W373" s="124">
        <f>'Clinical Trials &amp; R&amp;D'!I321</f>
        <v>4455970</v>
      </c>
      <c r="X373" s="124">
        <f>'Manufacturing &amp; Production'!K321</f>
        <v>16471</v>
      </c>
      <c r="Y373" s="124">
        <f>'Monthly Data'!P117</f>
        <v>1264229</v>
      </c>
    </row>
    <row r="374">
      <c r="A374" s="126">
        <f>'Monthly Data'!A118</f>
        <v>46631</v>
      </c>
      <c r="B374" s="127">
        <f>'Workforce &amp; Expenses'!M172</f>
        <v>528</v>
      </c>
      <c r="C374" s="124">
        <f t="shared" si="164"/>
        <v>135679.0909</v>
      </c>
      <c r="D374" s="124">
        <f t="shared" si="165"/>
        <v>8357832</v>
      </c>
      <c r="E374" s="124">
        <f>'Workforce &amp; Expenses'!S70</f>
        <v>1653974</v>
      </c>
      <c r="F374" s="124">
        <f>'Workforce &amp; Expenses'!V70</f>
        <v>565264</v>
      </c>
      <c r="G374" s="124">
        <f>'Workforce &amp; Expenses'!W70</f>
        <v>1211280</v>
      </c>
      <c r="H374" s="124">
        <f t="shared" si="166"/>
        <v>872410</v>
      </c>
      <c r="I374" s="124">
        <f>'Workforce &amp; Expenses'!T70</f>
        <v>3153654</v>
      </c>
      <c r="J374" s="124">
        <f>'Workforce &amp; Expenses'!U70</f>
        <v>901250</v>
      </c>
      <c r="K374" s="124">
        <f>'Workforce &amp; Expenses'!E172</f>
        <v>1436644</v>
      </c>
      <c r="L374" s="124">
        <f t="shared" si="157"/>
        <v>871380</v>
      </c>
      <c r="M374" s="124">
        <f t="shared" si="158"/>
        <v>1436644</v>
      </c>
      <c r="N374" s="124">
        <f>'Workforce &amp; Expenses'!J172</f>
        <v>4996040</v>
      </c>
      <c r="O374" s="124">
        <f t="shared" si="159"/>
        <v>3784760</v>
      </c>
      <c r="P374" s="124">
        <f t="shared" si="160"/>
        <v>4996040</v>
      </c>
      <c r="Q374" s="124">
        <f>'Workforce &amp; Expenses'!O172</f>
        <v>3899138</v>
      </c>
      <c r="R374" s="124">
        <f t="shared" si="161"/>
        <v>3026728</v>
      </c>
      <c r="S374" s="124">
        <f t="shared" si="162"/>
        <v>3899138</v>
      </c>
      <c r="T374" s="124">
        <f t="shared" si="163"/>
        <v>0</v>
      </c>
      <c r="U374" s="124">
        <f>'Manufacturing &amp; Production'!F322</f>
        <v>2464828</v>
      </c>
      <c r="V374" s="124">
        <f>'Clinical Trials &amp; R&amp;D'!F322</f>
        <v>4262449</v>
      </c>
      <c r="W374" s="124">
        <f>'Clinical Trials &amp; R&amp;D'!I322</f>
        <v>4455970</v>
      </c>
      <c r="X374" s="124">
        <f>'Manufacturing &amp; Production'!K322</f>
        <v>102941</v>
      </c>
      <c r="Y374" s="124">
        <f>'Monthly Data'!P118</f>
        <v>1286880</v>
      </c>
    </row>
    <row r="375">
      <c r="A375" s="126">
        <f>'Monthly Data'!A119</f>
        <v>46661</v>
      </c>
      <c r="B375" s="127">
        <f>'Workforce &amp; Expenses'!M173</f>
        <v>532</v>
      </c>
      <c r="C375" s="124">
        <f t="shared" si="164"/>
        <v>135657.9699</v>
      </c>
      <c r="D375" s="124">
        <f t="shared" si="165"/>
        <v>8419838</v>
      </c>
      <c r="E375" s="124">
        <f>'Workforce &amp; Expenses'!S71</f>
        <v>1670076</v>
      </c>
      <c r="F375" s="124">
        <f>'Workforce &amp; Expenses'!V71</f>
        <v>578723</v>
      </c>
      <c r="G375" s="124">
        <f>'Workforce &amp; Expenses'!W71</f>
        <v>1225700</v>
      </c>
      <c r="H375" s="124">
        <f t="shared" si="166"/>
        <v>872410</v>
      </c>
      <c r="I375" s="124">
        <f>'Workforce &amp; Expenses'!T71</f>
        <v>3153654</v>
      </c>
      <c r="J375" s="124">
        <f>'Workforce &amp; Expenses'!U71</f>
        <v>919275</v>
      </c>
      <c r="K375" s="124">
        <f>'Workforce &amp; Expenses'!E173</f>
        <v>1450103</v>
      </c>
      <c r="L375" s="124">
        <f t="shared" si="157"/>
        <v>871380</v>
      </c>
      <c r="M375" s="124">
        <f t="shared" si="158"/>
        <v>1450103</v>
      </c>
      <c r="N375" s="124">
        <f>'Workforce &amp; Expenses'!J173</f>
        <v>5010640</v>
      </c>
      <c r="O375" s="124">
        <f t="shared" si="159"/>
        <v>3784940</v>
      </c>
      <c r="P375" s="124">
        <f t="shared" si="160"/>
        <v>5010640</v>
      </c>
      <c r="Q375" s="124">
        <f>'Workforce &amp; Expenses'!O173</f>
        <v>3900992</v>
      </c>
      <c r="R375" s="124">
        <f t="shared" si="161"/>
        <v>3028582</v>
      </c>
      <c r="S375" s="124">
        <f t="shared" si="162"/>
        <v>3900992</v>
      </c>
      <c r="T375" s="124">
        <f t="shared" si="163"/>
        <v>0</v>
      </c>
      <c r="U375" s="124">
        <f>'Manufacturing &amp; Production'!F323</f>
        <v>2496630</v>
      </c>
      <c r="V375" s="124">
        <f>'Clinical Trials &amp; R&amp;D'!F323</f>
        <v>4262449</v>
      </c>
      <c r="W375" s="124">
        <f>'Clinical Trials &amp; R&amp;D'!I323</f>
        <v>4473995</v>
      </c>
      <c r="X375" s="124">
        <f>'Manufacturing &amp; Production'!K323</f>
        <v>16471</v>
      </c>
      <c r="Y375" s="124">
        <f>'Monthly Data'!P119</f>
        <v>1300885</v>
      </c>
    </row>
    <row r="376">
      <c r="A376" s="126">
        <f>'Monthly Data'!A120</f>
        <v>46692</v>
      </c>
      <c r="B376" s="127">
        <f>'Workforce &amp; Expenses'!M174</f>
        <v>538</v>
      </c>
      <c r="C376" s="124">
        <f t="shared" si="164"/>
        <v>135661.3383</v>
      </c>
      <c r="D376" s="124">
        <f t="shared" si="165"/>
        <v>8515010</v>
      </c>
      <c r="E376" s="124">
        <f>'Workforce &amp; Expenses'!S72</f>
        <v>1681132</v>
      </c>
      <c r="F376" s="124">
        <f>'Workforce &amp; Expenses'!V72</f>
        <v>578723</v>
      </c>
      <c r="G376" s="124">
        <f>'Workforce &amp; Expenses'!W72</f>
        <v>1254540</v>
      </c>
      <c r="H376" s="124">
        <f t="shared" si="166"/>
        <v>888272</v>
      </c>
      <c r="I376" s="124">
        <f>'Workforce &amp; Expenses'!T72</f>
        <v>3193068</v>
      </c>
      <c r="J376" s="124">
        <f>'Workforce &amp; Expenses'!U72</f>
        <v>919275</v>
      </c>
      <c r="K376" s="124">
        <f>'Workforce &amp; Expenses'!E174</f>
        <v>1468643</v>
      </c>
      <c r="L376" s="124">
        <f t="shared" si="157"/>
        <v>889920</v>
      </c>
      <c r="M376" s="124">
        <f t="shared" si="158"/>
        <v>1468643</v>
      </c>
      <c r="N376" s="124">
        <f>'Workforce &amp; Expenses'!J174</f>
        <v>5039840</v>
      </c>
      <c r="O376" s="124">
        <f t="shared" si="159"/>
        <v>3785300</v>
      </c>
      <c r="P376" s="124">
        <f t="shared" si="160"/>
        <v>5039840</v>
      </c>
      <c r="Q376" s="124">
        <f>'Workforce &amp; Expenses'!O174</f>
        <v>3919635</v>
      </c>
      <c r="R376" s="124">
        <f t="shared" si="161"/>
        <v>3031363</v>
      </c>
      <c r="S376" s="124">
        <f t="shared" si="162"/>
        <v>3919635</v>
      </c>
      <c r="T376" s="124">
        <f t="shared" si="163"/>
        <v>0</v>
      </c>
      <c r="U376" s="124">
        <f>'Manufacturing &amp; Production'!F324</f>
        <v>2523631</v>
      </c>
      <c r="V376" s="124">
        <f>'Clinical Trials &amp; R&amp;D'!F324</f>
        <v>4301863</v>
      </c>
      <c r="W376" s="124">
        <f>'Clinical Trials &amp; R&amp;D'!I324</f>
        <v>4473995</v>
      </c>
      <c r="X376" s="124">
        <f>'Manufacturing &amp; Production'!K324</f>
        <v>16471</v>
      </c>
      <c r="Y376" s="124">
        <f>'Monthly Data'!P120</f>
        <v>1322568</v>
      </c>
    </row>
    <row r="377">
      <c r="A377" s="126">
        <f>'Monthly Data'!A121</f>
        <v>46722</v>
      </c>
      <c r="B377" s="127">
        <f>'Workforce &amp; Expenses'!M175</f>
        <v>542</v>
      </c>
      <c r="C377" s="124">
        <f t="shared" si="164"/>
        <v>135648.3448</v>
      </c>
      <c r="D377" s="124">
        <f t="shared" si="165"/>
        <v>8577497</v>
      </c>
      <c r="E377" s="124">
        <f>'Workforce &amp; Expenses'!S73</f>
        <v>1692187</v>
      </c>
      <c r="F377" s="124">
        <f>'Workforce &amp; Expenses'!V73</f>
        <v>578723</v>
      </c>
      <c r="G377" s="124">
        <f>'Workforce &amp; Expenses'!W73</f>
        <v>1268960</v>
      </c>
      <c r="H377" s="124">
        <f t="shared" si="166"/>
        <v>888272</v>
      </c>
      <c r="I377" s="124">
        <f>'Workforce &amp; Expenses'!T73</f>
        <v>3212055</v>
      </c>
      <c r="J377" s="124">
        <f>'Workforce &amp; Expenses'!U73</f>
        <v>937300</v>
      </c>
      <c r="K377" s="124">
        <f>'Workforce &amp; Expenses'!E175</f>
        <v>1487183</v>
      </c>
      <c r="L377" s="124">
        <f t="shared" si="157"/>
        <v>908460</v>
      </c>
      <c r="M377" s="124">
        <f t="shared" si="158"/>
        <v>1487183</v>
      </c>
      <c r="N377" s="124">
        <f>'Workforce &amp; Expenses'!J175</f>
        <v>5054440</v>
      </c>
      <c r="O377" s="124">
        <f t="shared" si="159"/>
        <v>3785480</v>
      </c>
      <c r="P377" s="124">
        <f t="shared" si="160"/>
        <v>5054440</v>
      </c>
      <c r="Q377" s="124">
        <f>'Workforce &amp; Expenses'!O175</f>
        <v>3921489</v>
      </c>
      <c r="R377" s="124">
        <f t="shared" si="161"/>
        <v>3033217</v>
      </c>
      <c r="S377" s="124">
        <f t="shared" si="162"/>
        <v>3921489</v>
      </c>
      <c r="T377" s="124">
        <f t="shared" si="163"/>
        <v>0</v>
      </c>
      <c r="U377" s="124">
        <f>'Manufacturing &amp; Production'!F325</f>
        <v>2551043</v>
      </c>
      <c r="V377" s="124">
        <f>'Clinical Trials &amp; R&amp;D'!F325</f>
        <v>4320850</v>
      </c>
      <c r="W377" s="124">
        <f>'Clinical Trials &amp; R&amp;D'!I325</f>
        <v>4492020</v>
      </c>
      <c r="X377" s="124">
        <f>'Manufacturing &amp; Production'!K325</f>
        <v>119412</v>
      </c>
      <c r="Y377" s="124">
        <f>'Monthly Data'!P121</f>
        <v>1344244</v>
      </c>
    </row>
    <row r="378">
      <c r="A378" s="126">
        <f>'Monthly Data'!A122</f>
        <v>46753</v>
      </c>
      <c r="B378" s="127">
        <f>'Workforce &amp; Expenses'!M176</f>
        <v>549</v>
      </c>
      <c r="C378" s="124">
        <f t="shared" si="164"/>
        <v>139756.6432</v>
      </c>
      <c r="D378" s="124">
        <f t="shared" si="165"/>
        <v>8951413</v>
      </c>
      <c r="E378" s="124">
        <f>'Workforce &amp; Expenses'!S74</f>
        <v>1754339</v>
      </c>
      <c r="F378" s="124">
        <f>'Workforce &amp; Expenses'!V74</f>
        <v>596084</v>
      </c>
      <c r="G378" s="124">
        <f>'Workforce &amp; Expenses'!W74</f>
        <v>1336734</v>
      </c>
      <c r="H378" s="124">
        <f t="shared" si="166"/>
        <v>931258</v>
      </c>
      <c r="I378" s="124">
        <f>'Workforce &amp; Expenses'!T74</f>
        <v>3349013</v>
      </c>
      <c r="J378" s="124">
        <f>'Workforce &amp; Expenses'!U74</f>
        <v>983985</v>
      </c>
      <c r="K378" s="124">
        <f>'Workforce &amp; Expenses'!E176</f>
        <v>1464961</v>
      </c>
      <c r="L378" s="124">
        <f t="shared" si="157"/>
        <v>868877</v>
      </c>
      <c r="M378" s="124">
        <f t="shared" si="158"/>
        <v>1464961</v>
      </c>
      <c r="N378" s="124">
        <f>'Workforce &amp; Expenses'!J176</f>
        <v>6253754</v>
      </c>
      <c r="O378" s="124">
        <f t="shared" si="159"/>
        <v>4917020</v>
      </c>
      <c r="P378" s="124">
        <f t="shared" si="160"/>
        <v>6253754</v>
      </c>
      <c r="Q378" s="124">
        <f>'Workforce &amp; Expenses'!O176</f>
        <v>4170093</v>
      </c>
      <c r="R378" s="124">
        <f t="shared" si="161"/>
        <v>3238835</v>
      </c>
      <c r="S378" s="124">
        <f t="shared" si="162"/>
        <v>4170093</v>
      </c>
      <c r="T378" s="124">
        <f t="shared" si="163"/>
        <v>0</v>
      </c>
      <c r="U378" s="124">
        <f>'Manufacturing &amp; Production'!F326</f>
        <v>2650897</v>
      </c>
      <c r="V378" s="124">
        <f>'Clinical Trials &amp; R&amp;D'!F326</f>
        <v>4491074</v>
      </c>
      <c r="W378" s="124">
        <f>'Clinical Trials &amp; R&amp;D'!I326</f>
        <v>4728484</v>
      </c>
      <c r="X378" s="124">
        <f>'Manufacturing &amp; Production'!K326</f>
        <v>16471</v>
      </c>
      <c r="Y378" s="124">
        <f>'Monthly Data'!P122</f>
        <v>1327788</v>
      </c>
    </row>
    <row r="379">
      <c r="A379" s="126">
        <f>'Monthly Data'!A123</f>
        <v>46784</v>
      </c>
      <c r="B379" s="127">
        <f>'Workforce &amp; Expenses'!M177</f>
        <v>556</v>
      </c>
      <c r="C379" s="124">
        <f t="shared" si="164"/>
        <v>139561.7729</v>
      </c>
      <c r="D379" s="124">
        <f t="shared" si="165"/>
        <v>9052907</v>
      </c>
      <c r="E379" s="124">
        <f>'Workforce &amp; Expenses'!S75</f>
        <v>1793699</v>
      </c>
      <c r="F379" s="124">
        <f>'Workforce &amp; Expenses'!V75</f>
        <v>609947</v>
      </c>
      <c r="G379" s="124">
        <f>'Workforce &amp; Expenses'!W75</f>
        <v>1366439</v>
      </c>
      <c r="H379" s="124">
        <f t="shared" si="166"/>
        <v>931258</v>
      </c>
      <c r="I379" s="124">
        <f>'Workforce &amp; Expenses'!T75</f>
        <v>3349013</v>
      </c>
      <c r="J379" s="124">
        <f>'Workforce &amp; Expenses'!U75</f>
        <v>1002551</v>
      </c>
      <c r="K379" s="124">
        <f>'Workforce &amp; Expenses'!E177</f>
        <v>1497920</v>
      </c>
      <c r="L379" s="124">
        <f t="shared" si="157"/>
        <v>887973</v>
      </c>
      <c r="M379" s="124">
        <f t="shared" si="158"/>
        <v>1497920</v>
      </c>
      <c r="N379" s="124">
        <f>'Workforce &amp; Expenses'!J177</f>
        <v>6283639</v>
      </c>
      <c r="O379" s="124">
        <f t="shared" si="159"/>
        <v>4917200</v>
      </c>
      <c r="P379" s="124">
        <f t="shared" si="160"/>
        <v>6283639</v>
      </c>
      <c r="Q379" s="124">
        <f>'Workforce &amp; Expenses'!O177</f>
        <v>4173435</v>
      </c>
      <c r="R379" s="124">
        <f t="shared" si="161"/>
        <v>3242177</v>
      </c>
      <c r="S379" s="124">
        <f t="shared" si="162"/>
        <v>4173435</v>
      </c>
      <c r="T379" s="124">
        <f t="shared" si="163"/>
        <v>0</v>
      </c>
      <c r="U379" s="124">
        <f>'Manufacturing &amp; Production'!F327</f>
        <v>2702365</v>
      </c>
      <c r="V379" s="124">
        <f>'Clinical Trials &amp; R&amp;D'!F327</f>
        <v>4491074</v>
      </c>
      <c r="W379" s="124">
        <f>'Clinical Trials &amp; R&amp;D'!I327</f>
        <v>4747050</v>
      </c>
      <c r="X379" s="124">
        <f>'Manufacturing &amp; Production'!K327</f>
        <v>16471</v>
      </c>
      <c r="Y379" s="124">
        <f>'Monthly Data'!P123</f>
        <v>1354724</v>
      </c>
    </row>
    <row r="380">
      <c r="A380" s="126">
        <f>'Monthly Data'!A124</f>
        <v>46813</v>
      </c>
      <c r="B380" s="127">
        <f>'Workforce &amp; Expenses'!M178</f>
        <v>562</v>
      </c>
      <c r="C380" s="124">
        <f t="shared" si="164"/>
        <v>139566.8632</v>
      </c>
      <c r="D380" s="124">
        <f t="shared" si="165"/>
        <v>9150934</v>
      </c>
      <c r="E380" s="124">
        <f>'Workforce &amp; Expenses'!S76</f>
        <v>1805086</v>
      </c>
      <c r="F380" s="124">
        <f>'Workforce &amp; Expenses'!V76</f>
        <v>609947</v>
      </c>
      <c r="G380" s="124">
        <f>'Workforce &amp; Expenses'!W76</f>
        <v>1396144</v>
      </c>
      <c r="H380" s="124">
        <f t="shared" si="166"/>
        <v>947596</v>
      </c>
      <c r="I380" s="124">
        <f>'Workforce &amp; Expenses'!T76</f>
        <v>3389610</v>
      </c>
      <c r="J380" s="124">
        <f>'Workforce &amp; Expenses'!U76</f>
        <v>1002551</v>
      </c>
      <c r="K380" s="124">
        <f>'Workforce &amp; Expenses'!E178</f>
        <v>1526565</v>
      </c>
      <c r="L380" s="124">
        <f t="shared" si="157"/>
        <v>916618</v>
      </c>
      <c r="M380" s="124">
        <f t="shared" si="158"/>
        <v>1526565</v>
      </c>
      <c r="N380" s="124">
        <f>'Workforce &amp; Expenses'!J178</f>
        <v>6313704</v>
      </c>
      <c r="O380" s="124">
        <f t="shared" si="159"/>
        <v>4917560</v>
      </c>
      <c r="P380" s="124">
        <f t="shared" si="160"/>
        <v>6313704</v>
      </c>
      <c r="Q380" s="124">
        <f>'Workforce &amp; Expenses'!O178</f>
        <v>4192638</v>
      </c>
      <c r="R380" s="124">
        <f t="shared" si="161"/>
        <v>3245042</v>
      </c>
      <c r="S380" s="124">
        <f t="shared" si="162"/>
        <v>4192638</v>
      </c>
      <c r="T380" s="124">
        <f t="shared" si="163"/>
        <v>0</v>
      </c>
      <c r="U380" s="124">
        <f>'Manufacturing &amp; Production'!F328</f>
        <v>2726026</v>
      </c>
      <c r="V380" s="124">
        <f>'Clinical Trials &amp; R&amp;D'!F328</f>
        <v>4531671</v>
      </c>
      <c r="W380" s="124">
        <f>'Clinical Trials &amp; R&amp;D'!I328</f>
        <v>4747050</v>
      </c>
      <c r="X380" s="124">
        <f>'Manufacturing &amp; Production'!K328</f>
        <v>102941</v>
      </c>
      <c r="Y380" s="124">
        <f>'Monthly Data'!P124</f>
        <v>1381697</v>
      </c>
    </row>
    <row r="381">
      <c r="A381" s="126">
        <f>'Monthly Data'!A125</f>
        <v>46844</v>
      </c>
      <c r="B381" s="127">
        <f>'Workforce &amp; Expenses'!M179</f>
        <v>565</v>
      </c>
      <c r="C381" s="124">
        <f t="shared" si="164"/>
        <v>139505.5221</v>
      </c>
      <c r="D381" s="124">
        <f t="shared" si="165"/>
        <v>9195739</v>
      </c>
      <c r="E381" s="124">
        <f>'Workforce &amp; Expenses'!S77</f>
        <v>1816473</v>
      </c>
      <c r="F381" s="124">
        <f>'Workforce &amp; Expenses'!V77</f>
        <v>609947</v>
      </c>
      <c r="G381" s="124">
        <f>'Workforce &amp; Expenses'!W77</f>
        <v>1410997</v>
      </c>
      <c r="H381" s="124">
        <f t="shared" si="166"/>
        <v>947596</v>
      </c>
      <c r="I381" s="124">
        <f>'Workforce &amp; Expenses'!T77</f>
        <v>3389610</v>
      </c>
      <c r="J381" s="124">
        <f>'Workforce &amp; Expenses'!U77</f>
        <v>1021116</v>
      </c>
      <c r="K381" s="124">
        <f>'Workforce &amp; Expenses'!E179</f>
        <v>1536113</v>
      </c>
      <c r="L381" s="124">
        <f t="shared" si="157"/>
        <v>926166</v>
      </c>
      <c r="M381" s="124">
        <f t="shared" si="158"/>
        <v>1536113</v>
      </c>
      <c r="N381" s="124">
        <f>'Workforce &amp; Expenses'!J179</f>
        <v>6328737</v>
      </c>
      <c r="O381" s="124">
        <f t="shared" si="159"/>
        <v>4917740</v>
      </c>
      <c r="P381" s="124">
        <f t="shared" si="160"/>
        <v>6328737</v>
      </c>
      <c r="Q381" s="124">
        <f>'Workforce &amp; Expenses'!O179</f>
        <v>4194070</v>
      </c>
      <c r="R381" s="124">
        <f t="shared" si="161"/>
        <v>3246474</v>
      </c>
      <c r="S381" s="124">
        <f t="shared" si="162"/>
        <v>4194070</v>
      </c>
      <c r="T381" s="124">
        <f t="shared" si="163"/>
        <v>0</v>
      </c>
      <c r="U381" s="124">
        <f>'Manufacturing &amp; Production'!F329</f>
        <v>2749858</v>
      </c>
      <c r="V381" s="124">
        <f>'Clinical Trials &amp; R&amp;D'!F329</f>
        <v>4531671</v>
      </c>
      <c r="W381" s="124">
        <f>'Clinical Trials &amp; R&amp;D'!I329</f>
        <v>4765615</v>
      </c>
      <c r="X381" s="124">
        <f>'Manufacturing &amp; Production'!K329</f>
        <v>16471</v>
      </c>
      <c r="Y381" s="124">
        <f>'Monthly Data'!P125</f>
        <v>1408703</v>
      </c>
    </row>
    <row r="382">
      <c r="A382" s="126">
        <f>'Monthly Data'!A126</f>
        <v>46874</v>
      </c>
      <c r="B382" s="127">
        <f>'Workforce &amp; Expenses'!M180</f>
        <v>574</v>
      </c>
      <c r="C382" s="124">
        <f t="shared" si="164"/>
        <v>139476.9288</v>
      </c>
      <c r="D382" s="124">
        <f t="shared" si="165"/>
        <v>9340305</v>
      </c>
      <c r="E382" s="124">
        <f>'Workforce &amp; Expenses'!S78</f>
        <v>1855832</v>
      </c>
      <c r="F382" s="124">
        <f>'Workforce &amp; Expenses'!V78</f>
        <v>609947</v>
      </c>
      <c r="G382" s="124">
        <f>'Workforce &amp; Expenses'!W78</f>
        <v>1440702</v>
      </c>
      <c r="H382" s="124">
        <f t="shared" si="166"/>
        <v>963934</v>
      </c>
      <c r="I382" s="124">
        <f>'Workforce &amp; Expenses'!T78</f>
        <v>3430208</v>
      </c>
      <c r="J382" s="124">
        <f>'Workforce &amp; Expenses'!U78</f>
        <v>1039682</v>
      </c>
      <c r="K382" s="124">
        <f>'Workforce &amp; Expenses'!E180</f>
        <v>1564757</v>
      </c>
      <c r="L382" s="124">
        <f t="shared" si="157"/>
        <v>954810</v>
      </c>
      <c r="M382" s="124">
        <f t="shared" si="158"/>
        <v>1564757</v>
      </c>
      <c r="N382" s="124">
        <f>'Workforce &amp; Expenses'!J180</f>
        <v>6358982</v>
      </c>
      <c r="O382" s="124">
        <f t="shared" si="159"/>
        <v>4918280</v>
      </c>
      <c r="P382" s="124">
        <f t="shared" si="160"/>
        <v>6358982</v>
      </c>
      <c r="Q382" s="124">
        <f>'Workforce &amp; Expenses'!O180</f>
        <v>4214704</v>
      </c>
      <c r="R382" s="124">
        <f t="shared" si="161"/>
        <v>3250770</v>
      </c>
      <c r="S382" s="124">
        <f t="shared" si="162"/>
        <v>4214704</v>
      </c>
      <c r="T382" s="124">
        <f t="shared" si="163"/>
        <v>0</v>
      </c>
      <c r="U382" s="124">
        <f>'Manufacturing &amp; Production'!F330</f>
        <v>2801916</v>
      </c>
      <c r="V382" s="124">
        <f>'Clinical Trials &amp; R&amp;D'!F330</f>
        <v>4572269</v>
      </c>
      <c r="W382" s="124">
        <f>'Clinical Trials &amp; R&amp;D'!I330</f>
        <v>4784181</v>
      </c>
      <c r="X382" s="124">
        <f>'Manufacturing &amp; Production'!K330</f>
        <v>16471</v>
      </c>
      <c r="Y382" s="124">
        <f>'Monthly Data'!P126</f>
        <v>1435744</v>
      </c>
    </row>
    <row r="383">
      <c r="A383" s="126">
        <f>'Monthly Data'!A127</f>
        <v>46905</v>
      </c>
      <c r="B383" s="127">
        <f>'Workforce &amp; Expenses'!M181</f>
        <v>580</v>
      </c>
      <c r="C383" s="124">
        <f t="shared" si="164"/>
        <v>139362.0148</v>
      </c>
      <c r="D383" s="124">
        <f t="shared" si="165"/>
        <v>9430163</v>
      </c>
      <c r="E383" s="124">
        <f>'Workforce &amp; Expenses'!S79</f>
        <v>1867219</v>
      </c>
      <c r="F383" s="124">
        <f>'Workforce &amp; Expenses'!V79</f>
        <v>623809</v>
      </c>
      <c r="G383" s="124">
        <f>'Workforce &amp; Expenses'!W79</f>
        <v>1470407</v>
      </c>
      <c r="H383" s="124">
        <f t="shared" si="166"/>
        <v>980272</v>
      </c>
      <c r="I383" s="124">
        <f>'Workforce &amp; Expenses'!T79</f>
        <v>3430208</v>
      </c>
      <c r="J383" s="124">
        <f>'Workforce &amp; Expenses'!U79</f>
        <v>1058248</v>
      </c>
      <c r="K383" s="124">
        <f>'Workforce &amp; Expenses'!E181</f>
        <v>1597715</v>
      </c>
      <c r="L383" s="124">
        <f t="shared" si="157"/>
        <v>973906</v>
      </c>
      <c r="M383" s="124">
        <f t="shared" si="158"/>
        <v>1597715</v>
      </c>
      <c r="N383" s="124">
        <f>'Workforce &amp; Expenses'!J181</f>
        <v>6388867</v>
      </c>
      <c r="O383" s="124">
        <f t="shared" si="159"/>
        <v>4918460</v>
      </c>
      <c r="P383" s="124">
        <f t="shared" si="160"/>
        <v>6388867</v>
      </c>
      <c r="Q383" s="124">
        <f>'Workforce &amp; Expenses'!O181</f>
        <v>4233907</v>
      </c>
      <c r="R383" s="124">
        <f t="shared" si="161"/>
        <v>3253635</v>
      </c>
      <c r="S383" s="124">
        <f t="shared" si="162"/>
        <v>4233907</v>
      </c>
      <c r="T383" s="124">
        <f t="shared" si="163"/>
        <v>0</v>
      </c>
      <c r="U383" s="124">
        <f>'Manufacturing &amp; Production'!F331</f>
        <v>2826172</v>
      </c>
      <c r="V383" s="124">
        <f>'Clinical Trials &amp; R&amp;D'!F331</f>
        <v>4572269</v>
      </c>
      <c r="W383" s="124">
        <f>'Clinical Trials &amp; R&amp;D'!I331</f>
        <v>4802747</v>
      </c>
      <c r="X383" s="124">
        <f>'Manufacturing &amp; Production'!K331</f>
        <v>102941</v>
      </c>
      <c r="Y383" s="124">
        <f>'Monthly Data'!P127</f>
        <v>1462818</v>
      </c>
    </row>
    <row r="384">
      <c r="A384" s="126">
        <f>'Monthly Data'!A128</f>
        <v>46935</v>
      </c>
      <c r="B384" s="127">
        <f>'Workforce &amp; Expenses'!M182</f>
        <v>585</v>
      </c>
      <c r="C384" s="124">
        <f t="shared" si="164"/>
        <v>139367.8095</v>
      </c>
      <c r="D384" s="124">
        <f t="shared" si="165"/>
        <v>9511853</v>
      </c>
      <c r="E384" s="124">
        <f>'Workforce &amp; Expenses'!S80</f>
        <v>1878606</v>
      </c>
      <c r="F384" s="124">
        <f>'Workforce &amp; Expenses'!V80</f>
        <v>623809</v>
      </c>
      <c r="G384" s="124">
        <f>'Workforce &amp; Expenses'!W80</f>
        <v>1500113</v>
      </c>
      <c r="H384" s="124">
        <f t="shared" si="166"/>
        <v>980272</v>
      </c>
      <c r="I384" s="124">
        <f>'Workforce &amp; Expenses'!T80</f>
        <v>3470805</v>
      </c>
      <c r="J384" s="124">
        <f>'Workforce &amp; Expenses'!U80</f>
        <v>1058248</v>
      </c>
      <c r="K384" s="124">
        <f>'Workforce &amp; Expenses'!E182</f>
        <v>1607263</v>
      </c>
      <c r="L384" s="124">
        <f t="shared" si="157"/>
        <v>983454</v>
      </c>
      <c r="M384" s="124">
        <f t="shared" si="158"/>
        <v>1607263</v>
      </c>
      <c r="N384" s="124">
        <f>'Workforce &amp; Expenses'!J182</f>
        <v>6419113</v>
      </c>
      <c r="O384" s="124">
        <f t="shared" si="159"/>
        <v>4919000</v>
      </c>
      <c r="P384" s="124">
        <f t="shared" si="160"/>
        <v>6419113</v>
      </c>
      <c r="Q384" s="124">
        <f>'Workforce &amp; Expenses'!O182</f>
        <v>4236294</v>
      </c>
      <c r="R384" s="124">
        <f t="shared" si="161"/>
        <v>3256022</v>
      </c>
      <c r="S384" s="124">
        <f t="shared" si="162"/>
        <v>4236294</v>
      </c>
      <c r="T384" s="124">
        <f t="shared" si="163"/>
        <v>0</v>
      </c>
      <c r="U384" s="124">
        <f>'Manufacturing &amp; Production'!F332</f>
        <v>2850597</v>
      </c>
      <c r="V384" s="124">
        <f>'Clinical Trials &amp; R&amp;D'!F332</f>
        <v>4612866</v>
      </c>
      <c r="W384" s="124">
        <f>'Clinical Trials &amp; R&amp;D'!I332</f>
        <v>4802747</v>
      </c>
      <c r="X384" s="124">
        <f>'Manufacturing &amp; Production'!K332</f>
        <v>16471</v>
      </c>
      <c r="Y384" s="124">
        <f>'Monthly Data'!P128</f>
        <v>1489931</v>
      </c>
    </row>
    <row r="385">
      <c r="A385" s="126">
        <f>'Monthly Data'!A129</f>
        <v>46966</v>
      </c>
      <c r="B385" s="127">
        <f>'Workforce &amp; Expenses'!M183</f>
        <v>592</v>
      </c>
      <c r="C385" s="124">
        <f t="shared" si="164"/>
        <v>139225.2075</v>
      </c>
      <c r="D385" s="124">
        <f t="shared" si="165"/>
        <v>9615821</v>
      </c>
      <c r="E385" s="124">
        <f>'Workforce &amp; Expenses'!S81</f>
        <v>1917966</v>
      </c>
      <c r="F385" s="124">
        <f>'Workforce &amp; Expenses'!V81</f>
        <v>623809</v>
      </c>
      <c r="G385" s="124">
        <f>'Workforce &amp; Expenses'!W81</f>
        <v>1529818</v>
      </c>
      <c r="H385" s="124">
        <f t="shared" si="166"/>
        <v>996609</v>
      </c>
      <c r="I385" s="124">
        <f>'Workforce &amp; Expenses'!T81</f>
        <v>3470805</v>
      </c>
      <c r="J385" s="124">
        <f>'Workforce &amp; Expenses'!U81</f>
        <v>1076814</v>
      </c>
      <c r="K385" s="124">
        <f>'Workforce &amp; Expenses'!E183</f>
        <v>1635908</v>
      </c>
      <c r="L385" s="124">
        <f t="shared" si="157"/>
        <v>1012099</v>
      </c>
      <c r="M385" s="124">
        <f t="shared" si="158"/>
        <v>1635908</v>
      </c>
      <c r="N385" s="124">
        <f>'Workforce &amp; Expenses'!J183</f>
        <v>6448998</v>
      </c>
      <c r="O385" s="124">
        <f t="shared" si="159"/>
        <v>4919180</v>
      </c>
      <c r="P385" s="124">
        <f t="shared" si="160"/>
        <v>6448998</v>
      </c>
      <c r="Q385" s="124">
        <f>'Workforce &amp; Expenses'!O183</f>
        <v>4255973</v>
      </c>
      <c r="R385" s="124">
        <f t="shared" si="161"/>
        <v>3259364</v>
      </c>
      <c r="S385" s="124">
        <f t="shared" si="162"/>
        <v>4255973</v>
      </c>
      <c r="T385" s="124">
        <f t="shared" si="163"/>
        <v>0</v>
      </c>
      <c r="U385" s="124">
        <f>'Manufacturing &amp; Production'!F333</f>
        <v>2903248</v>
      </c>
      <c r="V385" s="124">
        <f>'Clinical Trials &amp; R&amp;D'!F333</f>
        <v>4612866</v>
      </c>
      <c r="W385" s="124">
        <f>'Clinical Trials &amp; R&amp;D'!I333</f>
        <v>4821313</v>
      </c>
      <c r="X385" s="124">
        <f>'Manufacturing &amp; Production'!K333</f>
        <v>16471</v>
      </c>
      <c r="Y385" s="124">
        <f>'Monthly Data'!P129</f>
        <v>1517075</v>
      </c>
    </row>
    <row r="386">
      <c r="A386" s="126">
        <f>'Monthly Data'!A130</f>
        <v>46997</v>
      </c>
      <c r="B386" s="127">
        <f>'Workforce &amp; Expenses'!M184</f>
        <v>598</v>
      </c>
      <c r="C386" s="124">
        <f t="shared" si="164"/>
        <v>139265.2891</v>
      </c>
      <c r="D386" s="124">
        <f t="shared" si="165"/>
        <v>9716075</v>
      </c>
      <c r="E386" s="124">
        <f>'Workforce &amp; Expenses'!S82</f>
        <v>1929353</v>
      </c>
      <c r="F386" s="124">
        <f>'Workforce &amp; Expenses'!V82</f>
        <v>623809</v>
      </c>
      <c r="G386" s="124">
        <f>'Workforce &amp; Expenses'!W82</f>
        <v>1559523</v>
      </c>
      <c r="H386" s="124">
        <f t="shared" si="166"/>
        <v>996609</v>
      </c>
      <c r="I386" s="124">
        <f>'Workforce &amp; Expenses'!T82</f>
        <v>3511402</v>
      </c>
      <c r="J386" s="124">
        <f>'Workforce &amp; Expenses'!U82</f>
        <v>1095379</v>
      </c>
      <c r="K386" s="124">
        <f>'Workforce &amp; Expenses'!E184</f>
        <v>1655004</v>
      </c>
      <c r="L386" s="124">
        <f t="shared" si="157"/>
        <v>1031195</v>
      </c>
      <c r="M386" s="124">
        <f t="shared" si="158"/>
        <v>1655004</v>
      </c>
      <c r="N386" s="124">
        <f>'Workforce &amp; Expenses'!J184</f>
        <v>6479243</v>
      </c>
      <c r="O386" s="124">
        <f t="shared" si="159"/>
        <v>4919720</v>
      </c>
      <c r="P386" s="124">
        <f t="shared" si="160"/>
        <v>6479243</v>
      </c>
      <c r="Q386" s="124">
        <f>'Workforce &amp; Expenses'!O184</f>
        <v>4258837</v>
      </c>
      <c r="R386" s="124">
        <f t="shared" si="161"/>
        <v>3262228</v>
      </c>
      <c r="S386" s="124">
        <f t="shared" si="162"/>
        <v>4258837</v>
      </c>
      <c r="T386" s="124">
        <f t="shared" si="163"/>
        <v>0</v>
      </c>
      <c r="U386" s="124">
        <f>'Manufacturing &amp; Production'!F334</f>
        <v>2928096</v>
      </c>
      <c r="V386" s="124">
        <f>'Clinical Trials &amp; R&amp;D'!F334</f>
        <v>4653463</v>
      </c>
      <c r="W386" s="124">
        <f>'Clinical Trials &amp; R&amp;D'!I334</f>
        <v>4839878</v>
      </c>
      <c r="X386" s="124">
        <f>'Manufacturing &amp; Production'!K334</f>
        <v>102941</v>
      </c>
      <c r="Y386" s="124">
        <f>'Monthly Data'!P130</f>
        <v>1544256</v>
      </c>
    </row>
    <row r="387">
      <c r="A387" s="126">
        <f>'Monthly Data'!A131</f>
        <v>47027</v>
      </c>
      <c r="B387" s="127">
        <f>'Workforce &amp; Expenses'!M185</f>
        <v>603</v>
      </c>
      <c r="C387" s="124">
        <f t="shared" si="164"/>
        <v>139176.7164</v>
      </c>
      <c r="D387" s="124">
        <f t="shared" si="165"/>
        <v>9791082</v>
      </c>
      <c r="E387" s="124">
        <f>'Workforce &amp; Expenses'!S83</f>
        <v>1940740</v>
      </c>
      <c r="F387" s="124">
        <f>'Workforce &amp; Expenses'!V83</f>
        <v>637672</v>
      </c>
      <c r="G387" s="124">
        <f>'Workforce &amp; Expenses'!W83</f>
        <v>1574376</v>
      </c>
      <c r="H387" s="124">
        <f t="shared" si="166"/>
        <v>1012947</v>
      </c>
      <c r="I387" s="124">
        <f>'Workforce &amp; Expenses'!T83</f>
        <v>3511402</v>
      </c>
      <c r="J387" s="124">
        <f>'Workforce &amp; Expenses'!U83</f>
        <v>1113945</v>
      </c>
      <c r="K387" s="124">
        <f>'Workforce &amp; Expenses'!E185</f>
        <v>1668867</v>
      </c>
      <c r="L387" s="124">
        <f t="shared" si="157"/>
        <v>1031195</v>
      </c>
      <c r="M387" s="124">
        <f t="shared" si="158"/>
        <v>1668867</v>
      </c>
      <c r="N387" s="124">
        <f>'Workforce &amp; Expenses'!J185</f>
        <v>6494276</v>
      </c>
      <c r="O387" s="124">
        <f t="shared" si="159"/>
        <v>4919900</v>
      </c>
      <c r="P387" s="124">
        <f t="shared" si="160"/>
        <v>6494276</v>
      </c>
      <c r="Q387" s="124">
        <f>'Workforce &amp; Expenses'!O185</f>
        <v>4277562</v>
      </c>
      <c r="R387" s="124">
        <f t="shared" si="161"/>
        <v>3264615</v>
      </c>
      <c r="S387" s="124">
        <f t="shared" si="162"/>
        <v>4277562</v>
      </c>
      <c r="T387" s="124">
        <f t="shared" si="163"/>
        <v>0</v>
      </c>
      <c r="U387" s="124">
        <f>'Manufacturing &amp; Production'!F335</f>
        <v>2953113</v>
      </c>
      <c r="V387" s="124">
        <f>'Clinical Trials &amp; R&amp;D'!F335</f>
        <v>4653463</v>
      </c>
      <c r="W387" s="124">
        <f>'Clinical Trials &amp; R&amp;D'!I335</f>
        <v>4858444</v>
      </c>
      <c r="X387" s="124">
        <f>'Manufacturing &amp; Production'!K335</f>
        <v>16471</v>
      </c>
      <c r="Y387" s="124">
        <f>'Monthly Data'!P131</f>
        <v>1561062</v>
      </c>
    </row>
    <row r="388">
      <c r="A388" s="126">
        <f>'Monthly Data'!A132</f>
        <v>47058</v>
      </c>
      <c r="B388" s="127">
        <f>'Workforce &amp; Expenses'!M186</f>
        <v>610</v>
      </c>
      <c r="C388" s="124">
        <f t="shared" si="164"/>
        <v>139120.5105</v>
      </c>
      <c r="D388" s="124">
        <f t="shared" si="165"/>
        <v>9900743</v>
      </c>
      <c r="E388" s="124">
        <f>'Workforce &amp; Expenses'!S84</f>
        <v>1980099</v>
      </c>
      <c r="F388" s="124">
        <f>'Workforce &amp; Expenses'!V84</f>
        <v>637672</v>
      </c>
      <c r="G388" s="124">
        <f>'Workforce &amp; Expenses'!W84</f>
        <v>1604081</v>
      </c>
      <c r="H388" s="124">
        <f t="shared" si="166"/>
        <v>1012947</v>
      </c>
      <c r="I388" s="124">
        <f>'Workforce &amp; Expenses'!T84</f>
        <v>3551999</v>
      </c>
      <c r="J388" s="124">
        <f>'Workforce &amp; Expenses'!U84</f>
        <v>1113945</v>
      </c>
      <c r="K388" s="124">
        <f>'Workforce &amp; Expenses'!E186</f>
        <v>1687963</v>
      </c>
      <c r="L388" s="124">
        <f t="shared" si="157"/>
        <v>1050291</v>
      </c>
      <c r="M388" s="124">
        <f t="shared" si="158"/>
        <v>1687963</v>
      </c>
      <c r="N388" s="124">
        <f>'Workforce &amp; Expenses'!J186</f>
        <v>6524521</v>
      </c>
      <c r="O388" s="124">
        <f t="shared" si="159"/>
        <v>4920440</v>
      </c>
      <c r="P388" s="124">
        <f t="shared" si="160"/>
        <v>6524521</v>
      </c>
      <c r="Q388" s="124">
        <f>'Workforce &amp; Expenses'!O186</f>
        <v>4280904</v>
      </c>
      <c r="R388" s="124">
        <f t="shared" si="161"/>
        <v>3267957</v>
      </c>
      <c r="S388" s="124">
        <f t="shared" si="162"/>
        <v>4280904</v>
      </c>
      <c r="T388" s="124">
        <f t="shared" si="163"/>
        <v>0</v>
      </c>
      <c r="U388" s="124">
        <f>'Manufacturing &amp; Production'!F336</f>
        <v>3006357</v>
      </c>
      <c r="V388" s="124">
        <f>'Clinical Trials &amp; R&amp;D'!F336</f>
        <v>4694060</v>
      </c>
      <c r="W388" s="124">
        <f>'Clinical Trials &amp; R&amp;D'!I336</f>
        <v>4858444</v>
      </c>
      <c r="X388" s="124">
        <f>'Manufacturing &amp; Production'!K336</f>
        <v>16471</v>
      </c>
      <c r="Y388" s="124">
        <f>'Monthly Data'!P132</f>
        <v>1587082</v>
      </c>
    </row>
    <row r="389">
      <c r="A389" s="126">
        <f>'Monthly Data'!A133</f>
        <v>47088</v>
      </c>
      <c r="B389" s="127">
        <f>'Workforce &amp; Expenses'!M187</f>
        <v>615</v>
      </c>
      <c r="C389" s="124">
        <f t="shared" si="164"/>
        <v>139048.6272</v>
      </c>
      <c r="D389" s="124">
        <f t="shared" si="165"/>
        <v>9976739</v>
      </c>
      <c r="E389" s="124">
        <f>'Workforce &amp; Expenses'!S85</f>
        <v>1991486</v>
      </c>
      <c r="F389" s="124">
        <f>'Workforce &amp; Expenses'!V85</f>
        <v>637672</v>
      </c>
      <c r="G389" s="124">
        <f>'Workforce &amp; Expenses'!W85</f>
        <v>1633786</v>
      </c>
      <c r="H389" s="124">
        <f t="shared" si="166"/>
        <v>1029285</v>
      </c>
      <c r="I389" s="124">
        <f>'Workforce &amp; Expenses'!T85</f>
        <v>3551999</v>
      </c>
      <c r="J389" s="124">
        <f>'Workforce &amp; Expenses'!U85</f>
        <v>1132511</v>
      </c>
      <c r="K389" s="124">
        <f>'Workforce &amp; Expenses'!E187</f>
        <v>1707059</v>
      </c>
      <c r="L389" s="124">
        <f t="shared" si="157"/>
        <v>1069387</v>
      </c>
      <c r="M389" s="124">
        <f t="shared" si="158"/>
        <v>1707059</v>
      </c>
      <c r="N389" s="124">
        <f>'Workforce &amp; Expenses'!J187</f>
        <v>6554586</v>
      </c>
      <c r="O389" s="124">
        <f t="shared" si="159"/>
        <v>4920800</v>
      </c>
      <c r="P389" s="124">
        <f t="shared" si="160"/>
        <v>6554586</v>
      </c>
      <c r="Q389" s="124">
        <f>'Workforce &amp; Expenses'!O187</f>
        <v>4299629</v>
      </c>
      <c r="R389" s="124">
        <f t="shared" si="161"/>
        <v>3270344</v>
      </c>
      <c r="S389" s="124">
        <f t="shared" si="162"/>
        <v>4299629</v>
      </c>
      <c r="T389" s="124">
        <f t="shared" si="163"/>
        <v>0</v>
      </c>
      <c r="U389" s="124">
        <f>'Manufacturing &amp; Production'!F337</f>
        <v>3031797</v>
      </c>
      <c r="V389" s="124">
        <f>'Clinical Trials &amp; R&amp;D'!F337</f>
        <v>4694060</v>
      </c>
      <c r="W389" s="124">
        <f>'Clinical Trials &amp; R&amp;D'!I337</f>
        <v>4877010</v>
      </c>
      <c r="X389" s="124">
        <f>'Manufacturing &amp; Production'!K337</f>
        <v>119412</v>
      </c>
      <c r="Y389" s="124">
        <f>'Monthly Data'!P133</f>
        <v>1613093</v>
      </c>
    </row>
    <row r="390">
      <c r="A390" s="126">
        <f>'Monthly Data'!A134</f>
        <v>47119</v>
      </c>
      <c r="B390" s="127">
        <f>'Workforce &amp; Expenses'!M188</f>
        <v>620</v>
      </c>
      <c r="C390" s="124">
        <f t="shared" si="164"/>
        <v>143147.2673</v>
      </c>
      <c r="D390" s="124">
        <f t="shared" si="165"/>
        <v>10354319</v>
      </c>
      <c r="E390" s="124">
        <f>'Workforce &amp; Expenses'!S86</f>
        <v>2062960</v>
      </c>
      <c r="F390" s="124">
        <f>'Workforce &amp; Expenses'!V86</f>
        <v>656802</v>
      </c>
      <c r="G390" s="124">
        <f>'Workforce &amp; Expenses'!W86</f>
        <v>1713396</v>
      </c>
      <c r="H390" s="124">
        <f t="shared" si="166"/>
        <v>1076992</v>
      </c>
      <c r="I390" s="124">
        <f>'Workforce &amp; Expenses'!T86</f>
        <v>3658560</v>
      </c>
      <c r="J390" s="124">
        <f>'Workforce &amp; Expenses'!U86</f>
        <v>1185609</v>
      </c>
      <c r="K390" s="124">
        <f>'Workforce &amp; Expenses'!E188</f>
        <v>1669760</v>
      </c>
      <c r="L390" s="124">
        <f t="shared" si="157"/>
        <v>1012958</v>
      </c>
      <c r="M390" s="124">
        <f t="shared" si="158"/>
        <v>1669760</v>
      </c>
      <c r="N390" s="124">
        <f>'Workforce &amp; Expenses'!J188</f>
        <v>8104856</v>
      </c>
      <c r="O390" s="124">
        <f t="shared" si="159"/>
        <v>6391460</v>
      </c>
      <c r="P390" s="124">
        <f t="shared" si="160"/>
        <v>8104856</v>
      </c>
      <c r="Q390" s="124">
        <f>'Workforce &amp; Expenses'!O188</f>
        <v>4566975</v>
      </c>
      <c r="R390" s="124">
        <f t="shared" si="161"/>
        <v>3489983</v>
      </c>
      <c r="S390" s="124">
        <f t="shared" si="162"/>
        <v>4566975</v>
      </c>
      <c r="T390" s="124">
        <f t="shared" si="163"/>
        <v>0</v>
      </c>
      <c r="U390" s="124">
        <f>'Manufacturing &amp; Production'!F338</f>
        <v>3145730</v>
      </c>
      <c r="V390" s="124">
        <f>'Clinical Trials &amp; R&amp;D'!F338</f>
        <v>4834880</v>
      </c>
      <c r="W390" s="124">
        <f>'Clinical Trials &amp; R&amp;D'!I338</f>
        <v>5178876</v>
      </c>
      <c r="X390" s="124">
        <f>'Manufacturing &amp; Production'!K338</f>
        <v>16471</v>
      </c>
      <c r="Y390" s="124">
        <f>'Monthly Data'!P134</f>
        <v>1593346</v>
      </c>
    </row>
    <row r="391">
      <c r="A391" s="126">
        <f>'Monthly Data'!A135</f>
        <v>47150</v>
      </c>
      <c r="B391" s="127">
        <f>'Workforce &amp; Expenses'!M189</f>
        <v>627</v>
      </c>
      <c r="C391" s="124">
        <f t="shared" si="164"/>
        <v>143065.3452</v>
      </c>
      <c r="D391" s="124">
        <f t="shared" si="165"/>
        <v>10465230</v>
      </c>
      <c r="E391" s="124">
        <f>'Workforce &amp; Expenses'!S87</f>
        <v>2103500</v>
      </c>
      <c r="F391" s="124">
        <f>'Workforce &amp; Expenses'!V87</f>
        <v>671080</v>
      </c>
      <c r="G391" s="124">
        <f>'Workforce &amp; Expenses'!W87</f>
        <v>1728694</v>
      </c>
      <c r="H391" s="124">
        <f t="shared" si="166"/>
        <v>1076992</v>
      </c>
      <c r="I391" s="124">
        <f>'Workforce &amp; Expenses'!T87</f>
        <v>3680232</v>
      </c>
      <c r="J391" s="124">
        <f>'Workforce &amp; Expenses'!U87</f>
        <v>1204732</v>
      </c>
      <c r="K391" s="124">
        <f>'Workforce &amp; Expenses'!E189</f>
        <v>1703707</v>
      </c>
      <c r="L391" s="124">
        <f t="shared" si="157"/>
        <v>1032627</v>
      </c>
      <c r="M391" s="124">
        <f t="shared" si="158"/>
        <v>1703707</v>
      </c>
      <c r="N391" s="124">
        <f>'Workforce &amp; Expenses'!J189</f>
        <v>8120514</v>
      </c>
      <c r="O391" s="124">
        <f t="shared" si="159"/>
        <v>6391820</v>
      </c>
      <c r="P391" s="124">
        <f t="shared" si="160"/>
        <v>8120514</v>
      </c>
      <c r="Q391" s="124">
        <f>'Workforce &amp; Expenses'!O189</f>
        <v>4570417</v>
      </c>
      <c r="R391" s="124">
        <f t="shared" si="161"/>
        <v>3493425</v>
      </c>
      <c r="S391" s="124">
        <f t="shared" si="162"/>
        <v>4570417</v>
      </c>
      <c r="T391" s="124">
        <f t="shared" si="163"/>
        <v>0</v>
      </c>
      <c r="U391" s="124">
        <f>'Manufacturing &amp; Production'!F339</f>
        <v>3197692</v>
      </c>
      <c r="V391" s="124">
        <f>'Clinical Trials &amp; R&amp;D'!F339</f>
        <v>4856552</v>
      </c>
      <c r="W391" s="124">
        <f>'Clinical Trials &amp; R&amp;D'!I339</f>
        <v>5197999</v>
      </c>
      <c r="X391" s="124">
        <f>'Manufacturing &amp; Production'!K339</f>
        <v>16471</v>
      </c>
      <c r="Y391" s="124">
        <f>'Monthly Data'!P135</f>
        <v>1625669</v>
      </c>
    </row>
    <row r="392">
      <c r="A392" s="126">
        <f>'Monthly Data'!A136</f>
        <v>47178</v>
      </c>
      <c r="B392" s="127">
        <f>'Workforce &amp; Expenses'!M190</f>
        <v>632</v>
      </c>
      <c r="C392" s="124">
        <f t="shared" si="164"/>
        <v>142995.0814</v>
      </c>
      <c r="D392" s="124">
        <f t="shared" si="165"/>
        <v>10543504</v>
      </c>
      <c r="E392" s="124">
        <f>'Workforce &amp; Expenses'!S88</f>
        <v>2115228</v>
      </c>
      <c r="F392" s="124">
        <f>'Workforce &amp; Expenses'!V88</f>
        <v>671080</v>
      </c>
      <c r="G392" s="124">
        <f>'Workforce &amp; Expenses'!W88</f>
        <v>1759290</v>
      </c>
      <c r="H392" s="124">
        <f t="shared" si="166"/>
        <v>1093820</v>
      </c>
      <c r="I392" s="124">
        <f>'Workforce &amp; Expenses'!T88</f>
        <v>3680232</v>
      </c>
      <c r="J392" s="124">
        <f>'Workforce &amp; Expenses'!U88</f>
        <v>1223854</v>
      </c>
      <c r="K392" s="124">
        <f>'Workforce &amp; Expenses'!E190</f>
        <v>1733211</v>
      </c>
      <c r="L392" s="124">
        <f t="shared" si="157"/>
        <v>1062131</v>
      </c>
      <c r="M392" s="124">
        <f t="shared" si="158"/>
        <v>1733211</v>
      </c>
      <c r="N392" s="124">
        <f>'Workforce &amp; Expenses'!J190</f>
        <v>8151650</v>
      </c>
      <c r="O392" s="124">
        <f t="shared" si="159"/>
        <v>6392360</v>
      </c>
      <c r="P392" s="124">
        <f t="shared" si="160"/>
        <v>8151650</v>
      </c>
      <c r="Q392" s="124">
        <f>'Workforce &amp; Expenses'!O190</f>
        <v>4589704</v>
      </c>
      <c r="R392" s="124">
        <f t="shared" si="161"/>
        <v>3495884</v>
      </c>
      <c r="S392" s="124">
        <f t="shared" si="162"/>
        <v>4589704</v>
      </c>
      <c r="T392" s="124">
        <f t="shared" si="163"/>
        <v>0</v>
      </c>
      <c r="U392" s="124">
        <f>'Manufacturing &amp; Production'!F340</f>
        <v>3220931</v>
      </c>
      <c r="V392" s="124">
        <f>'Clinical Trials &amp; R&amp;D'!F340</f>
        <v>4856552</v>
      </c>
      <c r="W392" s="124">
        <f>'Clinical Trials &amp; R&amp;D'!I340</f>
        <v>5217121</v>
      </c>
      <c r="X392" s="124">
        <f>'Manufacturing &amp; Production'!K340</f>
        <v>102941</v>
      </c>
      <c r="Y392" s="124">
        <f>'Monthly Data'!P136</f>
        <v>1658036</v>
      </c>
    </row>
    <row r="393">
      <c r="A393" s="126">
        <f>'Monthly Data'!A137</f>
        <v>47209</v>
      </c>
      <c r="B393" s="127">
        <f>'Workforce &amp; Expenses'!M191</f>
        <v>638</v>
      </c>
      <c r="C393" s="124">
        <f t="shared" si="164"/>
        <v>142924.5947</v>
      </c>
      <c r="D393" s="124">
        <f t="shared" si="165"/>
        <v>10638354</v>
      </c>
      <c r="E393" s="124">
        <f>'Workforce &amp; Expenses'!S89</f>
        <v>2138686</v>
      </c>
      <c r="F393" s="124">
        <f>'Workforce &amp; Expenses'!V89</f>
        <v>671080</v>
      </c>
      <c r="G393" s="124">
        <f>'Workforce &amp; Expenses'!W89</f>
        <v>1789887</v>
      </c>
      <c r="H393" s="124">
        <f t="shared" si="166"/>
        <v>1093820</v>
      </c>
      <c r="I393" s="124">
        <f>'Workforce &amp; Expenses'!T89</f>
        <v>3701904</v>
      </c>
      <c r="J393" s="124">
        <f>'Workforce &amp; Expenses'!U89</f>
        <v>1242977</v>
      </c>
      <c r="K393" s="124">
        <f>'Workforce &amp; Expenses'!E191</f>
        <v>1743045</v>
      </c>
      <c r="L393" s="124">
        <f t="shared" si="157"/>
        <v>1071965</v>
      </c>
      <c r="M393" s="124">
        <f t="shared" si="158"/>
        <v>1743045</v>
      </c>
      <c r="N393" s="124">
        <f>'Workforce &amp; Expenses'!J191</f>
        <v>8182607</v>
      </c>
      <c r="O393" s="124">
        <f t="shared" si="159"/>
        <v>6392720</v>
      </c>
      <c r="P393" s="124">
        <f t="shared" si="160"/>
        <v>8182607</v>
      </c>
      <c r="Q393" s="124">
        <f>'Workforce &amp; Expenses'!O191</f>
        <v>4592654</v>
      </c>
      <c r="R393" s="124">
        <f t="shared" si="161"/>
        <v>3498834</v>
      </c>
      <c r="S393" s="124">
        <f t="shared" si="162"/>
        <v>4592654</v>
      </c>
      <c r="T393" s="124">
        <f t="shared" si="163"/>
        <v>0</v>
      </c>
      <c r="U393" s="124">
        <f>'Manufacturing &amp; Production'!F341</f>
        <v>3256073</v>
      </c>
      <c r="V393" s="124">
        <f>'Clinical Trials &amp; R&amp;D'!F341</f>
        <v>4878224</v>
      </c>
      <c r="W393" s="124">
        <f>'Clinical Trials &amp; R&amp;D'!I341</f>
        <v>5236244</v>
      </c>
      <c r="X393" s="124">
        <f>'Manufacturing &amp; Production'!K341</f>
        <v>16471</v>
      </c>
      <c r="Y393" s="124">
        <f>'Monthly Data'!P137</f>
        <v>1690444</v>
      </c>
    </row>
    <row r="394">
      <c r="A394" s="126">
        <f>'Monthly Data'!A138</f>
        <v>47239</v>
      </c>
      <c r="B394" s="127">
        <f>'Workforce &amp; Expenses'!M192</f>
        <v>643</v>
      </c>
      <c r="C394" s="124">
        <f t="shared" si="164"/>
        <v>142880.4355</v>
      </c>
      <c r="D394" s="124">
        <f t="shared" si="165"/>
        <v>10718414</v>
      </c>
      <c r="E394" s="124">
        <f>'Workforce &amp; Expenses'!S90</f>
        <v>2167497</v>
      </c>
      <c r="F394" s="124">
        <f>'Workforce &amp; Expenses'!V90</f>
        <v>671080</v>
      </c>
      <c r="G394" s="124">
        <f>'Workforce &amp; Expenses'!W90</f>
        <v>1805185</v>
      </c>
      <c r="H394" s="124">
        <f t="shared" si="166"/>
        <v>1110648</v>
      </c>
      <c r="I394" s="124">
        <f>'Workforce &amp; Expenses'!T90</f>
        <v>3701904</v>
      </c>
      <c r="J394" s="124">
        <f>'Workforce &amp; Expenses'!U90</f>
        <v>1262100</v>
      </c>
      <c r="K394" s="124">
        <f>'Workforce &amp; Expenses'!E192</f>
        <v>1772549</v>
      </c>
      <c r="L394" s="124">
        <f t="shared" si="157"/>
        <v>1101469</v>
      </c>
      <c r="M394" s="124">
        <f t="shared" si="158"/>
        <v>1772549</v>
      </c>
      <c r="N394" s="124">
        <f>'Workforce &amp; Expenses'!J192</f>
        <v>8198265</v>
      </c>
      <c r="O394" s="124">
        <f t="shared" si="159"/>
        <v>6393080</v>
      </c>
      <c r="P394" s="124">
        <f t="shared" si="160"/>
        <v>8198265</v>
      </c>
      <c r="Q394" s="124">
        <f>'Workforce &amp; Expenses'!O192</f>
        <v>4611941</v>
      </c>
      <c r="R394" s="124">
        <f t="shared" si="161"/>
        <v>3501293</v>
      </c>
      <c r="S394" s="124">
        <f t="shared" si="162"/>
        <v>4611941</v>
      </c>
      <c r="T394" s="124">
        <f t="shared" si="163"/>
        <v>0</v>
      </c>
      <c r="U394" s="124">
        <f>'Manufacturing &amp; Production'!F342</f>
        <v>3296744</v>
      </c>
      <c r="V394" s="124">
        <f>'Clinical Trials &amp; R&amp;D'!F342</f>
        <v>4878224</v>
      </c>
      <c r="W394" s="124">
        <f>'Clinical Trials &amp; R&amp;D'!I342</f>
        <v>5255367</v>
      </c>
      <c r="X394" s="124">
        <f>'Manufacturing &amp; Production'!K342</f>
        <v>16471</v>
      </c>
      <c r="Y394" s="124">
        <f>'Monthly Data'!P138</f>
        <v>1722893</v>
      </c>
    </row>
    <row r="395">
      <c r="A395" s="126">
        <f>'Monthly Data'!A139</f>
        <v>47270</v>
      </c>
      <c r="B395" s="127">
        <f>'Workforce &amp; Expenses'!M193</f>
        <v>650</v>
      </c>
      <c r="C395" s="124">
        <f t="shared" si="164"/>
        <v>142780.7473</v>
      </c>
      <c r="D395" s="124">
        <f t="shared" si="165"/>
        <v>10827540</v>
      </c>
      <c r="E395" s="124">
        <f>'Workforce &amp; Expenses'!S91</f>
        <v>2190954</v>
      </c>
      <c r="F395" s="124">
        <f>'Workforce &amp; Expenses'!V91</f>
        <v>685358</v>
      </c>
      <c r="G395" s="124">
        <f>'Workforce &amp; Expenses'!W91</f>
        <v>1835781</v>
      </c>
      <c r="H395" s="124">
        <f t="shared" si="166"/>
        <v>1110648</v>
      </c>
      <c r="I395" s="124">
        <f>'Workforce &amp; Expenses'!T91</f>
        <v>3723577</v>
      </c>
      <c r="J395" s="124">
        <f>'Workforce &amp; Expenses'!U91</f>
        <v>1281222</v>
      </c>
      <c r="K395" s="124">
        <f>'Workforce &amp; Expenses'!E193</f>
        <v>1806496</v>
      </c>
      <c r="L395" s="124">
        <f t="shared" si="157"/>
        <v>1121138</v>
      </c>
      <c r="M395" s="124">
        <f t="shared" si="158"/>
        <v>1806496</v>
      </c>
      <c r="N395" s="124">
        <f>'Workforce &amp; Expenses'!J193</f>
        <v>8229401</v>
      </c>
      <c r="O395" s="124">
        <f t="shared" si="159"/>
        <v>6393620</v>
      </c>
      <c r="P395" s="124">
        <f t="shared" si="160"/>
        <v>8229401</v>
      </c>
      <c r="Q395" s="124">
        <f>'Workforce &amp; Expenses'!O193</f>
        <v>4615383</v>
      </c>
      <c r="R395" s="124">
        <f t="shared" si="161"/>
        <v>3504735</v>
      </c>
      <c r="S395" s="124">
        <f t="shared" si="162"/>
        <v>4615383</v>
      </c>
      <c r="T395" s="124">
        <f t="shared" si="163"/>
        <v>0</v>
      </c>
      <c r="U395" s="124">
        <f>'Manufacturing &amp; Production'!F343</f>
        <v>3332148</v>
      </c>
      <c r="V395" s="124">
        <f>'Clinical Trials &amp; R&amp;D'!F343</f>
        <v>4899897</v>
      </c>
      <c r="W395" s="124">
        <f>'Clinical Trials &amp; R&amp;D'!I343</f>
        <v>5274489</v>
      </c>
      <c r="X395" s="124">
        <f>'Manufacturing &amp; Production'!K343</f>
        <v>102941</v>
      </c>
      <c r="Y395" s="124">
        <f>'Monthly Data'!P139</f>
        <v>1755382</v>
      </c>
    </row>
    <row r="396">
      <c r="A396" s="126">
        <f>'Monthly Data'!A140</f>
        <v>47300</v>
      </c>
      <c r="B396" s="127">
        <f>'Workforce &amp; Expenses'!M194</f>
        <v>655</v>
      </c>
      <c r="C396" s="124">
        <f t="shared" si="164"/>
        <v>142715.1625</v>
      </c>
      <c r="D396" s="124">
        <f t="shared" si="165"/>
        <v>10905817</v>
      </c>
      <c r="E396" s="124">
        <f>'Workforce &amp; Expenses'!S92</f>
        <v>2202683</v>
      </c>
      <c r="F396" s="124">
        <f>'Workforce &amp; Expenses'!V92</f>
        <v>685358</v>
      </c>
      <c r="G396" s="124">
        <f>'Workforce &amp; Expenses'!W92</f>
        <v>1866378</v>
      </c>
      <c r="H396" s="124">
        <f t="shared" si="166"/>
        <v>1127476</v>
      </c>
      <c r="I396" s="124">
        <f>'Workforce &amp; Expenses'!T92</f>
        <v>3723577</v>
      </c>
      <c r="J396" s="124">
        <f>'Workforce &amp; Expenses'!U92</f>
        <v>1300345</v>
      </c>
      <c r="K396" s="124">
        <f>'Workforce &amp; Expenses'!E194</f>
        <v>1816330</v>
      </c>
      <c r="L396" s="124">
        <f t="shared" si="157"/>
        <v>1130972</v>
      </c>
      <c r="M396" s="124">
        <f t="shared" si="158"/>
        <v>1816330</v>
      </c>
      <c r="N396" s="124">
        <f>'Workforce &amp; Expenses'!J194</f>
        <v>8260358</v>
      </c>
      <c r="O396" s="124">
        <f t="shared" si="159"/>
        <v>6393980</v>
      </c>
      <c r="P396" s="124">
        <f t="shared" si="160"/>
        <v>8260358</v>
      </c>
      <c r="Q396" s="124">
        <f>'Workforce &amp; Expenses'!O194</f>
        <v>4634669</v>
      </c>
      <c r="R396" s="124">
        <f t="shared" si="161"/>
        <v>3507193</v>
      </c>
      <c r="S396" s="124">
        <f t="shared" si="162"/>
        <v>4634669</v>
      </c>
      <c r="T396" s="124">
        <f t="shared" si="163"/>
        <v>0</v>
      </c>
      <c r="U396" s="124">
        <f>'Manufacturing &amp; Production'!F344</f>
        <v>3355910</v>
      </c>
      <c r="V396" s="124">
        <f>'Clinical Trials &amp; R&amp;D'!F344</f>
        <v>4899897</v>
      </c>
      <c r="W396" s="124">
        <f>'Clinical Trials &amp; R&amp;D'!I344</f>
        <v>5293612</v>
      </c>
      <c r="X396" s="124">
        <f>'Manufacturing &amp; Production'!K344</f>
        <v>16471</v>
      </c>
      <c r="Y396" s="124">
        <f>'Monthly Data'!P140</f>
        <v>1787917</v>
      </c>
    </row>
    <row r="397">
      <c r="A397" s="126">
        <f>'Monthly Data'!A141</f>
        <v>47331</v>
      </c>
      <c r="B397" s="127">
        <f>'Workforce &amp; Expenses'!M195</f>
        <v>659</v>
      </c>
      <c r="C397" s="124">
        <f t="shared" si="164"/>
        <v>142671.3635</v>
      </c>
      <c r="D397" s="124">
        <f t="shared" si="165"/>
        <v>10969050</v>
      </c>
      <c r="E397" s="124">
        <f>'Workforce &amp; Expenses'!S93</f>
        <v>2231495</v>
      </c>
      <c r="F397" s="124">
        <f>'Workforce &amp; Expenses'!V93</f>
        <v>685358</v>
      </c>
      <c r="G397" s="124">
        <f>'Workforce &amp; Expenses'!W93</f>
        <v>1881676</v>
      </c>
      <c r="H397" s="124">
        <f t="shared" si="166"/>
        <v>1127476</v>
      </c>
      <c r="I397" s="124">
        <f>'Workforce &amp; Expenses'!T93</f>
        <v>3723577</v>
      </c>
      <c r="J397" s="124">
        <f>'Workforce &amp; Expenses'!U93</f>
        <v>1319468</v>
      </c>
      <c r="K397" s="124">
        <f>'Workforce &amp; Expenses'!E195</f>
        <v>1845834</v>
      </c>
      <c r="L397" s="124">
        <f t="shared" si="157"/>
        <v>1160476</v>
      </c>
      <c r="M397" s="124">
        <f t="shared" si="158"/>
        <v>1845834</v>
      </c>
      <c r="N397" s="124">
        <f>'Workforce &amp; Expenses'!J195</f>
        <v>8276016</v>
      </c>
      <c r="O397" s="124">
        <f t="shared" si="159"/>
        <v>6394340</v>
      </c>
      <c r="P397" s="124">
        <f t="shared" si="160"/>
        <v>8276016</v>
      </c>
      <c r="Q397" s="124">
        <f>'Workforce &amp; Expenses'!O195</f>
        <v>4636636</v>
      </c>
      <c r="R397" s="124">
        <f t="shared" si="161"/>
        <v>3509160</v>
      </c>
      <c r="S397" s="124">
        <f t="shared" si="162"/>
        <v>4636636</v>
      </c>
      <c r="T397" s="124">
        <f t="shared" si="163"/>
        <v>0</v>
      </c>
      <c r="U397" s="124">
        <f>'Manufacturing &amp; Production'!F345</f>
        <v>3397018</v>
      </c>
      <c r="V397" s="124">
        <f>'Clinical Trials &amp; R&amp;D'!F345</f>
        <v>4899897</v>
      </c>
      <c r="W397" s="124">
        <f>'Clinical Trials &amp; R&amp;D'!I345</f>
        <v>5312735</v>
      </c>
      <c r="X397" s="124">
        <f>'Manufacturing &amp; Production'!K345</f>
        <v>16471</v>
      </c>
      <c r="Y397" s="124">
        <f>'Monthly Data'!P141</f>
        <v>1820490</v>
      </c>
    </row>
    <row r="398">
      <c r="A398" s="126">
        <f>'Monthly Data'!A142</f>
        <v>47362</v>
      </c>
      <c r="B398" s="127">
        <f>'Workforce &amp; Expenses'!M196</f>
        <v>666</v>
      </c>
      <c r="C398" s="124">
        <f t="shared" si="164"/>
        <v>142609.0862</v>
      </c>
      <c r="D398" s="124">
        <f t="shared" si="165"/>
        <v>11080726</v>
      </c>
      <c r="E398" s="124">
        <f>'Workforce &amp; Expenses'!S94</f>
        <v>2254952</v>
      </c>
      <c r="F398" s="124">
        <f>'Workforce &amp; Expenses'!V94</f>
        <v>685358</v>
      </c>
      <c r="G398" s="124">
        <f>'Workforce &amp; Expenses'!W94</f>
        <v>1912272</v>
      </c>
      <c r="H398" s="124">
        <f t="shared" si="166"/>
        <v>1144304</v>
      </c>
      <c r="I398" s="124">
        <f>'Workforce &amp; Expenses'!T94</f>
        <v>3745249</v>
      </c>
      <c r="J398" s="124">
        <f>'Workforce &amp; Expenses'!U94</f>
        <v>1338591</v>
      </c>
      <c r="K398" s="124">
        <f>'Workforce &amp; Expenses'!E196</f>
        <v>1865503</v>
      </c>
      <c r="L398" s="124">
        <f t="shared" si="157"/>
        <v>1180145</v>
      </c>
      <c r="M398" s="124">
        <f t="shared" si="158"/>
        <v>1865503</v>
      </c>
      <c r="N398" s="124">
        <f>'Workforce &amp; Expenses'!J196</f>
        <v>8307332</v>
      </c>
      <c r="O398" s="124">
        <f t="shared" si="159"/>
        <v>6395060</v>
      </c>
      <c r="P398" s="124">
        <f t="shared" si="160"/>
        <v>8307332</v>
      </c>
      <c r="Q398" s="124">
        <f>'Workforce &amp; Expenses'!O196</f>
        <v>4656906</v>
      </c>
      <c r="R398" s="124">
        <f t="shared" si="161"/>
        <v>3512602</v>
      </c>
      <c r="S398" s="124">
        <f t="shared" si="162"/>
        <v>4656906</v>
      </c>
      <c r="T398" s="124">
        <f t="shared" si="163"/>
        <v>0</v>
      </c>
      <c r="U398" s="124">
        <f>'Manufacturing &amp; Production'!F346</f>
        <v>3432856</v>
      </c>
      <c r="V398" s="124">
        <f>'Clinical Trials &amp; R&amp;D'!F346</f>
        <v>4921569</v>
      </c>
      <c r="W398" s="124">
        <f>'Clinical Trials &amp; R&amp;D'!I346</f>
        <v>5331858</v>
      </c>
      <c r="X398" s="124">
        <f>'Manufacturing &amp; Production'!K346</f>
        <v>102941</v>
      </c>
      <c r="Y398" s="124">
        <f>'Monthly Data'!P142</f>
        <v>1853107</v>
      </c>
    </row>
    <row r="399">
      <c r="A399" s="126">
        <f>'Monthly Data'!A143</f>
        <v>47392</v>
      </c>
      <c r="B399" s="127">
        <f>'Workforce &amp; Expenses'!M197</f>
        <v>671</v>
      </c>
      <c r="C399" s="124">
        <f t="shared" si="164"/>
        <v>142513.7577</v>
      </c>
      <c r="D399" s="124">
        <f t="shared" si="165"/>
        <v>11156452</v>
      </c>
      <c r="E399" s="124">
        <f>'Workforce &amp; Expenses'!S95</f>
        <v>2266680</v>
      </c>
      <c r="F399" s="124">
        <f>'Workforce &amp; Expenses'!V95</f>
        <v>699637</v>
      </c>
      <c r="G399" s="124">
        <f>'Workforce &amp; Expenses'!W95</f>
        <v>1942869</v>
      </c>
      <c r="H399" s="124">
        <f t="shared" si="166"/>
        <v>1144304</v>
      </c>
      <c r="I399" s="124">
        <f>'Workforce &amp; Expenses'!T95</f>
        <v>3745249</v>
      </c>
      <c r="J399" s="124">
        <f>'Workforce &amp; Expenses'!U95</f>
        <v>1357713</v>
      </c>
      <c r="K399" s="124">
        <f>'Workforce &amp; Expenses'!E197</f>
        <v>1879782</v>
      </c>
      <c r="L399" s="124">
        <f t="shared" si="157"/>
        <v>1180145</v>
      </c>
      <c r="M399" s="124">
        <f t="shared" si="158"/>
        <v>1879782</v>
      </c>
      <c r="N399" s="124">
        <f>'Workforce &amp; Expenses'!J197</f>
        <v>8338289</v>
      </c>
      <c r="O399" s="124">
        <f t="shared" si="159"/>
        <v>6395420</v>
      </c>
      <c r="P399" s="124">
        <f t="shared" si="160"/>
        <v>8338289</v>
      </c>
      <c r="Q399" s="124">
        <f>'Workforce &amp; Expenses'!O197</f>
        <v>4659365</v>
      </c>
      <c r="R399" s="124">
        <f t="shared" si="161"/>
        <v>3515061</v>
      </c>
      <c r="S399" s="124">
        <f t="shared" si="162"/>
        <v>4659365</v>
      </c>
      <c r="T399" s="124">
        <f t="shared" si="163"/>
        <v>0</v>
      </c>
      <c r="U399" s="124">
        <f>'Manufacturing &amp; Production'!F347</f>
        <v>3457054</v>
      </c>
      <c r="V399" s="124">
        <f>'Clinical Trials &amp; R&amp;D'!F347</f>
        <v>4921569</v>
      </c>
      <c r="W399" s="124">
        <f>'Clinical Trials &amp; R&amp;D'!I347</f>
        <v>5350980</v>
      </c>
      <c r="X399" s="124">
        <f>'Manufacturing &amp; Production'!K347</f>
        <v>16471</v>
      </c>
      <c r="Y399" s="124">
        <f>'Monthly Data'!P143</f>
        <v>1873274</v>
      </c>
    </row>
    <row r="400">
      <c r="A400" s="126">
        <f>'Monthly Data'!A144</f>
        <v>47423</v>
      </c>
      <c r="B400" s="127">
        <f>'Workforce &amp; Expenses'!M198</f>
        <v>678</v>
      </c>
      <c r="C400" s="124">
        <f t="shared" si="164"/>
        <v>142476.8015</v>
      </c>
      <c r="D400" s="124">
        <f t="shared" si="165"/>
        <v>11269915</v>
      </c>
      <c r="E400" s="124">
        <f>'Workforce &amp; Expenses'!S96</f>
        <v>2307221</v>
      </c>
      <c r="F400" s="124">
        <f>'Workforce &amp; Expenses'!V96</f>
        <v>699637</v>
      </c>
      <c r="G400" s="124">
        <f>'Workforce &amp; Expenses'!W96</f>
        <v>1958167</v>
      </c>
      <c r="H400" s="124">
        <f t="shared" si="166"/>
        <v>1161132</v>
      </c>
      <c r="I400" s="124">
        <f>'Workforce &amp; Expenses'!T96</f>
        <v>3766922</v>
      </c>
      <c r="J400" s="124">
        <f>'Workforce &amp; Expenses'!U96</f>
        <v>1376836</v>
      </c>
      <c r="K400" s="124">
        <f>'Workforce &amp; Expenses'!E198</f>
        <v>1899451</v>
      </c>
      <c r="L400" s="124">
        <f t="shared" si="157"/>
        <v>1199814</v>
      </c>
      <c r="M400" s="124">
        <f t="shared" si="158"/>
        <v>1899451</v>
      </c>
      <c r="N400" s="124">
        <f>'Workforce &amp; Expenses'!J198</f>
        <v>8353947</v>
      </c>
      <c r="O400" s="124">
        <f t="shared" si="159"/>
        <v>6395780</v>
      </c>
      <c r="P400" s="124">
        <f t="shared" si="160"/>
        <v>8353947</v>
      </c>
      <c r="Q400" s="124">
        <f>'Workforce &amp; Expenses'!O198</f>
        <v>4679635</v>
      </c>
      <c r="R400" s="124">
        <f t="shared" si="161"/>
        <v>3518503</v>
      </c>
      <c r="S400" s="124">
        <f t="shared" si="162"/>
        <v>4679635</v>
      </c>
      <c r="T400" s="124">
        <f t="shared" si="163"/>
        <v>0</v>
      </c>
      <c r="U400" s="124">
        <f>'Manufacturing &amp; Production'!F348</f>
        <v>3510239</v>
      </c>
      <c r="V400" s="124">
        <f>'Clinical Trials &amp; R&amp;D'!F348</f>
        <v>4943242</v>
      </c>
      <c r="W400" s="124">
        <f>'Clinical Trials &amp; R&amp;D'!I348</f>
        <v>5370103</v>
      </c>
      <c r="X400" s="124">
        <f>'Manufacturing &amp; Production'!K348</f>
        <v>16471</v>
      </c>
      <c r="Y400" s="124">
        <f>'Monthly Data'!P144</f>
        <v>1904498</v>
      </c>
    </row>
    <row r="401">
      <c r="A401" s="126">
        <f>'Monthly Data'!A145</f>
        <v>47453</v>
      </c>
      <c r="B401" s="127">
        <f>'Workforce &amp; Expenses'!M199</f>
        <v>682</v>
      </c>
      <c r="C401" s="124">
        <f t="shared" si="164"/>
        <v>142413.4311</v>
      </c>
      <c r="D401" s="124">
        <f t="shared" si="165"/>
        <v>11331362</v>
      </c>
      <c r="E401" s="124">
        <f>'Workforce &amp; Expenses'!S97</f>
        <v>2318949</v>
      </c>
      <c r="F401" s="124">
        <f>'Workforce &amp; Expenses'!V97</f>
        <v>699637</v>
      </c>
      <c r="G401" s="124">
        <f>'Workforce &amp; Expenses'!W97</f>
        <v>1988763</v>
      </c>
      <c r="H401" s="124">
        <f t="shared" si="166"/>
        <v>1161132</v>
      </c>
      <c r="I401" s="124">
        <f>'Workforce &amp; Expenses'!T97</f>
        <v>3766922</v>
      </c>
      <c r="J401" s="124">
        <f>'Workforce &amp; Expenses'!U97</f>
        <v>1395959</v>
      </c>
      <c r="K401" s="124">
        <f>'Workforce &amp; Expenses'!E199</f>
        <v>1919120</v>
      </c>
      <c r="L401" s="124">
        <f t="shared" si="157"/>
        <v>1219483</v>
      </c>
      <c r="M401" s="124">
        <f t="shared" si="158"/>
        <v>1919120</v>
      </c>
      <c r="N401" s="124">
        <f>'Workforce &amp; Expenses'!J199</f>
        <v>8385083</v>
      </c>
      <c r="O401" s="124">
        <f t="shared" si="159"/>
        <v>6396320</v>
      </c>
      <c r="P401" s="124">
        <f t="shared" si="160"/>
        <v>8385083</v>
      </c>
      <c r="Q401" s="124">
        <f>'Workforce &amp; Expenses'!O199</f>
        <v>4681602</v>
      </c>
      <c r="R401" s="124">
        <f t="shared" si="161"/>
        <v>3520470</v>
      </c>
      <c r="S401" s="124">
        <f t="shared" si="162"/>
        <v>4681602</v>
      </c>
      <c r="T401" s="124">
        <f t="shared" si="163"/>
        <v>0</v>
      </c>
      <c r="U401" s="124">
        <f>'Manufacturing &amp; Production'!F349</f>
        <v>3534786</v>
      </c>
      <c r="V401" s="124">
        <f>'Clinical Trials &amp; R&amp;D'!F349</f>
        <v>4943242</v>
      </c>
      <c r="W401" s="124">
        <f>'Clinical Trials &amp; R&amp;D'!I349</f>
        <v>5389226</v>
      </c>
      <c r="X401" s="124">
        <f>'Manufacturing &amp; Production'!K349</f>
        <v>119412</v>
      </c>
      <c r="Y401" s="124">
        <f>'Monthly Data'!P145</f>
        <v>1935712</v>
      </c>
    </row>
    <row r="402">
      <c r="A402" s="126">
        <f>'Monthly Data'!A146</f>
        <v>47484</v>
      </c>
      <c r="B402" s="127">
        <f>'Workforce &amp; Expenses'!M200</f>
        <v>686</v>
      </c>
      <c r="C402" s="124">
        <f t="shared" si="164"/>
        <v>146640.9996</v>
      </c>
      <c r="D402" s="124">
        <f t="shared" si="165"/>
        <v>11736168</v>
      </c>
      <c r="E402" s="124">
        <f>'Workforce &amp; Expenses'!S98</f>
        <v>2400598</v>
      </c>
      <c r="F402" s="124">
        <f>'Workforce &amp; Expenses'!V98</f>
        <v>720626</v>
      </c>
      <c r="G402" s="124">
        <f>'Workforce &amp; Expenses'!W98</f>
        <v>2064183</v>
      </c>
      <c r="H402" s="124">
        <f t="shared" si="166"/>
        <v>1213298</v>
      </c>
      <c r="I402" s="124">
        <f>'Workforce &amp; Expenses'!T98</f>
        <v>3879929</v>
      </c>
      <c r="J402" s="124">
        <f>'Workforce &amp; Expenses'!U98</f>
        <v>1457534</v>
      </c>
      <c r="K402" s="124">
        <f>'Workforce &amp; Expenses'!E200</f>
        <v>1865268</v>
      </c>
      <c r="L402" s="124">
        <f t="shared" si="157"/>
        <v>1144642</v>
      </c>
      <c r="M402" s="124">
        <f t="shared" si="158"/>
        <v>1865268</v>
      </c>
      <c r="N402" s="124">
        <f>'Workforce &amp; Expenses'!J200</f>
        <v>10372433</v>
      </c>
      <c r="O402" s="124">
        <f t="shared" si="159"/>
        <v>8308250</v>
      </c>
      <c r="P402" s="124">
        <f t="shared" si="160"/>
        <v>10372433</v>
      </c>
      <c r="Q402" s="124">
        <f>'Workforce &amp; Expenses'!O200</f>
        <v>4968813</v>
      </c>
      <c r="R402" s="124">
        <f t="shared" si="161"/>
        <v>3755515</v>
      </c>
      <c r="S402" s="124">
        <f t="shared" si="162"/>
        <v>4968813</v>
      </c>
      <c r="T402" s="124">
        <f t="shared" si="163"/>
        <v>0</v>
      </c>
      <c r="U402" s="124">
        <f>'Manufacturing &amp; Production'!F350</f>
        <v>3663687</v>
      </c>
      <c r="V402" s="124">
        <f>'Clinical Trials &amp; R&amp;D'!F350</f>
        <v>5091539</v>
      </c>
      <c r="W402" s="124">
        <f>'Clinical Trials &amp; R&amp;D'!I350</f>
        <v>5687743</v>
      </c>
      <c r="X402" s="124">
        <f>'Manufacturing &amp; Production'!K350</f>
        <v>16471</v>
      </c>
      <c r="Y402" s="124">
        <f>'Monthly Data'!P146</f>
        <v>1912015</v>
      </c>
    </row>
    <row r="403">
      <c r="A403" s="126">
        <f>'Monthly Data'!A147</f>
        <v>47515</v>
      </c>
      <c r="B403" s="127">
        <f>'Workforce &amp; Expenses'!M201</f>
        <v>693</v>
      </c>
      <c r="C403" s="124">
        <f t="shared" si="164"/>
        <v>146618.2189</v>
      </c>
      <c r="D403" s="124">
        <f t="shared" si="165"/>
        <v>11854083</v>
      </c>
      <c r="E403" s="124">
        <f>'Workforce &amp; Expenses'!S99</f>
        <v>2430274</v>
      </c>
      <c r="F403" s="124">
        <f>'Workforce &amp; Expenses'!V99</f>
        <v>735332</v>
      </c>
      <c r="G403" s="124">
        <f>'Workforce &amp; Expenses'!W99</f>
        <v>2095697</v>
      </c>
      <c r="H403" s="124">
        <f t="shared" si="166"/>
        <v>1213298</v>
      </c>
      <c r="I403" s="124">
        <f>'Workforce &amp; Expenses'!T99</f>
        <v>3902252</v>
      </c>
      <c r="J403" s="124">
        <f>'Workforce &amp; Expenses'!U99</f>
        <v>1477230</v>
      </c>
      <c r="K403" s="124">
        <f>'Workforce &amp; Expenses'!E201</f>
        <v>1900234</v>
      </c>
      <c r="L403" s="124">
        <f t="shared" si="157"/>
        <v>1164902</v>
      </c>
      <c r="M403" s="124">
        <f t="shared" si="158"/>
        <v>1900234</v>
      </c>
      <c r="N403" s="124">
        <f>'Workforce &amp; Expenses'!J201</f>
        <v>10404487</v>
      </c>
      <c r="O403" s="124">
        <f t="shared" si="159"/>
        <v>8308790</v>
      </c>
      <c r="P403" s="124">
        <f t="shared" si="160"/>
        <v>10404487</v>
      </c>
      <c r="Q403" s="124">
        <f>'Workforce &amp; Expenses'!O201</f>
        <v>4972358</v>
      </c>
      <c r="R403" s="124">
        <f t="shared" si="161"/>
        <v>3759060</v>
      </c>
      <c r="S403" s="124">
        <f t="shared" si="162"/>
        <v>4972358</v>
      </c>
      <c r="T403" s="124">
        <f t="shared" si="163"/>
        <v>0</v>
      </c>
      <c r="U403" s="124">
        <f>'Manufacturing &amp; Production'!F351</f>
        <v>3704320</v>
      </c>
      <c r="V403" s="124">
        <f>'Clinical Trials &amp; R&amp;D'!F351</f>
        <v>5113862</v>
      </c>
      <c r="W403" s="124">
        <f>'Clinical Trials &amp; R&amp;D'!I351</f>
        <v>5707439</v>
      </c>
      <c r="X403" s="124">
        <f>'Manufacturing &amp; Production'!K351</f>
        <v>16471</v>
      </c>
      <c r="Y403" s="124">
        <f>'Monthly Data'!P147</f>
        <v>1950803</v>
      </c>
    </row>
    <row r="404">
      <c r="A404" s="126">
        <f>'Monthly Data'!A148</f>
        <v>47543</v>
      </c>
      <c r="B404" s="127">
        <f>'Workforce &amp; Expenses'!M202</f>
        <v>698</v>
      </c>
      <c r="C404" s="124">
        <f t="shared" si="164"/>
        <v>146512.8653</v>
      </c>
      <c r="D404" s="124">
        <f t="shared" si="165"/>
        <v>11931031</v>
      </c>
      <c r="E404" s="124">
        <f>'Workforce &amp; Expenses'!S100</f>
        <v>2454434</v>
      </c>
      <c r="F404" s="124">
        <f>'Workforce &amp; Expenses'!V100</f>
        <v>735332</v>
      </c>
      <c r="G404" s="124">
        <f>'Workforce &amp; Expenses'!W100</f>
        <v>2111455</v>
      </c>
      <c r="H404" s="124">
        <f t="shared" si="166"/>
        <v>1230631</v>
      </c>
      <c r="I404" s="124">
        <f>'Workforce &amp; Expenses'!T100</f>
        <v>3902252</v>
      </c>
      <c r="J404" s="124">
        <f>'Workforce &amp; Expenses'!U100</f>
        <v>1496927</v>
      </c>
      <c r="K404" s="124">
        <f>'Workforce &amp; Expenses'!E202</f>
        <v>1930622</v>
      </c>
      <c r="L404" s="124">
        <f t="shared" si="157"/>
        <v>1195290</v>
      </c>
      <c r="M404" s="124">
        <f t="shared" si="158"/>
        <v>1930622</v>
      </c>
      <c r="N404" s="124">
        <f>'Workforce &amp; Expenses'!J202</f>
        <v>10420785</v>
      </c>
      <c r="O404" s="124">
        <f t="shared" si="159"/>
        <v>8309330</v>
      </c>
      <c r="P404" s="124">
        <f t="shared" si="160"/>
        <v>10420785</v>
      </c>
      <c r="Q404" s="124">
        <f>'Workforce &amp; Expenses'!O202</f>
        <v>4992223</v>
      </c>
      <c r="R404" s="124">
        <f t="shared" si="161"/>
        <v>3761592</v>
      </c>
      <c r="S404" s="124">
        <f t="shared" si="162"/>
        <v>4992223</v>
      </c>
      <c r="T404" s="124">
        <f t="shared" si="163"/>
        <v>0</v>
      </c>
      <c r="U404" s="124">
        <f>'Manufacturing &amp; Production'!F352</f>
        <v>3739527</v>
      </c>
      <c r="V404" s="124">
        <f>'Clinical Trials &amp; R&amp;D'!F352</f>
        <v>5113862</v>
      </c>
      <c r="W404" s="124">
        <f>'Clinical Trials &amp; R&amp;D'!I352</f>
        <v>5727136</v>
      </c>
      <c r="X404" s="124">
        <f>'Manufacturing &amp; Production'!K352</f>
        <v>102941</v>
      </c>
      <c r="Y404" s="124">
        <f>'Monthly Data'!P148</f>
        <v>1989643</v>
      </c>
    </row>
    <row r="405">
      <c r="A405" s="126">
        <f>'Monthly Data'!A149</f>
        <v>47574</v>
      </c>
      <c r="B405" s="127">
        <f>'Workforce &amp; Expenses'!M203</f>
        <v>700</v>
      </c>
      <c r="C405" s="124">
        <f t="shared" si="164"/>
        <v>146422.2612</v>
      </c>
      <c r="D405" s="124">
        <f t="shared" si="165"/>
        <v>11957818</v>
      </c>
      <c r="E405" s="124">
        <f>'Workforce &amp; Expenses'!S101</f>
        <v>2466515</v>
      </c>
      <c r="F405" s="124">
        <f>'Workforce &amp; Expenses'!V101</f>
        <v>735332</v>
      </c>
      <c r="G405" s="124">
        <f>'Workforce &amp; Expenses'!W101</f>
        <v>2127212</v>
      </c>
      <c r="H405" s="124">
        <f t="shared" si="166"/>
        <v>1230631</v>
      </c>
      <c r="I405" s="124">
        <f>'Workforce &amp; Expenses'!T101</f>
        <v>3881505</v>
      </c>
      <c r="J405" s="124">
        <f>'Workforce &amp; Expenses'!U101</f>
        <v>1516623</v>
      </c>
      <c r="K405" s="124">
        <f>'Workforce &amp; Expenses'!E203</f>
        <v>1940752</v>
      </c>
      <c r="L405" s="124">
        <f t="shared" si="157"/>
        <v>1205420</v>
      </c>
      <c r="M405" s="124">
        <f t="shared" si="158"/>
        <v>1940752</v>
      </c>
      <c r="N405" s="124">
        <f>'Workforce &amp; Expenses'!J203</f>
        <v>10437082</v>
      </c>
      <c r="O405" s="124">
        <f t="shared" si="159"/>
        <v>8309870</v>
      </c>
      <c r="P405" s="124">
        <f t="shared" si="160"/>
        <v>10437082</v>
      </c>
      <c r="Q405" s="124">
        <f>'Workforce &amp; Expenses'!O203</f>
        <v>4993236</v>
      </c>
      <c r="R405" s="124">
        <f t="shared" si="161"/>
        <v>3762605</v>
      </c>
      <c r="S405" s="124">
        <f t="shared" si="162"/>
        <v>4993236</v>
      </c>
      <c r="T405" s="124">
        <f t="shared" si="163"/>
        <v>0</v>
      </c>
      <c r="U405" s="124">
        <f>'Manufacturing &amp; Production'!F353</f>
        <v>3762746</v>
      </c>
      <c r="V405" s="124">
        <f>'Clinical Trials &amp; R&amp;D'!F353</f>
        <v>5093115</v>
      </c>
      <c r="W405" s="124">
        <f>'Clinical Trials &amp; R&amp;D'!I353</f>
        <v>5746832</v>
      </c>
      <c r="X405" s="124">
        <f>'Manufacturing &amp; Production'!K353</f>
        <v>16471</v>
      </c>
      <c r="Y405" s="124">
        <f>'Monthly Data'!P149</f>
        <v>2028533</v>
      </c>
    </row>
    <row r="406">
      <c r="A406" s="126">
        <f>'Monthly Data'!A150</f>
        <v>47604</v>
      </c>
      <c r="B406" s="127">
        <f>'Workforce &amp; Expenses'!M204</f>
        <v>705</v>
      </c>
      <c r="C406" s="124">
        <f t="shared" si="164"/>
        <v>146364.0365</v>
      </c>
      <c r="D406" s="124">
        <f t="shared" si="165"/>
        <v>12038442</v>
      </c>
      <c r="E406" s="124">
        <f>'Workforce &amp; Expenses'!S102</f>
        <v>2478595</v>
      </c>
      <c r="F406" s="124">
        <f>'Workforce &amp; Expenses'!V102</f>
        <v>735332</v>
      </c>
      <c r="G406" s="124">
        <f>'Workforce &amp; Expenses'!W102</f>
        <v>2158726</v>
      </c>
      <c r="H406" s="124">
        <f t="shared" si="166"/>
        <v>1247964</v>
      </c>
      <c r="I406" s="124">
        <f>'Workforce &amp; Expenses'!T102</f>
        <v>3881505</v>
      </c>
      <c r="J406" s="124">
        <f>'Workforce &amp; Expenses'!U102</f>
        <v>1536320</v>
      </c>
      <c r="K406" s="124">
        <f>'Workforce &amp; Expenses'!E204</f>
        <v>1971141</v>
      </c>
      <c r="L406" s="124">
        <f t="shared" si="157"/>
        <v>1235809</v>
      </c>
      <c r="M406" s="124">
        <f t="shared" si="158"/>
        <v>1971141</v>
      </c>
      <c r="N406" s="124">
        <f>'Workforce &amp; Expenses'!J204</f>
        <v>10469136</v>
      </c>
      <c r="O406" s="124">
        <f t="shared" si="159"/>
        <v>8310410</v>
      </c>
      <c r="P406" s="124">
        <f t="shared" si="160"/>
        <v>10469136</v>
      </c>
      <c r="Q406" s="124">
        <f>'Workforce &amp; Expenses'!O204</f>
        <v>5013102</v>
      </c>
      <c r="R406" s="124">
        <f t="shared" si="161"/>
        <v>3765138</v>
      </c>
      <c r="S406" s="124">
        <f t="shared" si="162"/>
        <v>5013102</v>
      </c>
      <c r="T406" s="124">
        <f t="shared" si="163"/>
        <v>0</v>
      </c>
      <c r="U406" s="124">
        <f>'Manufacturing &amp; Production'!F354</f>
        <v>3786052</v>
      </c>
      <c r="V406" s="124">
        <f>'Clinical Trials &amp; R&amp;D'!F354</f>
        <v>5093115</v>
      </c>
      <c r="W406" s="124">
        <f>'Clinical Trials &amp; R&amp;D'!I354</f>
        <v>5766529</v>
      </c>
      <c r="X406" s="124">
        <f>'Manufacturing &amp; Production'!K354</f>
        <v>16471</v>
      </c>
      <c r="Y406" s="124">
        <f>'Monthly Data'!P150</f>
        <v>2067472</v>
      </c>
    </row>
    <row r="407">
      <c r="A407" s="126">
        <f>'Monthly Data'!A151</f>
        <v>47635</v>
      </c>
      <c r="B407" s="127">
        <f>'Workforce &amp; Expenses'!M205</f>
        <v>712</v>
      </c>
      <c r="C407" s="124">
        <f t="shared" si="164"/>
        <v>146392.0185</v>
      </c>
      <c r="D407" s="124">
        <f t="shared" si="165"/>
        <v>12160297</v>
      </c>
      <c r="E407" s="124">
        <f>'Workforce &amp; Expenses'!S103</f>
        <v>2508272</v>
      </c>
      <c r="F407" s="124">
        <f>'Workforce &amp; Expenses'!V103</f>
        <v>750039</v>
      </c>
      <c r="G407" s="124">
        <f>'Workforce &amp; Expenses'!W103</f>
        <v>2174483</v>
      </c>
      <c r="H407" s="124">
        <f t="shared" si="166"/>
        <v>1247964</v>
      </c>
      <c r="I407" s="124">
        <f>'Workforce &amp; Expenses'!T103</f>
        <v>3903827</v>
      </c>
      <c r="J407" s="124">
        <f>'Workforce &amp; Expenses'!U103</f>
        <v>1575712</v>
      </c>
      <c r="K407" s="124">
        <f>'Workforce &amp; Expenses'!E205</f>
        <v>2006107</v>
      </c>
      <c r="L407" s="124">
        <f t="shared" si="157"/>
        <v>1256068</v>
      </c>
      <c r="M407" s="124">
        <f t="shared" si="158"/>
        <v>2006107</v>
      </c>
      <c r="N407" s="124">
        <f>'Workforce &amp; Expenses'!J205</f>
        <v>10485433</v>
      </c>
      <c r="O407" s="124">
        <f t="shared" si="159"/>
        <v>8310950</v>
      </c>
      <c r="P407" s="124">
        <f t="shared" si="160"/>
        <v>10485433</v>
      </c>
      <c r="Q407" s="124">
        <f>'Workforce &amp; Expenses'!O205</f>
        <v>5016647</v>
      </c>
      <c r="R407" s="124">
        <f t="shared" si="161"/>
        <v>3768683</v>
      </c>
      <c r="S407" s="124">
        <f t="shared" si="162"/>
        <v>5016647</v>
      </c>
      <c r="T407" s="124">
        <f t="shared" si="163"/>
        <v>0</v>
      </c>
      <c r="U407" s="124">
        <f>'Manufacturing &amp; Production'!F355</f>
        <v>3827046</v>
      </c>
      <c r="V407" s="124">
        <f>'Clinical Trials &amp; R&amp;D'!F355</f>
        <v>5115437</v>
      </c>
      <c r="W407" s="124">
        <f>'Clinical Trials &amp; R&amp;D'!I355</f>
        <v>5805921</v>
      </c>
      <c r="X407" s="124">
        <f>'Manufacturing &amp; Production'!K355</f>
        <v>102941</v>
      </c>
      <c r="Y407" s="124">
        <f>'Monthly Data'!P151</f>
        <v>2106458</v>
      </c>
    </row>
    <row r="408">
      <c r="A408" s="126">
        <f>'Monthly Data'!A152</f>
        <v>47665</v>
      </c>
      <c r="B408" s="127">
        <f>'Workforce &amp; Expenses'!M206</f>
        <v>716</v>
      </c>
      <c r="C408" s="124">
        <f t="shared" si="164"/>
        <v>146350.7263</v>
      </c>
      <c r="D408" s="124">
        <f t="shared" si="165"/>
        <v>12225164</v>
      </c>
      <c r="E408" s="124">
        <f>'Workforce &amp; Expenses'!S104</f>
        <v>2520352</v>
      </c>
      <c r="F408" s="124">
        <f>'Workforce &amp; Expenses'!V104</f>
        <v>750039</v>
      </c>
      <c r="G408" s="124">
        <f>'Workforce &amp; Expenses'!W104</f>
        <v>2190240</v>
      </c>
      <c r="H408" s="124">
        <f t="shared" si="166"/>
        <v>1265297</v>
      </c>
      <c r="I408" s="124">
        <f>'Workforce &amp; Expenses'!T104</f>
        <v>3903827</v>
      </c>
      <c r="J408" s="124">
        <f>'Workforce &amp; Expenses'!U104</f>
        <v>1595409</v>
      </c>
      <c r="K408" s="124">
        <f>'Workforce &amp; Expenses'!E206</f>
        <v>2016236</v>
      </c>
      <c r="L408" s="124">
        <f t="shared" si="157"/>
        <v>1266197</v>
      </c>
      <c r="M408" s="124">
        <f t="shared" si="158"/>
        <v>2016236</v>
      </c>
      <c r="N408" s="124">
        <f>'Workforce &amp; Expenses'!J206</f>
        <v>10501730</v>
      </c>
      <c r="O408" s="124">
        <f t="shared" si="159"/>
        <v>8311490</v>
      </c>
      <c r="P408" s="124">
        <f t="shared" si="160"/>
        <v>10501730</v>
      </c>
      <c r="Q408" s="124">
        <f>'Workforce &amp; Expenses'!O206</f>
        <v>5036006</v>
      </c>
      <c r="R408" s="124">
        <f t="shared" si="161"/>
        <v>3770709</v>
      </c>
      <c r="S408" s="124">
        <f t="shared" si="162"/>
        <v>5036006</v>
      </c>
      <c r="T408" s="124">
        <f t="shared" si="163"/>
        <v>0</v>
      </c>
      <c r="U408" s="124">
        <f>'Manufacturing &amp; Production'!F356</f>
        <v>3850532</v>
      </c>
      <c r="V408" s="124">
        <f>'Clinical Trials &amp; R&amp;D'!F356</f>
        <v>5115437</v>
      </c>
      <c r="W408" s="124">
        <f>'Clinical Trials &amp; R&amp;D'!I356</f>
        <v>5825618</v>
      </c>
      <c r="X408" s="124">
        <f>'Manufacturing &amp; Production'!K356</f>
        <v>16471</v>
      </c>
      <c r="Y408" s="124">
        <f>'Monthly Data'!P152</f>
        <v>2145500</v>
      </c>
    </row>
    <row r="409">
      <c r="A409" s="126">
        <f>'Monthly Data'!A153</f>
        <v>47696</v>
      </c>
      <c r="B409" s="127">
        <f>'Workforce &amp; Expenses'!M207</f>
        <v>720</v>
      </c>
      <c r="C409" s="124">
        <f t="shared" si="164"/>
        <v>146291.131</v>
      </c>
      <c r="D409" s="124">
        <f t="shared" si="165"/>
        <v>12288455</v>
      </c>
      <c r="E409" s="124">
        <f>'Workforce &amp; Expenses'!S105</f>
        <v>2532433</v>
      </c>
      <c r="F409" s="124">
        <f>'Workforce &amp; Expenses'!V105</f>
        <v>750039</v>
      </c>
      <c r="G409" s="124">
        <f>'Workforce &amp; Expenses'!W105</f>
        <v>2221754</v>
      </c>
      <c r="H409" s="124">
        <f t="shared" si="166"/>
        <v>1265297</v>
      </c>
      <c r="I409" s="124">
        <f>'Workforce &amp; Expenses'!T105</f>
        <v>3903827</v>
      </c>
      <c r="J409" s="124">
        <f>'Workforce &amp; Expenses'!U105</f>
        <v>1615105</v>
      </c>
      <c r="K409" s="124">
        <f>'Workforce &amp; Expenses'!E207</f>
        <v>2046625</v>
      </c>
      <c r="L409" s="124">
        <f t="shared" si="157"/>
        <v>1296586</v>
      </c>
      <c r="M409" s="124">
        <f t="shared" si="158"/>
        <v>2046625</v>
      </c>
      <c r="N409" s="124">
        <f>'Workforce &amp; Expenses'!J207</f>
        <v>10533784</v>
      </c>
      <c r="O409" s="124">
        <f t="shared" si="159"/>
        <v>8312030</v>
      </c>
      <c r="P409" s="124">
        <f t="shared" si="160"/>
        <v>10533784</v>
      </c>
      <c r="Q409" s="124">
        <f>'Workforce &amp; Expenses'!O207</f>
        <v>5038032</v>
      </c>
      <c r="R409" s="124">
        <f t="shared" si="161"/>
        <v>3772735</v>
      </c>
      <c r="S409" s="124">
        <f t="shared" si="162"/>
        <v>5038032</v>
      </c>
      <c r="T409" s="124">
        <f t="shared" si="163"/>
        <v>0</v>
      </c>
      <c r="U409" s="124">
        <f>'Manufacturing &amp; Production'!F357</f>
        <v>3874201</v>
      </c>
      <c r="V409" s="124">
        <f>'Clinical Trials &amp; R&amp;D'!F357</f>
        <v>5115437</v>
      </c>
      <c r="W409" s="124">
        <f>'Clinical Trials &amp; R&amp;D'!I357</f>
        <v>5845314</v>
      </c>
      <c r="X409" s="124">
        <f>'Manufacturing &amp; Production'!K357</f>
        <v>16471</v>
      </c>
      <c r="Y409" s="124">
        <f>'Monthly Data'!P153</f>
        <v>2184588</v>
      </c>
    </row>
    <row r="410">
      <c r="A410" s="126">
        <f>'Monthly Data'!A154</f>
        <v>47727</v>
      </c>
      <c r="B410" s="127">
        <f>'Workforce &amp; Expenses'!M208</f>
        <v>725</v>
      </c>
      <c r="C410" s="124">
        <f t="shared" si="164"/>
        <v>146191.9685</v>
      </c>
      <c r="D410" s="124">
        <f t="shared" si="165"/>
        <v>12365404</v>
      </c>
      <c r="E410" s="124">
        <f>'Workforce &amp; Expenses'!S106</f>
        <v>2556594</v>
      </c>
      <c r="F410" s="124">
        <f>'Workforce &amp; Expenses'!V106</f>
        <v>750039</v>
      </c>
      <c r="G410" s="124">
        <f>'Workforce &amp; Expenses'!W106</f>
        <v>2237512</v>
      </c>
      <c r="H410" s="124">
        <f t="shared" si="166"/>
        <v>1282630</v>
      </c>
      <c r="I410" s="124">
        <f>'Workforce &amp; Expenses'!T106</f>
        <v>3903827</v>
      </c>
      <c r="J410" s="124">
        <f>'Workforce &amp; Expenses'!U106</f>
        <v>1634802</v>
      </c>
      <c r="K410" s="124">
        <f>'Workforce &amp; Expenses'!E208</f>
        <v>2066884</v>
      </c>
      <c r="L410" s="124">
        <f t="shared" si="157"/>
        <v>1316845</v>
      </c>
      <c r="M410" s="124">
        <f t="shared" si="158"/>
        <v>2066884</v>
      </c>
      <c r="N410" s="124">
        <f>'Workforce &amp; Expenses'!J208</f>
        <v>10550082</v>
      </c>
      <c r="O410" s="124">
        <f t="shared" si="159"/>
        <v>8312570</v>
      </c>
      <c r="P410" s="124">
        <f t="shared" si="160"/>
        <v>10550082</v>
      </c>
      <c r="Q410" s="124">
        <f>'Workforce &amp; Expenses'!O208</f>
        <v>5057897</v>
      </c>
      <c r="R410" s="124">
        <f t="shared" si="161"/>
        <v>3775267</v>
      </c>
      <c r="S410" s="124">
        <f t="shared" si="162"/>
        <v>5057897</v>
      </c>
      <c r="T410" s="124">
        <f t="shared" si="163"/>
        <v>0</v>
      </c>
      <c r="U410" s="124">
        <f>'Manufacturing &amp; Production'!F358</f>
        <v>3910037</v>
      </c>
      <c r="V410" s="124">
        <f>'Clinical Trials &amp; R&amp;D'!F358</f>
        <v>5115437</v>
      </c>
      <c r="W410" s="124">
        <f>'Clinical Trials &amp; R&amp;D'!I358</f>
        <v>5865011</v>
      </c>
      <c r="X410" s="124">
        <f>'Manufacturing &amp; Production'!K358</f>
        <v>102941</v>
      </c>
      <c r="Y410" s="124">
        <f>'Monthly Data'!P154</f>
        <v>2223728</v>
      </c>
    </row>
    <row r="411">
      <c r="A411" s="126">
        <f>'Monthly Data'!A155</f>
        <v>47757</v>
      </c>
      <c r="B411" s="127">
        <f>'Workforce &amp; Expenses'!M209</f>
        <v>730</v>
      </c>
      <c r="C411" s="124">
        <f t="shared" si="164"/>
        <v>146146.5558</v>
      </c>
      <c r="D411" s="124">
        <f t="shared" si="165"/>
        <v>12446815</v>
      </c>
      <c r="E411" s="124">
        <f>'Workforce &amp; Expenses'!S107</f>
        <v>2586269</v>
      </c>
      <c r="F411" s="124">
        <f>'Workforce &amp; Expenses'!V107</f>
        <v>764746</v>
      </c>
      <c r="G411" s="124">
        <f>'Workforce &amp; Expenses'!W107</f>
        <v>2253269</v>
      </c>
      <c r="H411" s="124">
        <f t="shared" si="166"/>
        <v>1282630</v>
      </c>
      <c r="I411" s="124">
        <f>'Workforce &amp; Expenses'!T107</f>
        <v>3905403</v>
      </c>
      <c r="J411" s="124">
        <f>'Workforce &amp; Expenses'!U107</f>
        <v>1654498</v>
      </c>
      <c r="K411" s="124">
        <f>'Workforce &amp; Expenses'!E209</f>
        <v>2081591</v>
      </c>
      <c r="L411" s="124">
        <f t="shared" si="157"/>
        <v>1316845</v>
      </c>
      <c r="M411" s="124">
        <f t="shared" si="158"/>
        <v>2081591</v>
      </c>
      <c r="N411" s="124">
        <f>'Workforce &amp; Expenses'!J209</f>
        <v>10566559</v>
      </c>
      <c r="O411" s="124">
        <f t="shared" si="159"/>
        <v>8313290</v>
      </c>
      <c r="P411" s="124">
        <f t="shared" si="160"/>
        <v>10566559</v>
      </c>
      <c r="Q411" s="124">
        <f>'Workforce &amp; Expenses'!O209</f>
        <v>5060430</v>
      </c>
      <c r="R411" s="124">
        <f t="shared" si="161"/>
        <v>3777800</v>
      </c>
      <c r="S411" s="124">
        <f t="shared" si="162"/>
        <v>5060430</v>
      </c>
      <c r="T411" s="124">
        <f t="shared" si="163"/>
        <v>0</v>
      </c>
      <c r="U411" s="124">
        <f>'Manufacturing &amp; Production'!F359</f>
        <v>3951478</v>
      </c>
      <c r="V411" s="124">
        <f>'Clinical Trials &amp; R&amp;D'!F359</f>
        <v>5117013</v>
      </c>
      <c r="W411" s="124">
        <f>'Clinical Trials &amp; R&amp;D'!I359</f>
        <v>5884707</v>
      </c>
      <c r="X411" s="124">
        <f>'Manufacturing &amp; Production'!K359</f>
        <v>16471</v>
      </c>
      <c r="Y411" s="124">
        <f>'Monthly Data'!P155</f>
        <v>2247929</v>
      </c>
    </row>
    <row r="412">
      <c r="A412" s="126">
        <f>'Monthly Data'!A156</f>
        <v>47788</v>
      </c>
      <c r="B412" s="127">
        <f>'Workforce &amp; Expenses'!M210</f>
        <v>735</v>
      </c>
      <c r="C412" s="124">
        <f t="shared" si="164"/>
        <v>146092.5831</v>
      </c>
      <c r="D412" s="124">
        <f t="shared" si="165"/>
        <v>12527439</v>
      </c>
      <c r="E412" s="124">
        <f>'Workforce &amp; Expenses'!S108</f>
        <v>2598350</v>
      </c>
      <c r="F412" s="124">
        <f>'Workforce &amp; Expenses'!V108</f>
        <v>764746</v>
      </c>
      <c r="G412" s="124">
        <f>'Workforce &amp; Expenses'!W108</f>
        <v>2284783</v>
      </c>
      <c r="H412" s="124">
        <f t="shared" si="166"/>
        <v>1299963</v>
      </c>
      <c r="I412" s="124">
        <f>'Workforce &amp; Expenses'!T108</f>
        <v>3905403</v>
      </c>
      <c r="J412" s="124">
        <f>'Workforce &amp; Expenses'!U108</f>
        <v>1674194</v>
      </c>
      <c r="K412" s="124">
        <f>'Workforce &amp; Expenses'!E210</f>
        <v>2101850</v>
      </c>
      <c r="L412" s="124">
        <f t="shared" si="157"/>
        <v>1337104</v>
      </c>
      <c r="M412" s="124">
        <f t="shared" si="158"/>
        <v>2101850</v>
      </c>
      <c r="N412" s="124">
        <f>'Workforce &amp; Expenses'!J210</f>
        <v>10598613</v>
      </c>
      <c r="O412" s="124">
        <f t="shared" si="159"/>
        <v>8313830</v>
      </c>
      <c r="P412" s="124">
        <f t="shared" si="160"/>
        <v>10598613</v>
      </c>
      <c r="Q412" s="124">
        <f>'Workforce &amp; Expenses'!O210</f>
        <v>5080295</v>
      </c>
      <c r="R412" s="124">
        <f t="shared" si="161"/>
        <v>3780332</v>
      </c>
      <c r="S412" s="124">
        <f t="shared" si="162"/>
        <v>5080295</v>
      </c>
      <c r="T412" s="124">
        <f t="shared" si="163"/>
        <v>0</v>
      </c>
      <c r="U412" s="124">
        <f>'Manufacturing &amp; Production'!F360</f>
        <v>3975414</v>
      </c>
      <c r="V412" s="124">
        <f>'Clinical Trials &amp; R&amp;D'!F360</f>
        <v>5117013</v>
      </c>
      <c r="W412" s="124">
        <f>'Clinical Trials &amp; R&amp;D'!I360</f>
        <v>5904403</v>
      </c>
      <c r="X412" s="124">
        <f>'Manufacturing &amp; Production'!K360</f>
        <v>16471</v>
      </c>
      <c r="Y412" s="124">
        <f>'Monthly Data'!P156</f>
        <v>2285398</v>
      </c>
    </row>
    <row r="413">
      <c r="A413" s="126">
        <f>'Monthly Data'!A157</f>
        <v>47818</v>
      </c>
      <c r="B413" s="127">
        <f>'Workforce &amp; Expenses'!M211</f>
        <v>738</v>
      </c>
      <c r="C413" s="124">
        <f t="shared" si="164"/>
        <v>146050.7898</v>
      </c>
      <c r="D413" s="124">
        <f t="shared" si="165"/>
        <v>12574973</v>
      </c>
      <c r="E413" s="124">
        <f>'Workforce &amp; Expenses'!S109</f>
        <v>2610430</v>
      </c>
      <c r="F413" s="124">
        <f>'Workforce &amp; Expenses'!V109</f>
        <v>764746</v>
      </c>
      <c r="G413" s="124">
        <f>'Workforce &amp; Expenses'!W109</f>
        <v>2300540</v>
      </c>
      <c r="H413" s="124">
        <f t="shared" si="166"/>
        <v>1299963</v>
      </c>
      <c r="I413" s="124">
        <f>'Workforce &amp; Expenses'!T109</f>
        <v>3905403</v>
      </c>
      <c r="J413" s="124">
        <f>'Workforce &amp; Expenses'!U109</f>
        <v>1693891</v>
      </c>
      <c r="K413" s="124">
        <f>'Workforce &amp; Expenses'!E211</f>
        <v>2122110</v>
      </c>
      <c r="L413" s="124">
        <f t="shared" si="157"/>
        <v>1357364</v>
      </c>
      <c r="M413" s="124">
        <f t="shared" si="158"/>
        <v>2122110</v>
      </c>
      <c r="N413" s="124">
        <f>'Workforce &amp; Expenses'!J211</f>
        <v>10615090</v>
      </c>
      <c r="O413" s="124">
        <f t="shared" si="159"/>
        <v>8314550</v>
      </c>
      <c r="P413" s="124">
        <f t="shared" si="160"/>
        <v>10615090</v>
      </c>
      <c r="Q413" s="124">
        <f>'Workforce &amp; Expenses'!O211</f>
        <v>5081814</v>
      </c>
      <c r="R413" s="124">
        <f t="shared" si="161"/>
        <v>3781851</v>
      </c>
      <c r="S413" s="124">
        <f t="shared" si="162"/>
        <v>5081814</v>
      </c>
      <c r="T413" s="124">
        <f t="shared" si="163"/>
        <v>0</v>
      </c>
      <c r="U413" s="124">
        <f>'Manufacturing &amp; Production'!F361</f>
        <v>3999530</v>
      </c>
      <c r="V413" s="124">
        <f>'Clinical Trials &amp; R&amp;D'!F361</f>
        <v>5117013</v>
      </c>
      <c r="W413" s="124">
        <f>'Clinical Trials &amp; R&amp;D'!I361</f>
        <v>5924100</v>
      </c>
      <c r="X413" s="124">
        <f>'Manufacturing &amp; Production'!K361</f>
        <v>119412</v>
      </c>
      <c r="Y413" s="124">
        <f>'Monthly Data'!P157</f>
        <v>2322854</v>
      </c>
    </row>
    <row r="414">
      <c r="A414" s="126">
        <f>'Monthly Data'!A158</f>
        <v>47849</v>
      </c>
      <c r="B414" s="127">
        <f>'Workforce &amp; Expenses'!M212</f>
        <v>741</v>
      </c>
      <c r="C414" s="124">
        <f t="shared" si="164"/>
        <v>150389.6241</v>
      </c>
      <c r="D414" s="124">
        <f t="shared" si="165"/>
        <v>13001183</v>
      </c>
      <c r="E414" s="124">
        <f>'Workforce &amp; Expenses'!S110</f>
        <v>2701186</v>
      </c>
      <c r="F414" s="124">
        <f>'Workforce &amp; Expenses'!V110</f>
        <v>787688</v>
      </c>
      <c r="G414" s="124">
        <f>'Workforce &amp; Expenses'!W110</f>
        <v>2385786</v>
      </c>
      <c r="H414" s="124">
        <f t="shared" si="166"/>
        <v>1338962</v>
      </c>
      <c r="I414" s="124">
        <f>'Workforce &amp; Expenses'!T110</f>
        <v>4022566</v>
      </c>
      <c r="J414" s="124">
        <f>'Workforce &amp; Expenses'!U110</f>
        <v>1764995</v>
      </c>
      <c r="K414" s="124">
        <f>'Workforce &amp; Expenses'!E212</f>
        <v>2050137</v>
      </c>
      <c r="L414" s="124">
        <f t="shared" si="157"/>
        <v>1262449</v>
      </c>
      <c r="M414" s="124">
        <f t="shared" si="158"/>
        <v>2050137</v>
      </c>
      <c r="N414" s="124">
        <f>'Workforce &amp; Expenses'!J212</f>
        <v>13185683</v>
      </c>
      <c r="O414" s="124">
        <f t="shared" si="159"/>
        <v>10799897</v>
      </c>
      <c r="P414" s="124">
        <f t="shared" si="160"/>
        <v>13185683</v>
      </c>
      <c r="Q414" s="124">
        <f>'Workforce &amp; Expenses'!O212</f>
        <v>5372156</v>
      </c>
      <c r="R414" s="124">
        <f t="shared" si="161"/>
        <v>4033194</v>
      </c>
      <c r="S414" s="124">
        <f t="shared" si="162"/>
        <v>5372156</v>
      </c>
      <c r="T414" s="124">
        <f t="shared" si="163"/>
        <v>0</v>
      </c>
      <c r="U414" s="124">
        <f>'Manufacturing &amp; Production'!F362</f>
        <v>4142413</v>
      </c>
      <c r="V414" s="124">
        <f>'Clinical Trials &amp; R&amp;D'!F362</f>
        <v>5270525</v>
      </c>
      <c r="W414" s="124">
        <f>'Clinical Trials &amp; R&amp;D'!I362</f>
        <v>6271477</v>
      </c>
      <c r="X414" s="124">
        <f>'Manufacturing &amp; Production'!K362</f>
        <v>16471</v>
      </c>
      <c r="Y414" s="124">
        <f>'Monthly Data'!P158</f>
        <v>2294418</v>
      </c>
    </row>
    <row r="415">
      <c r="A415" s="126">
        <f>'Monthly Data'!A159</f>
        <v>47880</v>
      </c>
      <c r="B415" s="127">
        <f>'Workforce &amp; Expenses'!M213</f>
        <v>749</v>
      </c>
      <c r="C415" s="124">
        <f t="shared" si="164"/>
        <v>150377.5091</v>
      </c>
      <c r="D415" s="124">
        <f t="shared" si="165"/>
        <v>13140488</v>
      </c>
      <c r="E415" s="124">
        <f>'Workforce &amp; Expenses'!S111</f>
        <v>2731752</v>
      </c>
      <c r="F415" s="124">
        <f>'Workforce &amp; Expenses'!V111</f>
        <v>802836</v>
      </c>
      <c r="G415" s="124">
        <f>'Workforce &amp; Expenses'!W111</f>
        <v>2418246</v>
      </c>
      <c r="H415" s="124">
        <f t="shared" si="166"/>
        <v>1356814</v>
      </c>
      <c r="I415" s="124">
        <f>'Workforce &amp; Expenses'!T111</f>
        <v>4045558</v>
      </c>
      <c r="J415" s="124">
        <f>'Workforce &amp; Expenses'!U111</f>
        <v>1785282</v>
      </c>
      <c r="K415" s="124">
        <f>'Workforce &amp; Expenses'!E213</f>
        <v>2086152</v>
      </c>
      <c r="L415" s="124">
        <f t="shared" si="157"/>
        <v>1283316</v>
      </c>
      <c r="M415" s="124">
        <f t="shared" si="158"/>
        <v>2086152</v>
      </c>
      <c r="N415" s="124">
        <f>'Workforce &amp; Expenses'!J213</f>
        <v>13218863</v>
      </c>
      <c r="O415" s="124">
        <f t="shared" si="159"/>
        <v>10800617</v>
      </c>
      <c r="P415" s="124">
        <f t="shared" si="160"/>
        <v>13218863</v>
      </c>
      <c r="Q415" s="124">
        <f>'Workforce &amp; Expenses'!O213</f>
        <v>5394181</v>
      </c>
      <c r="R415" s="124">
        <f t="shared" si="161"/>
        <v>4037367</v>
      </c>
      <c r="S415" s="124">
        <f t="shared" si="162"/>
        <v>5394181</v>
      </c>
      <c r="T415" s="124">
        <f t="shared" si="163"/>
        <v>0</v>
      </c>
      <c r="U415" s="124">
        <f>'Manufacturing &amp; Production'!F363</f>
        <v>4183617</v>
      </c>
      <c r="V415" s="124">
        <f>'Clinical Trials &amp; R&amp;D'!F363</f>
        <v>5293517</v>
      </c>
      <c r="W415" s="124">
        <f>'Clinical Trials &amp; R&amp;D'!I363</f>
        <v>6291764</v>
      </c>
      <c r="X415" s="124">
        <f>'Manufacturing &amp; Production'!K363</f>
        <v>16471</v>
      </c>
      <c r="Y415" s="124">
        <f>'Monthly Data'!P159</f>
        <v>2340964</v>
      </c>
    </row>
    <row r="416">
      <c r="A416" s="126">
        <f>'Monthly Data'!A160</f>
        <v>47908</v>
      </c>
      <c r="B416" s="127">
        <f>'Workforce &amp; Expenses'!M214</f>
        <v>752</v>
      </c>
      <c r="C416" s="124">
        <f t="shared" si="164"/>
        <v>150335.6535</v>
      </c>
      <c r="D416" s="124">
        <f t="shared" si="165"/>
        <v>13189448</v>
      </c>
      <c r="E416" s="124">
        <f>'Workforce &amp; Expenses'!S112</f>
        <v>2744195</v>
      </c>
      <c r="F416" s="124">
        <f>'Workforce &amp; Expenses'!V112</f>
        <v>802836</v>
      </c>
      <c r="G416" s="124">
        <f>'Workforce &amp; Expenses'!W112</f>
        <v>2434476</v>
      </c>
      <c r="H416" s="124">
        <f t="shared" si="166"/>
        <v>1356814</v>
      </c>
      <c r="I416" s="124">
        <f>'Workforce &amp; Expenses'!T112</f>
        <v>4045558</v>
      </c>
      <c r="J416" s="124">
        <f>'Workforce &amp; Expenses'!U112</f>
        <v>1805569</v>
      </c>
      <c r="K416" s="124">
        <f>'Workforce &amp; Expenses'!E214</f>
        <v>2117453</v>
      </c>
      <c r="L416" s="124">
        <f t="shared" si="157"/>
        <v>1314617</v>
      </c>
      <c r="M416" s="124">
        <f t="shared" si="158"/>
        <v>2117453</v>
      </c>
      <c r="N416" s="124">
        <f>'Workforce &amp; Expenses'!J214</f>
        <v>13235633</v>
      </c>
      <c r="O416" s="124">
        <f t="shared" si="159"/>
        <v>10801157</v>
      </c>
      <c r="P416" s="124">
        <f t="shared" si="160"/>
        <v>13235633</v>
      </c>
      <c r="Q416" s="124">
        <f>'Workforce &amp; Expenses'!O214</f>
        <v>5395746</v>
      </c>
      <c r="R416" s="124">
        <f t="shared" si="161"/>
        <v>4038932</v>
      </c>
      <c r="S416" s="124">
        <f t="shared" si="162"/>
        <v>5395746</v>
      </c>
      <c r="T416" s="124">
        <f t="shared" si="163"/>
        <v>0</v>
      </c>
      <c r="U416" s="124">
        <f>'Manufacturing &amp; Production'!F364</f>
        <v>4206699</v>
      </c>
      <c r="V416" s="124">
        <f>'Clinical Trials &amp; R&amp;D'!F364</f>
        <v>5293517</v>
      </c>
      <c r="W416" s="124">
        <f>'Clinical Trials &amp; R&amp;D'!I364</f>
        <v>6312051</v>
      </c>
      <c r="X416" s="124">
        <f>'Manufacturing &amp; Production'!K364</f>
        <v>102941</v>
      </c>
      <c r="Y416" s="124">
        <f>'Monthly Data'!P160</f>
        <v>2387572</v>
      </c>
    </row>
    <row r="417">
      <c r="A417" s="126">
        <f>'Monthly Data'!A161</f>
        <v>47939</v>
      </c>
      <c r="B417" s="127">
        <f>'Workforce &amp; Expenses'!M215</f>
        <v>755</v>
      </c>
      <c r="C417" s="124">
        <f t="shared" si="164"/>
        <v>150254.2025</v>
      </c>
      <c r="D417" s="124">
        <f t="shared" si="165"/>
        <v>13234891</v>
      </c>
      <c r="E417" s="124">
        <f>'Workforce &amp; Expenses'!S113</f>
        <v>2756638</v>
      </c>
      <c r="F417" s="124">
        <f>'Workforce &amp; Expenses'!V113</f>
        <v>802836</v>
      </c>
      <c r="G417" s="124">
        <f>'Workforce &amp; Expenses'!W113</f>
        <v>2450705</v>
      </c>
      <c r="H417" s="124">
        <f t="shared" si="166"/>
        <v>1374667</v>
      </c>
      <c r="I417" s="124">
        <f>'Workforce &amp; Expenses'!T113</f>
        <v>4024188</v>
      </c>
      <c r="J417" s="124">
        <f>'Workforce &amp; Expenses'!U113</f>
        <v>1825857</v>
      </c>
      <c r="K417" s="124">
        <f>'Workforce &amp; Expenses'!E215</f>
        <v>2127886</v>
      </c>
      <c r="L417" s="124">
        <f t="shared" si="157"/>
        <v>1325050</v>
      </c>
      <c r="M417" s="124">
        <f t="shared" si="158"/>
        <v>2127886</v>
      </c>
      <c r="N417" s="124">
        <f>'Workforce &amp; Expenses'!J215</f>
        <v>13252582</v>
      </c>
      <c r="O417" s="124">
        <f t="shared" si="159"/>
        <v>10801877</v>
      </c>
      <c r="P417" s="124">
        <f t="shared" si="160"/>
        <v>13252582</v>
      </c>
      <c r="Q417" s="124">
        <f>'Workforce &amp; Expenses'!O215</f>
        <v>5415164</v>
      </c>
      <c r="R417" s="124">
        <f t="shared" si="161"/>
        <v>4040497</v>
      </c>
      <c r="S417" s="124">
        <f t="shared" si="162"/>
        <v>5415164</v>
      </c>
      <c r="T417" s="124">
        <f t="shared" si="163"/>
        <v>0</v>
      </c>
      <c r="U417" s="124">
        <f>'Manufacturing &amp; Production'!F365</f>
        <v>4229873</v>
      </c>
      <c r="V417" s="124">
        <f>'Clinical Trials &amp; R&amp;D'!F365</f>
        <v>5272147</v>
      </c>
      <c r="W417" s="124">
        <f>'Clinical Trials &amp; R&amp;D'!I365</f>
        <v>6332339</v>
      </c>
      <c r="X417" s="124">
        <f>'Manufacturing &amp; Production'!K365</f>
        <v>16471</v>
      </c>
      <c r="Y417" s="124">
        <f>'Monthly Data'!P161</f>
        <v>2434240</v>
      </c>
    </row>
    <row r="418">
      <c r="A418" s="126">
        <f>'Monthly Data'!A162</f>
        <v>47969</v>
      </c>
      <c r="B418" s="127">
        <f>'Workforce &amp; Expenses'!M216</f>
        <v>758</v>
      </c>
      <c r="C418" s="124">
        <f t="shared" si="164"/>
        <v>150213.1549</v>
      </c>
      <c r="D418" s="124">
        <f t="shared" si="165"/>
        <v>13283850</v>
      </c>
      <c r="E418" s="124">
        <f>'Workforce &amp; Expenses'!S114</f>
        <v>2769080</v>
      </c>
      <c r="F418" s="124">
        <f>'Workforce &amp; Expenses'!V114</f>
        <v>802836</v>
      </c>
      <c r="G418" s="124">
        <f>'Workforce &amp; Expenses'!W114</f>
        <v>2466935</v>
      </c>
      <c r="H418" s="124">
        <f t="shared" si="166"/>
        <v>1374667</v>
      </c>
      <c r="I418" s="124">
        <f>'Workforce &amp; Expenses'!T114</f>
        <v>4024188</v>
      </c>
      <c r="J418" s="124">
        <f>'Workforce &amp; Expenses'!U114</f>
        <v>1846144</v>
      </c>
      <c r="K418" s="124">
        <f>'Workforce &amp; Expenses'!E216</f>
        <v>2159187</v>
      </c>
      <c r="L418" s="124">
        <f t="shared" si="157"/>
        <v>1356351</v>
      </c>
      <c r="M418" s="124">
        <f t="shared" si="158"/>
        <v>2159187</v>
      </c>
      <c r="N418" s="124">
        <f>'Workforce &amp; Expenses'!J216</f>
        <v>13269532</v>
      </c>
      <c r="O418" s="124">
        <f t="shared" si="159"/>
        <v>10802597</v>
      </c>
      <c r="P418" s="124">
        <f t="shared" si="160"/>
        <v>13269532</v>
      </c>
      <c r="Q418" s="124">
        <f>'Workforce &amp; Expenses'!O216</f>
        <v>5416729</v>
      </c>
      <c r="R418" s="124">
        <f t="shared" si="161"/>
        <v>4042062</v>
      </c>
      <c r="S418" s="124">
        <f t="shared" si="162"/>
        <v>5416729</v>
      </c>
      <c r="T418" s="124">
        <f t="shared" si="163"/>
        <v>0</v>
      </c>
      <c r="U418" s="124">
        <f>'Manufacturing &amp; Production'!F366</f>
        <v>4253138</v>
      </c>
      <c r="V418" s="124">
        <f>'Clinical Trials &amp; R&amp;D'!F366</f>
        <v>5272147</v>
      </c>
      <c r="W418" s="124">
        <f>'Clinical Trials &amp; R&amp;D'!I366</f>
        <v>6352626</v>
      </c>
      <c r="X418" s="124">
        <f>'Manufacturing &amp; Production'!K366</f>
        <v>16471</v>
      </c>
      <c r="Y418" s="124">
        <f>'Monthly Data'!P162</f>
        <v>2480966</v>
      </c>
    </row>
    <row r="419">
      <c r="A419" s="126">
        <f>'Monthly Data'!A163</f>
        <v>48000</v>
      </c>
      <c r="B419" s="127">
        <f>'Workforce &amp; Expenses'!M217</f>
        <v>767</v>
      </c>
      <c r="C419" s="124">
        <f t="shared" si="164"/>
        <v>150234.0659</v>
      </c>
      <c r="D419" s="124">
        <f t="shared" si="165"/>
        <v>13443445</v>
      </c>
      <c r="E419" s="124">
        <f>'Workforce &amp; Expenses'!S115</f>
        <v>2799647</v>
      </c>
      <c r="F419" s="124">
        <f>'Workforce &amp; Expenses'!V115</f>
        <v>817984</v>
      </c>
      <c r="G419" s="124">
        <f>'Workforce &amp; Expenses'!W115</f>
        <v>2499395</v>
      </c>
      <c r="H419" s="124">
        <f t="shared" si="166"/>
        <v>1392520</v>
      </c>
      <c r="I419" s="124">
        <f>'Workforce &amp; Expenses'!T115</f>
        <v>4047180</v>
      </c>
      <c r="J419" s="124">
        <f>'Workforce &amp; Expenses'!U115</f>
        <v>1886719</v>
      </c>
      <c r="K419" s="124">
        <f>'Workforce &amp; Expenses'!E217</f>
        <v>2195202</v>
      </c>
      <c r="L419" s="124">
        <f t="shared" si="157"/>
        <v>1377218</v>
      </c>
      <c r="M419" s="124">
        <f t="shared" si="158"/>
        <v>2195202</v>
      </c>
      <c r="N419" s="124">
        <f>'Workforce &amp; Expenses'!J217</f>
        <v>13302712</v>
      </c>
      <c r="O419" s="124">
        <f t="shared" si="159"/>
        <v>10803317</v>
      </c>
      <c r="P419" s="124">
        <f t="shared" si="160"/>
        <v>13302712</v>
      </c>
      <c r="Q419" s="124">
        <f>'Workforce &amp; Expenses'!O217</f>
        <v>5439277</v>
      </c>
      <c r="R419" s="124">
        <f t="shared" si="161"/>
        <v>4046757</v>
      </c>
      <c r="S419" s="124">
        <f t="shared" si="162"/>
        <v>5439277</v>
      </c>
      <c r="T419" s="124">
        <f t="shared" si="163"/>
        <v>0</v>
      </c>
      <c r="U419" s="124">
        <f>'Manufacturing &amp; Production'!F367</f>
        <v>4294621</v>
      </c>
      <c r="V419" s="124">
        <f>'Clinical Trials &amp; R&amp;D'!F367</f>
        <v>5295139</v>
      </c>
      <c r="W419" s="124">
        <f>'Clinical Trials &amp; R&amp;D'!I367</f>
        <v>6393201</v>
      </c>
      <c r="X419" s="124">
        <f>'Manufacturing &amp; Production'!K367</f>
        <v>102941</v>
      </c>
      <c r="Y419" s="124">
        <f>'Monthly Data'!P163</f>
        <v>2527750</v>
      </c>
    </row>
    <row r="420">
      <c r="A420" s="126">
        <f>'Monthly Data'!A164</f>
        <v>48030</v>
      </c>
      <c r="B420" s="127">
        <f>'Workforce &amp; Expenses'!M218</f>
        <v>770</v>
      </c>
      <c r="C420" s="124">
        <f t="shared" si="164"/>
        <v>150193.7477</v>
      </c>
      <c r="D420" s="124">
        <f t="shared" si="165"/>
        <v>13492405</v>
      </c>
      <c r="E420" s="124">
        <f>'Workforce &amp; Expenses'!S116</f>
        <v>2812090</v>
      </c>
      <c r="F420" s="124">
        <f>'Workforce &amp; Expenses'!V116</f>
        <v>817984</v>
      </c>
      <c r="G420" s="124">
        <f>'Workforce &amp; Expenses'!W116</f>
        <v>2515625</v>
      </c>
      <c r="H420" s="124">
        <f t="shared" si="166"/>
        <v>1392520</v>
      </c>
      <c r="I420" s="124">
        <f>'Workforce &amp; Expenses'!T116</f>
        <v>4047180</v>
      </c>
      <c r="J420" s="124">
        <f>'Workforce &amp; Expenses'!U116</f>
        <v>1907006</v>
      </c>
      <c r="K420" s="124">
        <f>'Workforce &amp; Expenses'!E218</f>
        <v>2205635</v>
      </c>
      <c r="L420" s="124">
        <f t="shared" si="157"/>
        <v>1387651</v>
      </c>
      <c r="M420" s="124">
        <f t="shared" si="158"/>
        <v>2205635</v>
      </c>
      <c r="N420" s="124">
        <f>'Workforce &amp; Expenses'!J218</f>
        <v>13319662</v>
      </c>
      <c r="O420" s="124">
        <f t="shared" si="159"/>
        <v>10804037</v>
      </c>
      <c r="P420" s="124">
        <f t="shared" si="160"/>
        <v>13319662</v>
      </c>
      <c r="Q420" s="124">
        <f>'Workforce &amp; Expenses'!O218</f>
        <v>5440842</v>
      </c>
      <c r="R420" s="124">
        <f t="shared" si="161"/>
        <v>4048322</v>
      </c>
      <c r="S420" s="124">
        <f t="shared" si="162"/>
        <v>5440842</v>
      </c>
      <c r="T420" s="124">
        <f t="shared" si="163"/>
        <v>0</v>
      </c>
      <c r="U420" s="124">
        <f>'Manufacturing &amp; Production'!F368</f>
        <v>4318074</v>
      </c>
      <c r="V420" s="124">
        <f>'Clinical Trials &amp; R&amp;D'!F368</f>
        <v>5295139</v>
      </c>
      <c r="W420" s="124">
        <f>'Clinical Trials &amp; R&amp;D'!I368</f>
        <v>6413488</v>
      </c>
      <c r="X420" s="124">
        <f>'Manufacturing &amp; Production'!K368</f>
        <v>16471</v>
      </c>
      <c r="Y420" s="124">
        <f>'Monthly Data'!P164</f>
        <v>2574600</v>
      </c>
    </row>
    <row r="421">
      <c r="A421" s="126">
        <f>'Monthly Data'!A165</f>
        <v>48061</v>
      </c>
      <c r="B421" s="127">
        <f>'Workforce &amp; Expenses'!M219</f>
        <v>773</v>
      </c>
      <c r="C421" s="124">
        <f t="shared" si="164"/>
        <v>150153.7424</v>
      </c>
      <c r="D421" s="124">
        <f t="shared" si="165"/>
        <v>13541365</v>
      </c>
      <c r="E421" s="124">
        <f>'Workforce &amp; Expenses'!S117</f>
        <v>2824533</v>
      </c>
      <c r="F421" s="124">
        <f>'Workforce &amp; Expenses'!V117</f>
        <v>817984</v>
      </c>
      <c r="G421" s="124">
        <f>'Workforce &amp; Expenses'!W117</f>
        <v>2531855</v>
      </c>
      <c r="H421" s="124">
        <f t="shared" si="166"/>
        <v>1392520</v>
      </c>
      <c r="I421" s="124">
        <f>'Workforce &amp; Expenses'!T117</f>
        <v>4047180</v>
      </c>
      <c r="J421" s="124">
        <f>'Workforce &amp; Expenses'!U117</f>
        <v>1927293</v>
      </c>
      <c r="K421" s="124">
        <f>'Workforce &amp; Expenses'!E219</f>
        <v>2236935</v>
      </c>
      <c r="L421" s="124">
        <f t="shared" si="157"/>
        <v>1418951</v>
      </c>
      <c r="M421" s="124">
        <f t="shared" si="158"/>
        <v>2236935</v>
      </c>
      <c r="N421" s="124">
        <f>'Workforce &amp; Expenses'!J219</f>
        <v>13336612</v>
      </c>
      <c r="O421" s="124">
        <f t="shared" si="159"/>
        <v>10804757</v>
      </c>
      <c r="P421" s="124">
        <f t="shared" si="160"/>
        <v>13336612</v>
      </c>
      <c r="Q421" s="124">
        <f>'Workforce &amp; Expenses'!O219</f>
        <v>5442407</v>
      </c>
      <c r="R421" s="124">
        <f t="shared" si="161"/>
        <v>4049887</v>
      </c>
      <c r="S421" s="124">
        <f t="shared" si="162"/>
        <v>5442407</v>
      </c>
      <c r="T421" s="124">
        <f t="shared" si="163"/>
        <v>0</v>
      </c>
      <c r="U421" s="124">
        <f>'Manufacturing &amp; Production'!F369</f>
        <v>4341525</v>
      </c>
      <c r="V421" s="124">
        <f>'Clinical Trials &amp; R&amp;D'!F369</f>
        <v>5295139</v>
      </c>
      <c r="W421" s="124">
        <f>'Clinical Trials &amp; R&amp;D'!I369</f>
        <v>6433775</v>
      </c>
      <c r="X421" s="124">
        <f>'Manufacturing &amp; Production'!K369</f>
        <v>16471</v>
      </c>
      <c r="Y421" s="124">
        <f>'Monthly Data'!P165</f>
        <v>2621506</v>
      </c>
    </row>
    <row r="422">
      <c r="A422" s="126">
        <f>'Monthly Data'!A166</f>
        <v>48092</v>
      </c>
      <c r="B422" s="127">
        <f>'Workforce &amp; Expenses'!M220</f>
        <v>777</v>
      </c>
      <c r="C422" s="124">
        <f t="shared" si="164"/>
        <v>150117.7827</v>
      </c>
      <c r="D422" s="124">
        <f t="shared" si="165"/>
        <v>13608177</v>
      </c>
      <c r="E422" s="124">
        <f>'Workforce &amp; Expenses'!S118</f>
        <v>2836976</v>
      </c>
      <c r="F422" s="124">
        <f>'Workforce &amp; Expenses'!V118</f>
        <v>817984</v>
      </c>
      <c r="G422" s="124">
        <f>'Workforce &amp; Expenses'!W118</f>
        <v>2548084</v>
      </c>
      <c r="H422" s="124">
        <f t="shared" si="166"/>
        <v>1410373</v>
      </c>
      <c r="I422" s="124">
        <f>'Workforce &amp; Expenses'!T118</f>
        <v>4047180</v>
      </c>
      <c r="J422" s="124">
        <f>'Workforce &amp; Expenses'!U118</f>
        <v>1947580</v>
      </c>
      <c r="K422" s="124">
        <f>'Workforce &amp; Expenses'!E220</f>
        <v>2257802</v>
      </c>
      <c r="L422" s="124">
        <f t="shared" si="157"/>
        <v>1439818</v>
      </c>
      <c r="M422" s="124">
        <f t="shared" si="158"/>
        <v>2257802</v>
      </c>
      <c r="N422" s="124">
        <f>'Workforce &amp; Expenses'!J220</f>
        <v>13353561</v>
      </c>
      <c r="O422" s="124">
        <f t="shared" si="159"/>
        <v>10805477</v>
      </c>
      <c r="P422" s="124">
        <f t="shared" si="160"/>
        <v>13353561</v>
      </c>
      <c r="Q422" s="124">
        <f>'Workforce &amp; Expenses'!O220</f>
        <v>5462347</v>
      </c>
      <c r="R422" s="124">
        <f t="shared" si="161"/>
        <v>4051974</v>
      </c>
      <c r="S422" s="124">
        <f t="shared" si="162"/>
        <v>5462347</v>
      </c>
      <c r="T422" s="124">
        <f t="shared" si="163"/>
        <v>0</v>
      </c>
      <c r="U422" s="124">
        <f>'Manufacturing &amp; Production'!F370</f>
        <v>4365162</v>
      </c>
      <c r="V422" s="124">
        <f>'Clinical Trials &amp; R&amp;D'!F370</f>
        <v>5295139</v>
      </c>
      <c r="W422" s="124">
        <f>'Clinical Trials &amp; R&amp;D'!I370</f>
        <v>6454062</v>
      </c>
      <c r="X422" s="124">
        <f>'Manufacturing &amp; Production'!K370</f>
        <v>102941</v>
      </c>
      <c r="Y422" s="124">
        <f>'Monthly Data'!P166</f>
        <v>2668474</v>
      </c>
    </row>
    <row r="423">
      <c r="A423" s="126">
        <f>'Monthly Data'!A167</f>
        <v>48122</v>
      </c>
      <c r="B423" s="127">
        <f>'Workforce &amp; Expenses'!M221</f>
        <v>783</v>
      </c>
      <c r="C423" s="124">
        <f t="shared" si="164"/>
        <v>150063.0761</v>
      </c>
      <c r="D423" s="124">
        <f t="shared" si="165"/>
        <v>13708262</v>
      </c>
      <c r="E423" s="124">
        <f>'Workforce &amp; Expenses'!S119</f>
        <v>2867542</v>
      </c>
      <c r="F423" s="124">
        <f>'Workforce &amp; Expenses'!V119</f>
        <v>833132</v>
      </c>
      <c r="G423" s="124">
        <f>'Workforce &amp; Expenses'!W119</f>
        <v>2580544</v>
      </c>
      <c r="H423" s="124">
        <f t="shared" si="166"/>
        <v>1410373</v>
      </c>
      <c r="I423" s="124">
        <f>'Workforce &amp; Expenses'!T119</f>
        <v>4048803</v>
      </c>
      <c r="J423" s="124">
        <f>'Workforce &amp; Expenses'!U119</f>
        <v>1967868</v>
      </c>
      <c r="K423" s="124">
        <f>'Workforce &amp; Expenses'!E221</f>
        <v>2272950</v>
      </c>
      <c r="L423" s="124">
        <f t="shared" si="157"/>
        <v>1439818</v>
      </c>
      <c r="M423" s="124">
        <f t="shared" si="158"/>
        <v>2272950</v>
      </c>
      <c r="N423" s="124">
        <f>'Workforce &amp; Expenses'!J221</f>
        <v>13386741</v>
      </c>
      <c r="O423" s="124">
        <f t="shared" si="159"/>
        <v>10806197</v>
      </c>
      <c r="P423" s="124">
        <f t="shared" si="160"/>
        <v>13386741</v>
      </c>
      <c r="Q423" s="124">
        <f>'Workforce &amp; Expenses'!O221</f>
        <v>5465477</v>
      </c>
      <c r="R423" s="124">
        <f t="shared" si="161"/>
        <v>4055104</v>
      </c>
      <c r="S423" s="124">
        <f t="shared" si="162"/>
        <v>5465477</v>
      </c>
      <c r="T423" s="124">
        <f t="shared" si="163"/>
        <v>0</v>
      </c>
      <c r="U423" s="124">
        <f>'Manufacturing &amp; Production'!F371</f>
        <v>4407014</v>
      </c>
      <c r="V423" s="124">
        <f>'Clinical Trials &amp; R&amp;D'!F371</f>
        <v>5296762</v>
      </c>
      <c r="W423" s="124">
        <f>'Clinical Trials &amp; R&amp;D'!I371</f>
        <v>6474350</v>
      </c>
      <c r="X423" s="124">
        <f>'Manufacturing &amp; Production'!K371</f>
        <v>16471</v>
      </c>
      <c r="Y423" s="124">
        <f>'Monthly Data'!P167</f>
        <v>2697515</v>
      </c>
    </row>
    <row r="424">
      <c r="A424" s="126">
        <f>'Monthly Data'!A168</f>
        <v>48153</v>
      </c>
      <c r="B424" s="127">
        <f>'Workforce &amp; Expenses'!M222</f>
        <v>787</v>
      </c>
      <c r="C424" s="124">
        <f t="shared" si="164"/>
        <v>150028.045</v>
      </c>
      <c r="D424" s="124">
        <f t="shared" si="165"/>
        <v>13775075</v>
      </c>
      <c r="E424" s="124">
        <f>'Workforce &amp; Expenses'!S120</f>
        <v>2879985</v>
      </c>
      <c r="F424" s="124">
        <f>'Workforce &amp; Expenses'!V120</f>
        <v>833132</v>
      </c>
      <c r="G424" s="124">
        <f>'Workforce &amp; Expenses'!W120</f>
        <v>2596774</v>
      </c>
      <c r="H424" s="124">
        <f t="shared" si="166"/>
        <v>1428226</v>
      </c>
      <c r="I424" s="124">
        <f>'Workforce &amp; Expenses'!T120</f>
        <v>4048803</v>
      </c>
      <c r="J424" s="124">
        <f>'Workforce &amp; Expenses'!U120</f>
        <v>1988155</v>
      </c>
      <c r="K424" s="124">
        <f>'Workforce &amp; Expenses'!E222</f>
        <v>2293817</v>
      </c>
      <c r="L424" s="124">
        <f t="shared" si="157"/>
        <v>1460685</v>
      </c>
      <c r="M424" s="124">
        <f t="shared" si="158"/>
        <v>2293817</v>
      </c>
      <c r="N424" s="124">
        <f>'Workforce &amp; Expenses'!J222</f>
        <v>13403871</v>
      </c>
      <c r="O424" s="124">
        <f t="shared" si="159"/>
        <v>10807097</v>
      </c>
      <c r="P424" s="124">
        <f t="shared" si="160"/>
        <v>13403871</v>
      </c>
      <c r="Q424" s="124">
        <f>'Workforce &amp; Expenses'!O222</f>
        <v>5485417</v>
      </c>
      <c r="R424" s="124">
        <f t="shared" si="161"/>
        <v>4057191</v>
      </c>
      <c r="S424" s="124">
        <f t="shared" si="162"/>
        <v>5485417</v>
      </c>
      <c r="T424" s="124">
        <f t="shared" si="163"/>
        <v>0</v>
      </c>
      <c r="U424" s="124">
        <f>'Manufacturing &amp; Production'!F372</f>
        <v>4430836</v>
      </c>
      <c r="V424" s="124">
        <f>'Clinical Trials &amp; R&amp;D'!F372</f>
        <v>5296762</v>
      </c>
      <c r="W424" s="124">
        <f>'Clinical Trials &amp; R&amp;D'!I372</f>
        <v>6494637</v>
      </c>
      <c r="X424" s="124">
        <f>'Manufacturing &amp; Production'!K372</f>
        <v>16471</v>
      </c>
      <c r="Y424" s="124">
        <f>'Monthly Data'!P168</f>
        <v>2742478</v>
      </c>
    </row>
    <row r="425">
      <c r="A425" s="126">
        <f>'Monthly Data'!A169</f>
        <v>48183</v>
      </c>
      <c r="B425" s="127">
        <f>'Workforce &amp; Expenses'!M223</f>
        <v>790</v>
      </c>
      <c r="C425" s="124">
        <f t="shared" si="164"/>
        <v>149989.5298</v>
      </c>
      <c r="D425" s="124">
        <f t="shared" si="165"/>
        <v>13824035</v>
      </c>
      <c r="E425" s="124">
        <f>'Workforce &amp; Expenses'!S121</f>
        <v>2892428</v>
      </c>
      <c r="F425" s="124">
        <f>'Workforce &amp; Expenses'!V121</f>
        <v>833132</v>
      </c>
      <c r="G425" s="124">
        <f>'Workforce &amp; Expenses'!W121</f>
        <v>2613004</v>
      </c>
      <c r="H425" s="124">
        <f t="shared" si="166"/>
        <v>1428226</v>
      </c>
      <c r="I425" s="124">
        <f>'Workforce &amp; Expenses'!T121</f>
        <v>4048803</v>
      </c>
      <c r="J425" s="124">
        <f>'Workforce &amp; Expenses'!U121</f>
        <v>2008442</v>
      </c>
      <c r="K425" s="124">
        <f>'Workforce &amp; Expenses'!E223</f>
        <v>2314684</v>
      </c>
      <c r="L425" s="124">
        <f t="shared" si="157"/>
        <v>1481552</v>
      </c>
      <c r="M425" s="124">
        <f t="shared" si="158"/>
        <v>2314684</v>
      </c>
      <c r="N425" s="124">
        <f>'Workforce &amp; Expenses'!J223</f>
        <v>13420821</v>
      </c>
      <c r="O425" s="124">
        <f t="shared" si="159"/>
        <v>10807817</v>
      </c>
      <c r="P425" s="124">
        <f t="shared" si="160"/>
        <v>13420821</v>
      </c>
      <c r="Q425" s="124">
        <f>'Workforce &amp; Expenses'!O223</f>
        <v>5486982</v>
      </c>
      <c r="R425" s="124">
        <f t="shared" si="161"/>
        <v>4058756</v>
      </c>
      <c r="S425" s="124">
        <f t="shared" si="162"/>
        <v>5486982</v>
      </c>
      <c r="T425" s="124">
        <f t="shared" si="163"/>
        <v>0</v>
      </c>
      <c r="U425" s="124">
        <f>'Manufacturing &amp; Production'!F373</f>
        <v>4454658</v>
      </c>
      <c r="V425" s="124">
        <f>'Clinical Trials &amp; R&amp;D'!F373</f>
        <v>5296762</v>
      </c>
      <c r="W425" s="124">
        <f>'Clinical Trials &amp; R&amp;D'!I373</f>
        <v>6514924</v>
      </c>
      <c r="X425" s="124">
        <f>'Manufacturing &amp; Production'!K373</f>
        <v>119412</v>
      </c>
      <c r="Y425" s="124">
        <f>'Monthly Data'!P169</f>
        <v>2787425</v>
      </c>
    </row>
    <row r="426">
      <c r="A426" s="126">
        <f>'Monthly Data'!A170</f>
        <v>48214</v>
      </c>
      <c r="B426" s="127">
        <f>'Workforce &amp; Expenses'!M224</f>
        <v>793</v>
      </c>
      <c r="C426" s="124">
        <f t="shared" si="164"/>
        <v>154449.8577</v>
      </c>
      <c r="D426" s="124">
        <f t="shared" si="165"/>
        <v>14289186</v>
      </c>
      <c r="E426" s="124">
        <f>'Workforce &amp; Expenses'!S122</f>
        <v>2992017</v>
      </c>
      <c r="F426" s="124">
        <f>'Workforce &amp; Expenses'!V122</f>
        <v>858126</v>
      </c>
      <c r="G426" s="124">
        <f>'Workforce &amp; Expenses'!W122</f>
        <v>2708111</v>
      </c>
      <c r="H426" s="124">
        <f t="shared" si="166"/>
        <v>1471072</v>
      </c>
      <c r="I426" s="124">
        <f>'Workforce &amp; Expenses'!T122</f>
        <v>4170268</v>
      </c>
      <c r="J426" s="124">
        <f>'Workforce &amp; Expenses'!U122</f>
        <v>2089592</v>
      </c>
      <c r="K426" s="124">
        <f>'Workforce &amp; Expenses'!E224</f>
        <v>2222928</v>
      </c>
      <c r="L426" s="124">
        <f t="shared" si="157"/>
        <v>1364802</v>
      </c>
      <c r="M426" s="124">
        <f t="shared" si="158"/>
        <v>2222928</v>
      </c>
      <c r="N426" s="124">
        <f>'Workforce &amp; Expenses'!J224</f>
        <v>16747077</v>
      </c>
      <c r="O426" s="124">
        <f t="shared" si="159"/>
        <v>14038966</v>
      </c>
      <c r="P426" s="124">
        <f t="shared" si="160"/>
        <v>16747077</v>
      </c>
      <c r="Q426" s="124">
        <f>'Workforce &amp; Expenses'!O224</f>
        <v>5799069</v>
      </c>
      <c r="R426" s="124">
        <f t="shared" si="161"/>
        <v>4327997</v>
      </c>
      <c r="S426" s="124">
        <f t="shared" si="162"/>
        <v>5799069</v>
      </c>
      <c r="T426" s="124">
        <f t="shared" si="163"/>
        <v>0</v>
      </c>
      <c r="U426" s="124">
        <f>'Manufacturing &amp; Production'!F374</f>
        <v>4610737</v>
      </c>
      <c r="V426" s="124">
        <f>'Clinical Trials &amp; R&amp;D'!F374</f>
        <v>5455666</v>
      </c>
      <c r="W426" s="124">
        <f>'Clinical Trials &amp; R&amp;D'!I374</f>
        <v>6887681</v>
      </c>
      <c r="X426" s="124">
        <f>'Manufacturing &amp; Production'!K374</f>
        <v>16471</v>
      </c>
      <c r="Y426" s="124">
        <f>'Monthly Data'!P170</f>
        <v>2753302</v>
      </c>
    </row>
    <row r="427">
      <c r="A427" s="126">
        <f>'Monthly Data'!A171</f>
        <v>48245</v>
      </c>
      <c r="B427" s="127">
        <f>'Workforce &amp; Expenses'!M225</f>
        <v>799</v>
      </c>
      <c r="C427" s="124">
        <f t="shared" si="164"/>
        <v>154449.6978</v>
      </c>
      <c r="D427" s="124">
        <f t="shared" si="165"/>
        <v>14397286</v>
      </c>
      <c r="E427" s="124">
        <f>'Workforce &amp; Expenses'!S123</f>
        <v>3004833</v>
      </c>
      <c r="F427" s="124">
        <f>'Workforce &amp; Expenses'!V123</f>
        <v>873728</v>
      </c>
      <c r="G427" s="124">
        <f>'Workforce &amp; Expenses'!W123</f>
        <v>2724827</v>
      </c>
      <c r="H427" s="124">
        <f t="shared" si="166"/>
        <v>1489461</v>
      </c>
      <c r="I427" s="124">
        <f>'Workforce &amp; Expenses'!T123</f>
        <v>4193950</v>
      </c>
      <c r="J427" s="124">
        <f>'Workforce &amp; Expenses'!U123</f>
        <v>2110487</v>
      </c>
      <c r="K427" s="124">
        <f>'Workforce &amp; Expenses'!E225</f>
        <v>2260023</v>
      </c>
      <c r="L427" s="124">
        <f t="shared" si="157"/>
        <v>1386295</v>
      </c>
      <c r="M427" s="124">
        <f t="shared" si="158"/>
        <v>2260023</v>
      </c>
      <c r="N427" s="124">
        <f>'Workforce &amp; Expenses'!J225</f>
        <v>16764513</v>
      </c>
      <c r="O427" s="124">
        <f t="shared" si="159"/>
        <v>14039686</v>
      </c>
      <c r="P427" s="124">
        <f t="shared" si="160"/>
        <v>16764513</v>
      </c>
      <c r="Q427" s="124">
        <f>'Workforce &amp; Expenses'!O225</f>
        <v>5820682</v>
      </c>
      <c r="R427" s="124">
        <f t="shared" si="161"/>
        <v>4331221</v>
      </c>
      <c r="S427" s="124">
        <f t="shared" si="162"/>
        <v>5820682</v>
      </c>
      <c r="T427" s="124">
        <f t="shared" si="163"/>
        <v>0</v>
      </c>
      <c r="U427" s="124">
        <f>'Manufacturing &amp; Production'!F375</f>
        <v>4633176</v>
      </c>
      <c r="V427" s="124">
        <f>'Clinical Trials &amp; R&amp;D'!F375</f>
        <v>5479348</v>
      </c>
      <c r="W427" s="124">
        <f>'Clinical Trials &amp; R&amp;D'!I375</f>
        <v>6908576</v>
      </c>
      <c r="X427" s="124">
        <f>'Manufacturing &amp; Production'!K375</f>
        <v>16471</v>
      </c>
      <c r="Y427" s="124">
        <f>'Monthly Data'!P171</f>
        <v>2809157</v>
      </c>
    </row>
    <row r="428">
      <c r="A428" s="126">
        <f>'Monthly Data'!A172</f>
        <v>48274</v>
      </c>
      <c r="B428" s="127">
        <f>'Workforce &amp; Expenses'!M226</f>
        <v>802</v>
      </c>
      <c r="C428" s="124">
        <f t="shared" si="164"/>
        <v>154375.1799</v>
      </c>
      <c r="D428" s="124">
        <f t="shared" si="165"/>
        <v>14444371</v>
      </c>
      <c r="E428" s="124">
        <f>'Workforce &amp; Expenses'!S124</f>
        <v>3036316</v>
      </c>
      <c r="F428" s="124">
        <f>'Workforce &amp; Expenses'!V124</f>
        <v>873728</v>
      </c>
      <c r="G428" s="124">
        <f>'Workforce &amp; Expenses'!W124</f>
        <v>2741544</v>
      </c>
      <c r="H428" s="124">
        <f t="shared" si="166"/>
        <v>1489461</v>
      </c>
      <c r="I428" s="124">
        <f>'Workforce &amp; Expenses'!T124</f>
        <v>4171939</v>
      </c>
      <c r="J428" s="124">
        <f>'Workforce &amp; Expenses'!U124</f>
        <v>2131383</v>
      </c>
      <c r="K428" s="124">
        <f>'Workforce &amp; Expenses'!E226</f>
        <v>2292262</v>
      </c>
      <c r="L428" s="124">
        <f t="shared" si="157"/>
        <v>1418534</v>
      </c>
      <c r="M428" s="124">
        <f t="shared" si="158"/>
        <v>2292262</v>
      </c>
      <c r="N428" s="124">
        <f>'Workforce &amp; Expenses'!J226</f>
        <v>16782130</v>
      </c>
      <c r="O428" s="124">
        <f t="shared" si="159"/>
        <v>14040586</v>
      </c>
      <c r="P428" s="124">
        <f t="shared" si="160"/>
        <v>16782130</v>
      </c>
      <c r="Q428" s="124">
        <f>'Workforce &amp; Expenses'!O226</f>
        <v>5822293</v>
      </c>
      <c r="R428" s="124">
        <f t="shared" si="161"/>
        <v>4332832</v>
      </c>
      <c r="S428" s="124">
        <f t="shared" si="162"/>
        <v>5822293</v>
      </c>
      <c r="T428" s="124">
        <f t="shared" si="163"/>
        <v>0</v>
      </c>
      <c r="U428" s="124">
        <f>'Manufacturing &amp; Production'!F376</f>
        <v>4674379</v>
      </c>
      <c r="V428" s="124">
        <f>'Clinical Trials &amp; R&amp;D'!F376</f>
        <v>5457337</v>
      </c>
      <c r="W428" s="124">
        <f>'Clinical Trials &amp; R&amp;D'!I376</f>
        <v>6929472</v>
      </c>
      <c r="X428" s="124">
        <f>'Manufacturing &amp; Production'!K376</f>
        <v>102941</v>
      </c>
      <c r="Y428" s="124">
        <f>'Monthly Data'!P172</f>
        <v>2865086</v>
      </c>
    </row>
    <row r="429">
      <c r="A429" s="126">
        <f>'Monthly Data'!A173</f>
        <v>48305</v>
      </c>
      <c r="B429" s="127">
        <f>'Workforce &amp; Expenses'!M227</f>
        <v>805</v>
      </c>
      <c r="C429" s="124">
        <f t="shared" si="164"/>
        <v>154396.1526</v>
      </c>
      <c r="D429" s="124">
        <f t="shared" si="165"/>
        <v>14500372</v>
      </c>
      <c r="E429" s="124">
        <f>'Workforce &amp; Expenses'!S125</f>
        <v>3036316</v>
      </c>
      <c r="F429" s="124">
        <f>'Workforce &amp; Expenses'!V125</f>
        <v>873728</v>
      </c>
      <c r="G429" s="124">
        <f>'Workforce &amp; Expenses'!W125</f>
        <v>2758261</v>
      </c>
      <c r="H429" s="124">
        <f t="shared" si="166"/>
        <v>1507849</v>
      </c>
      <c r="I429" s="124">
        <f>'Workforce &amp; Expenses'!T125</f>
        <v>4171939</v>
      </c>
      <c r="J429" s="124">
        <f>'Workforce &amp; Expenses'!U125</f>
        <v>2152279</v>
      </c>
      <c r="K429" s="124">
        <f>'Workforce &amp; Expenses'!E227</f>
        <v>2303009</v>
      </c>
      <c r="L429" s="124">
        <f t="shared" si="157"/>
        <v>1429281</v>
      </c>
      <c r="M429" s="124">
        <f t="shared" si="158"/>
        <v>2303009</v>
      </c>
      <c r="N429" s="124">
        <f>'Workforce &amp; Expenses'!J227</f>
        <v>16799747</v>
      </c>
      <c r="O429" s="124">
        <f t="shared" si="159"/>
        <v>14041486</v>
      </c>
      <c r="P429" s="124">
        <f t="shared" si="160"/>
        <v>16799747</v>
      </c>
      <c r="Q429" s="124">
        <f>'Workforce &amp; Expenses'!O227</f>
        <v>5842293</v>
      </c>
      <c r="R429" s="124">
        <f t="shared" si="161"/>
        <v>4334444</v>
      </c>
      <c r="S429" s="124">
        <f t="shared" si="162"/>
        <v>5842293</v>
      </c>
      <c r="T429" s="124">
        <f t="shared" si="163"/>
        <v>0</v>
      </c>
      <c r="U429" s="124">
        <f>'Manufacturing &amp; Production'!F377</f>
        <v>4684099</v>
      </c>
      <c r="V429" s="124">
        <f>'Clinical Trials &amp; R&amp;D'!F377</f>
        <v>5457337</v>
      </c>
      <c r="W429" s="124">
        <f>'Clinical Trials &amp; R&amp;D'!I377</f>
        <v>6950368</v>
      </c>
      <c r="X429" s="124">
        <f>'Manufacturing &amp; Production'!K377</f>
        <v>16471</v>
      </c>
      <c r="Y429" s="124">
        <f>'Monthly Data'!P173</f>
        <v>2921088</v>
      </c>
    </row>
    <row r="430">
      <c r="A430" s="126">
        <f>'Monthly Data'!A174</f>
        <v>48335</v>
      </c>
      <c r="B430" s="127">
        <f>'Workforce &amp; Expenses'!M228</f>
        <v>808</v>
      </c>
      <c r="C430" s="124">
        <f t="shared" si="164"/>
        <v>154357.8607</v>
      </c>
      <c r="D430" s="124">
        <f t="shared" si="165"/>
        <v>14550801</v>
      </c>
      <c r="E430" s="124">
        <f>'Workforce &amp; Expenses'!S126</f>
        <v>3049132</v>
      </c>
      <c r="F430" s="124">
        <f>'Workforce &amp; Expenses'!V126</f>
        <v>873728</v>
      </c>
      <c r="G430" s="124">
        <f>'Workforce &amp; Expenses'!W126</f>
        <v>2774978</v>
      </c>
      <c r="H430" s="124">
        <f t="shared" si="166"/>
        <v>1507849</v>
      </c>
      <c r="I430" s="124">
        <f>'Workforce &amp; Expenses'!T126</f>
        <v>4171939</v>
      </c>
      <c r="J430" s="124">
        <f>'Workforce &amp; Expenses'!U126</f>
        <v>2173175</v>
      </c>
      <c r="K430" s="124">
        <f>'Workforce &amp; Expenses'!E228</f>
        <v>2335248</v>
      </c>
      <c r="L430" s="124">
        <f t="shared" si="157"/>
        <v>1461520</v>
      </c>
      <c r="M430" s="124">
        <f t="shared" si="158"/>
        <v>2335248</v>
      </c>
      <c r="N430" s="124">
        <f>'Workforce &amp; Expenses'!J228</f>
        <v>16817184</v>
      </c>
      <c r="O430" s="124">
        <f t="shared" si="159"/>
        <v>14042206</v>
      </c>
      <c r="P430" s="124">
        <f t="shared" si="160"/>
        <v>16817184</v>
      </c>
      <c r="Q430" s="124">
        <f>'Workforce &amp; Expenses'!O228</f>
        <v>5843905</v>
      </c>
      <c r="R430" s="124">
        <f t="shared" si="161"/>
        <v>4336056</v>
      </c>
      <c r="S430" s="124">
        <f t="shared" si="162"/>
        <v>5843905</v>
      </c>
      <c r="T430" s="124">
        <f t="shared" si="163"/>
        <v>0</v>
      </c>
      <c r="U430" s="124">
        <f>'Manufacturing &amp; Production'!F378</f>
        <v>4706729</v>
      </c>
      <c r="V430" s="124">
        <f>'Clinical Trials &amp; R&amp;D'!F378</f>
        <v>5457337</v>
      </c>
      <c r="W430" s="124">
        <f>'Clinical Trials &amp; R&amp;D'!I378</f>
        <v>6971264</v>
      </c>
      <c r="X430" s="124">
        <f>'Manufacturing &amp; Production'!K378</f>
        <v>16471</v>
      </c>
      <c r="Y430" s="124">
        <f>'Monthly Data'!P174</f>
        <v>2977159</v>
      </c>
    </row>
    <row r="431">
      <c r="A431" s="126">
        <f>'Monthly Data'!A175</f>
        <v>48366</v>
      </c>
      <c r="B431" s="127">
        <f>'Workforce &amp; Expenses'!M229</f>
        <v>815</v>
      </c>
      <c r="C431" s="124">
        <f t="shared" si="164"/>
        <v>154344.8098</v>
      </c>
      <c r="D431" s="124">
        <f t="shared" si="165"/>
        <v>14675619</v>
      </c>
      <c r="E431" s="124">
        <f>'Workforce &amp; Expenses'!S127</f>
        <v>3061948</v>
      </c>
      <c r="F431" s="124">
        <f>'Workforce &amp; Expenses'!V127</f>
        <v>889330</v>
      </c>
      <c r="G431" s="124">
        <f>'Workforce &amp; Expenses'!W127</f>
        <v>2808411</v>
      </c>
      <c r="H431" s="124">
        <f t="shared" si="166"/>
        <v>1526238</v>
      </c>
      <c r="I431" s="124">
        <f>'Workforce &amp; Expenses'!T127</f>
        <v>4195621</v>
      </c>
      <c r="J431" s="124">
        <f>'Workforce &amp; Expenses'!U127</f>
        <v>2194071</v>
      </c>
      <c r="K431" s="124">
        <f>'Workforce &amp; Expenses'!E229</f>
        <v>2372343</v>
      </c>
      <c r="L431" s="124">
        <f t="shared" si="157"/>
        <v>1483013</v>
      </c>
      <c r="M431" s="124">
        <f t="shared" si="158"/>
        <v>2372343</v>
      </c>
      <c r="N431" s="124">
        <f>'Workforce &amp; Expenses'!J229</f>
        <v>16851517</v>
      </c>
      <c r="O431" s="124">
        <f t="shared" si="159"/>
        <v>14043106</v>
      </c>
      <c r="P431" s="124">
        <f t="shared" si="160"/>
        <v>16851517</v>
      </c>
      <c r="Q431" s="124">
        <f>'Workforce &amp; Expenses'!O229</f>
        <v>5866056</v>
      </c>
      <c r="R431" s="124">
        <f t="shared" si="161"/>
        <v>4339818</v>
      </c>
      <c r="S431" s="124">
        <f t="shared" si="162"/>
        <v>5866056</v>
      </c>
      <c r="T431" s="124">
        <f t="shared" si="163"/>
        <v>0</v>
      </c>
      <c r="U431" s="124">
        <f>'Manufacturing &amp; Production'!F379</f>
        <v>4729454</v>
      </c>
      <c r="V431" s="124">
        <f>'Clinical Trials &amp; R&amp;D'!F379</f>
        <v>5481019</v>
      </c>
      <c r="W431" s="124">
        <f>'Clinical Trials &amp; R&amp;D'!I379</f>
        <v>6992160</v>
      </c>
      <c r="X431" s="124">
        <f>'Manufacturing &amp; Production'!K379</f>
        <v>102941</v>
      </c>
      <c r="Y431" s="124">
        <f>'Monthly Data'!P175</f>
        <v>3033300</v>
      </c>
    </row>
    <row r="432">
      <c r="A432" s="126">
        <f>'Monthly Data'!A176</f>
        <v>48396</v>
      </c>
      <c r="B432" s="127">
        <f>'Workforce &amp; Expenses'!M230</f>
        <v>817</v>
      </c>
      <c r="C432" s="124">
        <f t="shared" si="164"/>
        <v>154265.1303</v>
      </c>
      <c r="D432" s="124">
        <f t="shared" si="165"/>
        <v>14704038</v>
      </c>
      <c r="E432" s="124">
        <f>'Workforce &amp; Expenses'!S128</f>
        <v>3074764</v>
      </c>
      <c r="F432" s="124">
        <f>'Workforce &amp; Expenses'!V128</f>
        <v>889330</v>
      </c>
      <c r="G432" s="124">
        <f>'Workforce &amp; Expenses'!W128</f>
        <v>2825128</v>
      </c>
      <c r="H432" s="124">
        <f t="shared" si="166"/>
        <v>1526238</v>
      </c>
      <c r="I432" s="124">
        <f>'Workforce &amp; Expenses'!T128</f>
        <v>4173611</v>
      </c>
      <c r="J432" s="124">
        <f>'Workforce &amp; Expenses'!U128</f>
        <v>2214967</v>
      </c>
      <c r="K432" s="124">
        <f>'Workforce &amp; Expenses'!E230</f>
        <v>2383089</v>
      </c>
      <c r="L432" s="124">
        <f t="shared" si="157"/>
        <v>1493759</v>
      </c>
      <c r="M432" s="124">
        <f t="shared" si="158"/>
        <v>2383089</v>
      </c>
      <c r="N432" s="124">
        <f>'Workforce &amp; Expenses'!J230</f>
        <v>16869134</v>
      </c>
      <c r="O432" s="124">
        <f t="shared" si="159"/>
        <v>14044006</v>
      </c>
      <c r="P432" s="124">
        <f t="shared" si="160"/>
        <v>16869134</v>
      </c>
      <c r="Q432" s="124">
        <f>'Workforce &amp; Expenses'!O230</f>
        <v>5867130</v>
      </c>
      <c r="R432" s="124">
        <f t="shared" si="161"/>
        <v>4340892</v>
      </c>
      <c r="S432" s="124">
        <f t="shared" si="162"/>
        <v>5867130</v>
      </c>
      <c r="T432" s="124">
        <f t="shared" si="163"/>
        <v>0</v>
      </c>
      <c r="U432" s="124">
        <f>'Manufacturing &amp; Production'!F380</f>
        <v>4752276</v>
      </c>
      <c r="V432" s="124">
        <f>'Clinical Trials &amp; R&amp;D'!F380</f>
        <v>5459009</v>
      </c>
      <c r="W432" s="124">
        <f>'Clinical Trials &amp; R&amp;D'!I380</f>
        <v>7013056</v>
      </c>
      <c r="X432" s="124">
        <f>'Manufacturing &amp; Production'!K380</f>
        <v>16471</v>
      </c>
      <c r="Y432" s="124">
        <f>'Monthly Data'!P176</f>
        <v>3089520</v>
      </c>
    </row>
    <row r="433">
      <c r="A433" s="126">
        <f>'Monthly Data'!A177</f>
        <v>48427</v>
      </c>
      <c r="B433" s="127">
        <f>'Workforce &amp; Expenses'!M231</f>
        <v>820</v>
      </c>
      <c r="C433" s="124">
        <f t="shared" si="164"/>
        <v>154227.878</v>
      </c>
      <c r="D433" s="124">
        <f t="shared" si="165"/>
        <v>14754467</v>
      </c>
      <c r="E433" s="124">
        <f>'Workforce &amp; Expenses'!S129</f>
        <v>3087581</v>
      </c>
      <c r="F433" s="124">
        <f>'Workforce &amp; Expenses'!V129</f>
        <v>889330</v>
      </c>
      <c r="G433" s="124">
        <f>'Workforce &amp; Expenses'!W129</f>
        <v>2841844</v>
      </c>
      <c r="H433" s="124">
        <f t="shared" si="166"/>
        <v>1526238</v>
      </c>
      <c r="I433" s="124">
        <f>'Workforce &amp; Expenses'!T129</f>
        <v>4173611</v>
      </c>
      <c r="J433" s="124">
        <f>'Workforce &amp; Expenses'!U129</f>
        <v>2235863</v>
      </c>
      <c r="K433" s="124">
        <f>'Workforce &amp; Expenses'!E231</f>
        <v>2415329</v>
      </c>
      <c r="L433" s="124">
        <f t="shared" si="157"/>
        <v>1525999</v>
      </c>
      <c r="M433" s="124">
        <f t="shared" si="158"/>
        <v>2415329</v>
      </c>
      <c r="N433" s="124">
        <f>'Workforce &amp; Expenses'!J231</f>
        <v>16886750</v>
      </c>
      <c r="O433" s="124">
        <f t="shared" si="159"/>
        <v>14044906</v>
      </c>
      <c r="P433" s="124">
        <f t="shared" si="160"/>
        <v>16886750</v>
      </c>
      <c r="Q433" s="124">
        <f>'Workforce &amp; Expenses'!O231</f>
        <v>5868742</v>
      </c>
      <c r="R433" s="124">
        <f t="shared" si="161"/>
        <v>4342504</v>
      </c>
      <c r="S433" s="124">
        <f t="shared" si="162"/>
        <v>5868742</v>
      </c>
      <c r="T433" s="124">
        <f t="shared" si="163"/>
        <v>0</v>
      </c>
      <c r="U433" s="124">
        <f>'Manufacturing &amp; Production'!F381</f>
        <v>4775097</v>
      </c>
      <c r="V433" s="124">
        <f>'Clinical Trials &amp; R&amp;D'!F381</f>
        <v>5459009</v>
      </c>
      <c r="W433" s="124">
        <f>'Clinical Trials &amp; R&amp;D'!I381</f>
        <v>7033952</v>
      </c>
      <c r="X433" s="124">
        <f>'Manufacturing &amp; Production'!K381</f>
        <v>16471</v>
      </c>
      <c r="Y433" s="124">
        <f>'Monthly Data'!P177</f>
        <v>3145807</v>
      </c>
    </row>
    <row r="434">
      <c r="A434" s="126">
        <f>'Monthly Data'!A178</f>
        <v>48458</v>
      </c>
      <c r="B434" s="127">
        <f>'Workforce &amp; Expenses'!M232</f>
        <v>825</v>
      </c>
      <c r="C434" s="124">
        <f t="shared" si="164"/>
        <v>154202.0883</v>
      </c>
      <c r="D434" s="124">
        <f t="shared" si="165"/>
        <v>14841951</v>
      </c>
      <c r="E434" s="124">
        <f>'Workforce &amp; Expenses'!S130</f>
        <v>3119064</v>
      </c>
      <c r="F434" s="124">
        <f>'Workforce &amp; Expenses'!V130</f>
        <v>889330</v>
      </c>
      <c r="G434" s="124">
        <f>'Workforce &amp; Expenses'!W130</f>
        <v>2858561</v>
      </c>
      <c r="H434" s="124">
        <f t="shared" si="166"/>
        <v>1544626</v>
      </c>
      <c r="I434" s="124">
        <f>'Workforce &amp; Expenses'!T130</f>
        <v>4173611</v>
      </c>
      <c r="J434" s="124">
        <f>'Workforce &amp; Expenses'!U130</f>
        <v>2256759</v>
      </c>
      <c r="K434" s="124">
        <f>'Workforce &amp; Expenses'!E232</f>
        <v>2436822</v>
      </c>
      <c r="L434" s="124">
        <f t="shared" si="157"/>
        <v>1547492</v>
      </c>
      <c r="M434" s="124">
        <f t="shared" si="158"/>
        <v>2436822</v>
      </c>
      <c r="N434" s="124">
        <f>'Workforce &amp; Expenses'!J232</f>
        <v>16904547</v>
      </c>
      <c r="O434" s="124">
        <f t="shared" si="159"/>
        <v>14045986</v>
      </c>
      <c r="P434" s="124">
        <f t="shared" si="160"/>
        <v>16904547</v>
      </c>
      <c r="Q434" s="124">
        <f>'Workforce &amp; Expenses'!O232</f>
        <v>5889817</v>
      </c>
      <c r="R434" s="124">
        <f t="shared" si="161"/>
        <v>4345191</v>
      </c>
      <c r="S434" s="124">
        <f t="shared" si="162"/>
        <v>5889817</v>
      </c>
      <c r="T434" s="124">
        <f t="shared" si="163"/>
        <v>0</v>
      </c>
      <c r="U434" s="124">
        <f>'Manufacturing &amp; Production'!F382</f>
        <v>4816681</v>
      </c>
      <c r="V434" s="124">
        <f>'Clinical Trials &amp; R&amp;D'!F382</f>
        <v>5459009</v>
      </c>
      <c r="W434" s="124">
        <f>'Clinical Trials &amp; R&amp;D'!I382</f>
        <v>7054848</v>
      </c>
      <c r="X434" s="124">
        <f>'Manufacturing &amp; Production'!K382</f>
        <v>102941</v>
      </c>
      <c r="Y434" s="124">
        <f>'Monthly Data'!P178</f>
        <v>3202169</v>
      </c>
    </row>
    <row r="435">
      <c r="A435" s="126">
        <f>'Monthly Data'!A179</f>
        <v>48488</v>
      </c>
      <c r="B435" s="127">
        <f>'Workforce &amp; Expenses'!M233</f>
        <v>829</v>
      </c>
      <c r="C435" s="124">
        <f t="shared" si="164"/>
        <v>154253.1242</v>
      </c>
      <c r="D435" s="124">
        <f t="shared" si="165"/>
        <v>14918848</v>
      </c>
      <c r="E435" s="124">
        <f>'Workforce &amp; Expenses'!S131</f>
        <v>3119064</v>
      </c>
      <c r="F435" s="124">
        <f>'Workforce &amp; Expenses'!V131</f>
        <v>904932</v>
      </c>
      <c r="G435" s="124">
        <f>'Workforce &amp; Expenses'!W131</f>
        <v>2875278</v>
      </c>
      <c r="H435" s="124">
        <f t="shared" si="166"/>
        <v>1544626</v>
      </c>
      <c r="I435" s="124">
        <f>'Workforce &amp; Expenses'!T131</f>
        <v>4197293</v>
      </c>
      <c r="J435" s="124">
        <f>'Workforce &amp; Expenses'!U131</f>
        <v>2277655</v>
      </c>
      <c r="K435" s="124">
        <f>'Workforce &amp; Expenses'!E233</f>
        <v>2452424</v>
      </c>
      <c r="L435" s="124">
        <f t="shared" si="157"/>
        <v>1547492</v>
      </c>
      <c r="M435" s="124">
        <f t="shared" si="158"/>
        <v>2452424</v>
      </c>
      <c r="N435" s="124">
        <f>'Workforce &amp; Expenses'!J233</f>
        <v>16922164</v>
      </c>
      <c r="O435" s="124">
        <f t="shared" si="159"/>
        <v>14046886</v>
      </c>
      <c r="P435" s="124">
        <f t="shared" si="160"/>
        <v>16922164</v>
      </c>
      <c r="Q435" s="124">
        <f>'Workforce &amp; Expenses'!O233</f>
        <v>5891966</v>
      </c>
      <c r="R435" s="124">
        <f t="shared" si="161"/>
        <v>4347340</v>
      </c>
      <c r="S435" s="124">
        <f t="shared" si="162"/>
        <v>5891966</v>
      </c>
      <c r="T435" s="124">
        <f t="shared" si="163"/>
        <v>0</v>
      </c>
      <c r="U435" s="124">
        <f>'Manufacturing &amp; Production'!F383</f>
        <v>4826875</v>
      </c>
      <c r="V435" s="124">
        <f>'Clinical Trials &amp; R&amp;D'!F383</f>
        <v>5482691</v>
      </c>
      <c r="W435" s="124">
        <f>'Clinical Trials &amp; R&amp;D'!I383</f>
        <v>7075744</v>
      </c>
      <c r="X435" s="124">
        <f>'Manufacturing &amp; Production'!K383</f>
        <v>16471</v>
      </c>
      <c r="Y435" s="124">
        <f>'Monthly Data'!P179</f>
        <v>3237018</v>
      </c>
    </row>
    <row r="436">
      <c r="A436" s="126">
        <f>'Monthly Data'!A180</f>
        <v>48519</v>
      </c>
      <c r="B436" s="127">
        <f>'Workforce &amp; Expenses'!M234</f>
        <v>832</v>
      </c>
      <c r="C436" s="124">
        <f t="shared" si="164"/>
        <v>154179.138</v>
      </c>
      <c r="D436" s="124">
        <f t="shared" si="165"/>
        <v>14965655</v>
      </c>
      <c r="E436" s="124">
        <f>'Workforce &amp; Expenses'!S132</f>
        <v>3131880</v>
      </c>
      <c r="F436" s="124">
        <f>'Workforce &amp; Expenses'!V132</f>
        <v>904932</v>
      </c>
      <c r="G436" s="124">
        <f>'Workforce &amp; Expenses'!W132</f>
        <v>2891995</v>
      </c>
      <c r="H436" s="124">
        <f t="shared" si="166"/>
        <v>1563014</v>
      </c>
      <c r="I436" s="124">
        <f>'Workforce &amp; Expenses'!T132</f>
        <v>4175283</v>
      </c>
      <c r="J436" s="124">
        <f>'Workforce &amp; Expenses'!U132</f>
        <v>2298551</v>
      </c>
      <c r="K436" s="124">
        <f>'Workforce &amp; Expenses'!E234</f>
        <v>2473917</v>
      </c>
      <c r="L436" s="124">
        <f t="shared" si="157"/>
        <v>1568985</v>
      </c>
      <c r="M436" s="124">
        <f t="shared" si="158"/>
        <v>2473917</v>
      </c>
      <c r="N436" s="124">
        <f>'Workforce &amp; Expenses'!J234</f>
        <v>16939961</v>
      </c>
      <c r="O436" s="124">
        <f t="shared" si="159"/>
        <v>14047966</v>
      </c>
      <c r="P436" s="124">
        <f t="shared" si="160"/>
        <v>16939961</v>
      </c>
      <c r="Q436" s="124">
        <f>'Workforce &amp; Expenses'!O234</f>
        <v>5911966</v>
      </c>
      <c r="R436" s="124">
        <f t="shared" si="161"/>
        <v>4348952</v>
      </c>
      <c r="S436" s="124">
        <f t="shared" si="162"/>
        <v>5911966</v>
      </c>
      <c r="T436" s="124">
        <f t="shared" si="163"/>
        <v>0</v>
      </c>
      <c r="U436" s="124">
        <f>'Manufacturing &amp; Production'!F384</f>
        <v>4849887</v>
      </c>
      <c r="V436" s="124">
        <f>'Clinical Trials &amp; R&amp;D'!F384</f>
        <v>5460681</v>
      </c>
      <c r="W436" s="124">
        <f>'Clinical Trials &amp; R&amp;D'!I384</f>
        <v>7096640</v>
      </c>
      <c r="X436" s="124">
        <f>'Manufacturing &amp; Production'!K384</f>
        <v>16471</v>
      </c>
      <c r="Y436" s="124">
        <f>'Monthly Data'!P180</f>
        <v>3290974</v>
      </c>
    </row>
    <row r="437">
      <c r="A437" s="126">
        <f>'Monthly Data'!A181</f>
        <v>48549</v>
      </c>
      <c r="B437" s="127">
        <f>'Workforce &amp; Expenses'!M235</f>
        <v>835</v>
      </c>
      <c r="C437" s="124">
        <f t="shared" si="164"/>
        <v>154142.8537</v>
      </c>
      <c r="D437" s="124">
        <f t="shared" si="165"/>
        <v>15016083</v>
      </c>
      <c r="E437" s="124">
        <f>'Workforce &amp; Expenses'!S133</f>
        <v>3144696</v>
      </c>
      <c r="F437" s="124">
        <f>'Workforce &amp; Expenses'!V133</f>
        <v>904932</v>
      </c>
      <c r="G437" s="124">
        <f>'Workforce &amp; Expenses'!W133</f>
        <v>2908711</v>
      </c>
      <c r="H437" s="124">
        <f t="shared" si="166"/>
        <v>1563014</v>
      </c>
      <c r="I437" s="124">
        <f>'Workforce &amp; Expenses'!T133</f>
        <v>4175283</v>
      </c>
      <c r="J437" s="124">
        <f>'Workforce &amp; Expenses'!U133</f>
        <v>2319447</v>
      </c>
      <c r="K437" s="124">
        <f>'Workforce &amp; Expenses'!E235</f>
        <v>2495410</v>
      </c>
      <c r="L437" s="124">
        <f t="shared" si="157"/>
        <v>1590478</v>
      </c>
      <c r="M437" s="124">
        <f t="shared" si="158"/>
        <v>2495410</v>
      </c>
      <c r="N437" s="124">
        <f>'Workforce &amp; Expenses'!J235</f>
        <v>16957577</v>
      </c>
      <c r="O437" s="124">
        <f t="shared" si="159"/>
        <v>14048866</v>
      </c>
      <c r="P437" s="124">
        <f t="shared" si="160"/>
        <v>16957577</v>
      </c>
      <c r="Q437" s="124">
        <f>'Workforce &amp; Expenses'!O235</f>
        <v>5913578</v>
      </c>
      <c r="R437" s="124">
        <f t="shared" si="161"/>
        <v>4350564</v>
      </c>
      <c r="S437" s="124">
        <f t="shared" si="162"/>
        <v>5913578</v>
      </c>
      <c r="T437" s="124">
        <f t="shared" si="163"/>
        <v>0</v>
      </c>
      <c r="U437" s="124">
        <f>'Manufacturing &amp; Production'!F385</f>
        <v>4872995</v>
      </c>
      <c r="V437" s="124">
        <f>'Clinical Trials &amp; R&amp;D'!F385</f>
        <v>5460681</v>
      </c>
      <c r="W437" s="124">
        <f>'Clinical Trials &amp; R&amp;D'!I385</f>
        <v>7117536</v>
      </c>
      <c r="X437" s="124">
        <f>'Manufacturing &amp; Production'!K385</f>
        <v>119412</v>
      </c>
      <c r="Y437" s="124">
        <f>'Monthly Data'!P181</f>
        <v>3344910</v>
      </c>
    </row>
  </sheetData>
  <mergeCells count="14">
    <mergeCell ref="A36:H36"/>
    <mergeCell ref="A48:W48"/>
    <mergeCell ref="A137:P137"/>
    <mergeCell ref="A148:P148"/>
    <mergeCell ref="A149:P149"/>
    <mergeCell ref="A150:P150"/>
    <mergeCell ref="A256:B256"/>
    <mergeCell ref="A1:P1"/>
    <mergeCell ref="A2:P2"/>
    <mergeCell ref="A20:P20"/>
    <mergeCell ref="A21:P21"/>
    <mergeCell ref="A22:P22"/>
    <mergeCell ref="A23:P23"/>
    <mergeCell ref="A24:H24"/>
  </mergeCells>
  <hyperlinks>
    <hyperlink r:id="rId2" ref="A2"/>
    <hyperlink r:id="rId3" ref="P12"/>
    <hyperlink r:id="rId4" ref="P13"/>
    <hyperlink r:id="rId5" ref="P14"/>
    <hyperlink r:id="rId6" ref="P15"/>
    <hyperlink r:id="rId7" ref="P16"/>
    <hyperlink r:id="rId8" ref="P17"/>
    <hyperlink r:id="rId9" ref="P18"/>
    <hyperlink r:id="rId10" ref="P19"/>
  </hyperlinks>
  <drawing r:id="rId11"/>
  <legacyDrawing r:id="rId1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49C7"/>
    <outlinePr summaryBelow="0" summaryRight="0"/>
  </sheetPr>
  <sheetViews>
    <sheetView showGridLines="0" workbookViewId="0"/>
  </sheetViews>
  <sheetFormatPr customHeight="1" defaultColWidth="12.63" defaultRowHeight="15.75"/>
  <cols>
    <col customWidth="1" min="1" max="1" width="34.88"/>
    <col customWidth="1" min="2" max="12" width="20.13"/>
    <col customWidth="1" min="13" max="13" width="20.38"/>
    <col customWidth="1" min="14" max="21" width="20.13"/>
  </cols>
  <sheetData>
    <row r="1">
      <c r="A1" s="69" t="s">
        <v>211</v>
      </c>
      <c r="B1" s="70"/>
      <c r="C1" s="70"/>
      <c r="D1" s="70"/>
      <c r="E1" s="70"/>
      <c r="F1" s="70"/>
      <c r="G1" s="70"/>
      <c r="H1" s="71"/>
      <c r="I1" s="71"/>
      <c r="J1" s="71"/>
      <c r="K1" s="71"/>
      <c r="L1" s="71"/>
      <c r="M1" s="71"/>
      <c r="N1" s="71"/>
      <c r="O1" s="71"/>
      <c r="P1" s="71"/>
      <c r="Q1" s="71"/>
      <c r="R1" s="71"/>
      <c r="S1" s="71"/>
      <c r="T1" s="71"/>
      <c r="U1" s="71"/>
    </row>
    <row r="2" hidden="1">
      <c r="A2" s="72" t="s">
        <v>212</v>
      </c>
      <c r="B2" s="72"/>
      <c r="C2" s="72"/>
      <c r="D2" s="72"/>
      <c r="E2" s="72"/>
      <c r="F2" s="72"/>
      <c r="G2" s="72"/>
      <c r="H2" s="72"/>
      <c r="I2" s="72"/>
      <c r="J2" s="72"/>
      <c r="K2" s="72"/>
      <c r="L2" s="72"/>
      <c r="M2" s="72"/>
      <c r="N2" s="72"/>
      <c r="O2" s="72"/>
      <c r="P2" s="72"/>
      <c r="Q2" s="72"/>
      <c r="R2" s="72"/>
      <c r="S2" s="72"/>
      <c r="T2" s="72"/>
      <c r="U2" s="72"/>
    </row>
    <row r="3" hidden="1"/>
    <row r="4">
      <c r="A4" s="70" t="s">
        <v>213</v>
      </c>
      <c r="B4" s="73"/>
      <c r="C4" s="73"/>
      <c r="D4" s="73"/>
      <c r="E4" s="70" t="s">
        <v>214</v>
      </c>
      <c r="F4" s="73"/>
      <c r="G4" s="73"/>
      <c r="H4" s="63"/>
      <c r="I4" s="71"/>
      <c r="J4" s="63"/>
      <c r="K4" s="63"/>
      <c r="L4" s="63"/>
      <c r="M4" s="74"/>
      <c r="N4" s="63"/>
      <c r="O4" s="63"/>
      <c r="P4" s="63"/>
    </row>
    <row r="5">
      <c r="A5" s="16" t="s">
        <v>215</v>
      </c>
      <c r="B5" s="75">
        <v>38.0</v>
      </c>
      <c r="D5" s="16" t="s">
        <v>216</v>
      </c>
      <c r="F5" s="75">
        <v>290.0</v>
      </c>
    </row>
    <row r="6">
      <c r="A6" s="16" t="s">
        <v>217</v>
      </c>
      <c r="B6" s="75">
        <v>18.0</v>
      </c>
      <c r="D6" s="16" t="s">
        <v>218</v>
      </c>
      <c r="F6" s="75">
        <v>55.0</v>
      </c>
    </row>
    <row r="7">
      <c r="A7" s="16" t="s">
        <v>220</v>
      </c>
      <c r="B7" s="75">
        <v>12.0</v>
      </c>
      <c r="D7" s="16" t="s">
        <v>221</v>
      </c>
      <c r="F7" s="75">
        <v>45.0</v>
      </c>
    </row>
    <row r="8">
      <c r="A8" s="16" t="s">
        <v>222</v>
      </c>
      <c r="B8" s="75">
        <v>8.0</v>
      </c>
      <c r="D8" s="16" t="s">
        <v>223</v>
      </c>
      <c r="F8" s="76">
        <v>0.05</v>
      </c>
    </row>
    <row r="9">
      <c r="A9" s="16" t="s">
        <v>224</v>
      </c>
      <c r="B9" s="76">
        <v>0.05</v>
      </c>
      <c r="D9" s="16" t="s">
        <v>225</v>
      </c>
      <c r="F9" s="75">
        <v>150000.0</v>
      </c>
    </row>
    <row r="10">
      <c r="A10" s="16" t="s">
        <v>226</v>
      </c>
      <c r="B10" s="75">
        <v>100000.0</v>
      </c>
      <c r="D10" s="16" t="s">
        <v>227</v>
      </c>
      <c r="F10" s="76">
        <v>0.03</v>
      </c>
    </row>
    <row r="11">
      <c r="A11" s="16" t="s">
        <v>228</v>
      </c>
      <c r="B11" s="76">
        <v>0.08</v>
      </c>
    </row>
    <row r="12">
      <c r="A12" s="16" t="s">
        <v>229</v>
      </c>
      <c r="B12" s="76">
        <v>0.03</v>
      </c>
    </row>
    <row r="15">
      <c r="A15" s="70" t="s">
        <v>230</v>
      </c>
      <c r="B15" s="70"/>
      <c r="C15" s="70"/>
      <c r="D15" s="70"/>
      <c r="E15" s="70"/>
      <c r="F15" s="70"/>
      <c r="G15" s="70"/>
      <c r="H15" s="71"/>
      <c r="I15" s="71"/>
      <c r="J15" s="71"/>
      <c r="K15" s="71"/>
      <c r="L15" s="71"/>
      <c r="M15" s="71"/>
      <c r="N15" s="71"/>
      <c r="O15" s="71"/>
      <c r="P15" s="71"/>
      <c r="Q15" s="71"/>
      <c r="R15" s="71"/>
      <c r="S15" s="71"/>
      <c r="T15" s="71"/>
      <c r="U15" s="71"/>
    </row>
    <row r="16">
      <c r="A16" s="64" t="s">
        <v>3</v>
      </c>
      <c r="B16" s="64" t="s">
        <v>231</v>
      </c>
      <c r="C16" s="64" t="s">
        <v>232</v>
      </c>
      <c r="D16" s="64" t="s">
        <v>233</v>
      </c>
      <c r="E16" s="64" t="s">
        <v>234</v>
      </c>
      <c r="F16" s="64" t="s">
        <v>235</v>
      </c>
      <c r="G16" s="64" t="s">
        <v>236</v>
      </c>
    </row>
    <row r="17">
      <c r="A17" s="16">
        <v>2026.0</v>
      </c>
      <c r="B17" s="56">
        <f>SUMIF('Monthly Data'!$B$98:$B$145,$A17,$J$25:$J$72)</f>
        <v>24727570</v>
      </c>
      <c r="C17" s="56">
        <f>SUMIF('Monthly Data'!$B$98:$B$145,$A17,$K$25:$K$72)</f>
        <v>8516640</v>
      </c>
      <c r="D17" s="56">
        <f>SUMIF('Monthly Data'!$B$98:$B$145,$A17,$S$25:$S$72)</f>
        <v>0</v>
      </c>
      <c r="E17" s="56">
        <f>SUMIF('Monthly Data'!$B$98:$B$145,$A17,$T$25:$T$72)</f>
        <v>33244210</v>
      </c>
      <c r="F17" s="56">
        <f>SUMIF('Monthly Data'!$B$98:$B$145,$A17,$B$25:$B$72)</f>
        <v>70972</v>
      </c>
      <c r="G17" s="56">
        <f>SUMIF('Monthly Data'!$B$98:$B$145,$A17,$M$25:$M$72)</f>
        <v>0</v>
      </c>
    </row>
    <row r="18">
      <c r="A18" s="16">
        <v>2027.0</v>
      </c>
      <c r="B18" s="56">
        <f>SUMIF('Monthly Data'!$B$98:$B$145,$A18,$J$25:$J$72)</f>
        <v>28769418</v>
      </c>
      <c r="C18" s="56">
        <f>SUMIF('Monthly Data'!$B$98:$B$145,$A18,$K$25:$K$72)</f>
        <v>11775600</v>
      </c>
      <c r="D18" s="56">
        <f>SUMIF('Monthly Data'!$B$98:$B$145,$A18,$S$25:$S$72)</f>
        <v>11569902</v>
      </c>
      <c r="E18" s="56">
        <f>SUMIF('Monthly Data'!$B$98:$B$145,$A18,$T$25:$T$72)</f>
        <v>52114920</v>
      </c>
      <c r="F18" s="56">
        <f>SUMIF('Monthly Data'!$B$98:$B$145,$A18,$B$25:$B$72)</f>
        <v>98130</v>
      </c>
      <c r="G18" s="56">
        <f>SUMIF('Monthly Data'!$B$98:$B$145,$A18,$M$25:$M$72)</f>
        <v>25233</v>
      </c>
    </row>
    <row r="19">
      <c r="A19" s="16">
        <v>2028.0</v>
      </c>
      <c r="B19" s="56">
        <f>SUMIF('Monthly Data'!$B$98:$B$145,$A19,$J$25:$J$72)</f>
        <v>34130442</v>
      </c>
      <c r="C19" s="56">
        <f>SUMIF('Monthly Data'!$B$98:$B$145,$A19,$K$25:$K$72)</f>
        <v>14637120</v>
      </c>
      <c r="D19" s="56">
        <f>SUMIF('Monthly Data'!$B$98:$B$145,$A19,$S$25:$S$72)</f>
        <v>28156661</v>
      </c>
      <c r="E19" s="56">
        <f>SUMIF('Monthly Data'!$B$98:$B$145,$A19,$T$25:$T$72)</f>
        <v>76924223</v>
      </c>
      <c r="F19" s="56">
        <f>SUMIF('Monthly Data'!$B$98:$B$145,$A19,$B$25:$B$72)</f>
        <v>121976</v>
      </c>
      <c r="G19" s="56">
        <f>SUMIF('Monthly Data'!$B$98:$B$145,$A19,$M$25:$M$72)</f>
        <v>60416</v>
      </c>
    </row>
    <row r="20">
      <c r="A20" s="16">
        <v>2029.0</v>
      </c>
      <c r="B20" s="56">
        <f>SUMIF('Monthly Data'!$B$98:$B$145,$A20,$J$25:$J$72)</f>
        <v>40137181</v>
      </c>
      <c r="C20" s="56">
        <f>SUMIF('Monthly Data'!$B$98:$B$145,$A20,$K$25:$K$72)</f>
        <v>17153880</v>
      </c>
      <c r="D20" s="56">
        <f>SUMIF('Monthly Data'!$B$98:$B$145,$A20,$S$25:$S$72)</f>
        <v>36253979</v>
      </c>
      <c r="E20" s="56">
        <f>SUMIF('Monthly Data'!$B$98:$B$145,$A20,$T$25:$T$72)</f>
        <v>93545040</v>
      </c>
      <c r="F20" s="56">
        <f>SUMIF('Monthly Data'!$B$98:$B$145,$A20,$B$25:$B$72)</f>
        <v>142949</v>
      </c>
      <c r="G20" s="56">
        <f>SUMIF('Monthly Data'!$B$98:$B$145,$A20,$M$25:$M$72)</f>
        <v>76624</v>
      </c>
    </row>
    <row r="22" hidden="1"/>
    <row r="23" hidden="1">
      <c r="A23" s="70" t="s">
        <v>241</v>
      </c>
    </row>
    <row r="24" ht="51.0" hidden="1" customHeight="1">
      <c r="A24" s="52" t="s">
        <v>2</v>
      </c>
      <c r="B24" s="52" t="s">
        <v>235</v>
      </c>
      <c r="C24" s="52" t="s">
        <v>242</v>
      </c>
      <c r="D24" s="52" t="s">
        <v>243</v>
      </c>
      <c r="E24" s="52" t="s">
        <v>244</v>
      </c>
      <c r="F24" s="52" t="s">
        <v>245</v>
      </c>
      <c r="G24" s="52" t="s">
        <v>246</v>
      </c>
      <c r="H24" s="52" t="s">
        <v>247</v>
      </c>
      <c r="I24" s="52" t="s">
        <v>248</v>
      </c>
      <c r="J24" s="52" t="s">
        <v>249</v>
      </c>
      <c r="K24" s="52" t="s">
        <v>250</v>
      </c>
      <c r="L24" s="52" t="s">
        <v>251</v>
      </c>
      <c r="M24" s="77"/>
      <c r="N24" s="52" t="s">
        <v>252</v>
      </c>
      <c r="O24" s="52" t="s">
        <v>253</v>
      </c>
      <c r="P24" s="52" t="s">
        <v>254</v>
      </c>
      <c r="Q24" s="52" t="s">
        <v>255</v>
      </c>
      <c r="R24" s="52" t="s">
        <v>256</v>
      </c>
      <c r="S24" s="52" t="s">
        <v>257</v>
      </c>
      <c r="T24" s="52" t="s">
        <v>258</v>
      </c>
      <c r="U24" s="52" t="s">
        <v>259</v>
      </c>
    </row>
    <row r="25" hidden="1">
      <c r="A25" s="67">
        <f>'Monthly Data'!A98</f>
        <v>46023</v>
      </c>
      <c r="B25" s="68">
        <f>'Revenue &amp; Demand'!C28</f>
        <v>4754</v>
      </c>
      <c r="C25" s="68">
        <f t="shared" ref="C25:C108" si="1">ROUND(B25*$B$5*(1+$B$12)^(YEAR(A25)-2026),0)</f>
        <v>180652</v>
      </c>
      <c r="D25" s="68">
        <f t="shared" ref="D25:D108" si="2">ROUND(B25*$B$6*(1+$B$12)^(YEAR(A25)-2026),0)</f>
        <v>85572</v>
      </c>
      <c r="E25" s="68">
        <f t="shared" ref="E25:E108" si="3">ROUND(B25*$B$7*(1+$B$12)^(YEAR(A25)-2026),0)</f>
        <v>57048</v>
      </c>
      <c r="F25" s="68">
        <f t="shared" ref="F25:F108" si="4">ROUND(B25*$B$8*(1+$B$12)^(YEAR(A25)-2026),0)</f>
        <v>38032</v>
      </c>
      <c r="G25" s="68">
        <f t="shared" ref="G25:G108" si="5">ROUND(SUM(C25:F25)*$B$9,0)</f>
        <v>18065</v>
      </c>
      <c r="H25" s="68">
        <f t="shared" ref="H25:H108" si="6">ROUND($B$10*(1+$B$12)^(YEAR(A25)-2026),0)</f>
        <v>100000</v>
      </c>
      <c r="I25" s="68">
        <f>'Workforce &amp; Expenses'!S50</f>
        <v>1488667</v>
      </c>
      <c r="J25" s="68">
        <f t="shared" ref="J25:J108" si="7">SUM(C25:I25)</f>
        <v>1968036</v>
      </c>
      <c r="K25" s="68">
        <f>ROUND('Revenue &amp; Demand'!F28*$B$11,0)</f>
        <v>570480</v>
      </c>
      <c r="L25" s="68">
        <f t="shared" ref="L25:L108" si="8">SUM(J25:K25)</f>
        <v>2538516</v>
      </c>
      <c r="M25" s="68">
        <f>'Revenue &amp; Demand'!I28</f>
        <v>0</v>
      </c>
      <c r="N25" s="68">
        <f t="shared" ref="N25:N108" si="9">ROUND(M25*$F$5*(1+$F$10)^(YEAR(A25)-2026),0)</f>
        <v>0</v>
      </c>
      <c r="O25" s="68">
        <f t="shared" ref="O25:O108" si="10">ROUND(M25*$F$6*(1+$F$10)^(YEAR(A25)-2026),0)</f>
        <v>0</v>
      </c>
      <c r="P25" s="68">
        <f t="shared" ref="P25:P108" si="11">ROUND(M25*$F$7*(1+$F$10)^(YEAR(A25)-2026),0)</f>
        <v>0</v>
      </c>
      <c r="Q25" s="68">
        <f t="shared" ref="Q25:Q108" si="12">ROUND(SUM(N25:P25)*$F$8,0)</f>
        <v>0</v>
      </c>
      <c r="R25" s="68">
        <f t="shared" ref="R25:R108" si="13">IF(M25&gt;0,ROUND($F$9*(1+$F$10)^(YEAR(A25)-2026),0),0)</f>
        <v>0</v>
      </c>
      <c r="S25" s="68">
        <f t="shared" ref="S25:S108" si="14">SUM(N25:R25)</f>
        <v>0</v>
      </c>
      <c r="T25" s="68">
        <f t="shared" ref="T25:T108" si="15">SUM(L25,S25)</f>
        <v>2538516</v>
      </c>
      <c r="U25" s="68">
        <f t="shared" ref="U25:U72" si="16">T25-L25-S25</f>
        <v>0</v>
      </c>
    </row>
    <row r="26" hidden="1">
      <c r="A26" s="67">
        <f>'Monthly Data'!A99</f>
        <v>46054</v>
      </c>
      <c r="B26" s="68">
        <f>'Revenue &amp; Demand'!C29</f>
        <v>4882</v>
      </c>
      <c r="C26" s="68">
        <f t="shared" si="1"/>
        <v>185516</v>
      </c>
      <c r="D26" s="68">
        <f t="shared" si="2"/>
        <v>87876</v>
      </c>
      <c r="E26" s="68">
        <f t="shared" si="3"/>
        <v>58584</v>
      </c>
      <c r="F26" s="68">
        <f t="shared" si="4"/>
        <v>39056</v>
      </c>
      <c r="G26" s="68">
        <f t="shared" si="5"/>
        <v>18552</v>
      </c>
      <c r="H26" s="68">
        <f t="shared" si="6"/>
        <v>100000</v>
      </c>
      <c r="I26" s="68">
        <f>'Workforce &amp; Expenses'!S51</f>
        <v>1488667</v>
      </c>
      <c r="J26" s="68">
        <f t="shared" si="7"/>
        <v>1978251</v>
      </c>
      <c r="K26" s="68">
        <f>ROUND('Revenue &amp; Demand'!F29*$B$11,0)</f>
        <v>585840</v>
      </c>
      <c r="L26" s="68">
        <f t="shared" si="8"/>
        <v>2564091</v>
      </c>
      <c r="M26" s="68">
        <f>'Revenue &amp; Demand'!I29</f>
        <v>0</v>
      </c>
      <c r="N26" s="68">
        <f t="shared" si="9"/>
        <v>0</v>
      </c>
      <c r="O26" s="68">
        <f t="shared" si="10"/>
        <v>0</v>
      </c>
      <c r="P26" s="68">
        <f t="shared" si="11"/>
        <v>0</v>
      </c>
      <c r="Q26" s="68">
        <f t="shared" si="12"/>
        <v>0</v>
      </c>
      <c r="R26" s="68">
        <f t="shared" si="13"/>
        <v>0</v>
      </c>
      <c r="S26" s="68">
        <f t="shared" si="14"/>
        <v>0</v>
      </c>
      <c r="T26" s="68">
        <f t="shared" si="15"/>
        <v>2564091</v>
      </c>
      <c r="U26" s="68">
        <f t="shared" si="16"/>
        <v>0</v>
      </c>
    </row>
    <row r="27" hidden="1">
      <c r="A27" s="67">
        <f>'Monthly Data'!A100</f>
        <v>46082</v>
      </c>
      <c r="B27" s="68">
        <f>'Revenue &amp; Demand'!C30</f>
        <v>5134</v>
      </c>
      <c r="C27" s="68">
        <f t="shared" si="1"/>
        <v>195092</v>
      </c>
      <c r="D27" s="68">
        <f t="shared" si="2"/>
        <v>92412</v>
      </c>
      <c r="E27" s="68">
        <f t="shared" si="3"/>
        <v>61608</v>
      </c>
      <c r="F27" s="68">
        <f t="shared" si="4"/>
        <v>41072</v>
      </c>
      <c r="G27" s="68">
        <f t="shared" si="5"/>
        <v>19509</v>
      </c>
      <c r="H27" s="68">
        <f t="shared" si="6"/>
        <v>100000</v>
      </c>
      <c r="I27" s="68">
        <f>'Workforce &amp; Expenses'!S52</f>
        <v>1488667</v>
      </c>
      <c r="J27" s="68">
        <f t="shared" si="7"/>
        <v>1998360</v>
      </c>
      <c r="K27" s="68">
        <f>ROUND('Revenue &amp; Demand'!F30*$B$11,0)</f>
        <v>616080</v>
      </c>
      <c r="L27" s="68">
        <f t="shared" si="8"/>
        <v>2614440</v>
      </c>
      <c r="M27" s="68">
        <f>'Revenue &amp; Demand'!I30</f>
        <v>0</v>
      </c>
      <c r="N27" s="68">
        <f t="shared" si="9"/>
        <v>0</v>
      </c>
      <c r="O27" s="68">
        <f t="shared" si="10"/>
        <v>0</v>
      </c>
      <c r="P27" s="68">
        <f t="shared" si="11"/>
        <v>0</v>
      </c>
      <c r="Q27" s="68">
        <f t="shared" si="12"/>
        <v>0</v>
      </c>
      <c r="R27" s="68">
        <f t="shared" si="13"/>
        <v>0</v>
      </c>
      <c r="S27" s="68">
        <f t="shared" si="14"/>
        <v>0</v>
      </c>
      <c r="T27" s="68">
        <f t="shared" si="15"/>
        <v>2614440</v>
      </c>
      <c r="U27" s="68">
        <f t="shared" si="16"/>
        <v>0</v>
      </c>
    </row>
    <row r="28" hidden="1">
      <c r="A28" s="67">
        <f>'Monthly Data'!A101</f>
        <v>46113</v>
      </c>
      <c r="B28" s="68">
        <f>'Revenue &amp; Demand'!C31</f>
        <v>5365</v>
      </c>
      <c r="C28" s="68">
        <f t="shared" si="1"/>
        <v>203870</v>
      </c>
      <c r="D28" s="68">
        <f t="shared" si="2"/>
        <v>96570</v>
      </c>
      <c r="E28" s="68">
        <f t="shared" si="3"/>
        <v>64380</v>
      </c>
      <c r="F28" s="68">
        <f t="shared" si="4"/>
        <v>42920</v>
      </c>
      <c r="G28" s="68">
        <f t="shared" si="5"/>
        <v>20387</v>
      </c>
      <c r="H28" s="68">
        <f t="shared" si="6"/>
        <v>100000</v>
      </c>
      <c r="I28" s="68">
        <f>'Workforce &amp; Expenses'!S53</f>
        <v>1488667</v>
      </c>
      <c r="J28" s="68">
        <f t="shared" si="7"/>
        <v>2016794</v>
      </c>
      <c r="K28" s="68">
        <f>ROUND('Revenue &amp; Demand'!F31*$B$11,0)</f>
        <v>643800</v>
      </c>
      <c r="L28" s="68">
        <f t="shared" si="8"/>
        <v>2660594</v>
      </c>
      <c r="M28" s="68">
        <f>'Revenue &amp; Demand'!I31</f>
        <v>0</v>
      </c>
      <c r="N28" s="68">
        <f t="shared" si="9"/>
        <v>0</v>
      </c>
      <c r="O28" s="68">
        <f t="shared" si="10"/>
        <v>0</v>
      </c>
      <c r="P28" s="68">
        <f t="shared" si="11"/>
        <v>0</v>
      </c>
      <c r="Q28" s="68">
        <f t="shared" si="12"/>
        <v>0</v>
      </c>
      <c r="R28" s="68">
        <f t="shared" si="13"/>
        <v>0</v>
      </c>
      <c r="S28" s="68">
        <f t="shared" si="14"/>
        <v>0</v>
      </c>
      <c r="T28" s="68">
        <f t="shared" si="15"/>
        <v>2660594</v>
      </c>
      <c r="U28" s="68">
        <f t="shared" si="16"/>
        <v>0</v>
      </c>
    </row>
    <row r="29" hidden="1">
      <c r="A29" s="67">
        <f>'Monthly Data'!A102</f>
        <v>46143</v>
      </c>
      <c r="B29" s="68">
        <f>'Revenue &amp; Demand'!C32</f>
        <v>5643</v>
      </c>
      <c r="C29" s="68">
        <f t="shared" si="1"/>
        <v>214434</v>
      </c>
      <c r="D29" s="68">
        <f t="shared" si="2"/>
        <v>101574</v>
      </c>
      <c r="E29" s="68">
        <f t="shared" si="3"/>
        <v>67716</v>
      </c>
      <c r="F29" s="68">
        <f t="shared" si="4"/>
        <v>45144</v>
      </c>
      <c r="G29" s="68">
        <f t="shared" si="5"/>
        <v>21443</v>
      </c>
      <c r="H29" s="68">
        <f t="shared" si="6"/>
        <v>100000</v>
      </c>
      <c r="I29" s="68">
        <f>'Workforce &amp; Expenses'!S54</f>
        <v>1488667</v>
      </c>
      <c r="J29" s="68">
        <f t="shared" si="7"/>
        <v>2038978</v>
      </c>
      <c r="K29" s="68">
        <f>ROUND('Revenue &amp; Demand'!F32*$B$11,0)</f>
        <v>677160</v>
      </c>
      <c r="L29" s="68">
        <f t="shared" si="8"/>
        <v>2716138</v>
      </c>
      <c r="M29" s="68">
        <f>'Revenue &amp; Demand'!I32</f>
        <v>0</v>
      </c>
      <c r="N29" s="68">
        <f t="shared" si="9"/>
        <v>0</v>
      </c>
      <c r="O29" s="68">
        <f t="shared" si="10"/>
        <v>0</v>
      </c>
      <c r="P29" s="68">
        <f t="shared" si="11"/>
        <v>0</v>
      </c>
      <c r="Q29" s="68">
        <f t="shared" si="12"/>
        <v>0</v>
      </c>
      <c r="R29" s="68">
        <f t="shared" si="13"/>
        <v>0</v>
      </c>
      <c r="S29" s="68">
        <f t="shared" si="14"/>
        <v>0</v>
      </c>
      <c r="T29" s="68">
        <f t="shared" si="15"/>
        <v>2716138</v>
      </c>
      <c r="U29" s="68">
        <f t="shared" si="16"/>
        <v>0</v>
      </c>
    </row>
    <row r="30" hidden="1">
      <c r="A30" s="67">
        <f>'Monthly Data'!A103</f>
        <v>46174</v>
      </c>
      <c r="B30" s="68">
        <f>'Revenue &amp; Demand'!C33</f>
        <v>5711</v>
      </c>
      <c r="C30" s="68">
        <f t="shared" si="1"/>
        <v>217018</v>
      </c>
      <c r="D30" s="68">
        <f t="shared" si="2"/>
        <v>102798</v>
      </c>
      <c r="E30" s="68">
        <f t="shared" si="3"/>
        <v>68532</v>
      </c>
      <c r="F30" s="68">
        <f t="shared" si="4"/>
        <v>45688</v>
      </c>
      <c r="G30" s="68">
        <f t="shared" si="5"/>
        <v>21702</v>
      </c>
      <c r="H30" s="68">
        <f t="shared" si="6"/>
        <v>100000</v>
      </c>
      <c r="I30" s="68">
        <f>'Workforce &amp; Expenses'!S55</f>
        <v>1488667</v>
      </c>
      <c r="J30" s="68">
        <f t="shared" si="7"/>
        <v>2044405</v>
      </c>
      <c r="K30" s="68">
        <f>ROUND('Revenue &amp; Demand'!F33*$B$11,0)</f>
        <v>685320</v>
      </c>
      <c r="L30" s="68">
        <f t="shared" si="8"/>
        <v>2729725</v>
      </c>
      <c r="M30" s="68">
        <f>'Revenue &amp; Demand'!I33</f>
        <v>0</v>
      </c>
      <c r="N30" s="68">
        <f t="shared" si="9"/>
        <v>0</v>
      </c>
      <c r="O30" s="68">
        <f t="shared" si="10"/>
        <v>0</v>
      </c>
      <c r="P30" s="68">
        <f t="shared" si="11"/>
        <v>0</v>
      </c>
      <c r="Q30" s="68">
        <f t="shared" si="12"/>
        <v>0</v>
      </c>
      <c r="R30" s="68">
        <f t="shared" si="13"/>
        <v>0</v>
      </c>
      <c r="S30" s="68">
        <f t="shared" si="14"/>
        <v>0</v>
      </c>
      <c r="T30" s="68">
        <f t="shared" si="15"/>
        <v>2729725</v>
      </c>
      <c r="U30" s="68">
        <f t="shared" si="16"/>
        <v>0</v>
      </c>
    </row>
    <row r="31" hidden="1">
      <c r="A31" s="67">
        <f>'Monthly Data'!A104</f>
        <v>46204</v>
      </c>
      <c r="B31" s="68">
        <f>'Revenue &amp; Demand'!C34</f>
        <v>6081</v>
      </c>
      <c r="C31" s="68">
        <f t="shared" si="1"/>
        <v>231078</v>
      </c>
      <c r="D31" s="68">
        <f t="shared" si="2"/>
        <v>109458</v>
      </c>
      <c r="E31" s="68">
        <f t="shared" si="3"/>
        <v>72972</v>
      </c>
      <c r="F31" s="68">
        <f t="shared" si="4"/>
        <v>48648</v>
      </c>
      <c r="G31" s="68">
        <f t="shared" si="5"/>
        <v>23108</v>
      </c>
      <c r="H31" s="68">
        <f t="shared" si="6"/>
        <v>100000</v>
      </c>
      <c r="I31" s="68">
        <f>'Workforce &amp; Expenses'!S56</f>
        <v>1488667</v>
      </c>
      <c r="J31" s="68">
        <f t="shared" si="7"/>
        <v>2073931</v>
      </c>
      <c r="K31" s="68">
        <f>ROUND('Revenue &amp; Demand'!F34*$B$11,0)</f>
        <v>729720</v>
      </c>
      <c r="L31" s="68">
        <f t="shared" si="8"/>
        <v>2803651</v>
      </c>
      <c r="M31" s="68">
        <f>'Revenue &amp; Demand'!I34</f>
        <v>0</v>
      </c>
      <c r="N31" s="68">
        <f t="shared" si="9"/>
        <v>0</v>
      </c>
      <c r="O31" s="68">
        <f t="shared" si="10"/>
        <v>0</v>
      </c>
      <c r="P31" s="68">
        <f t="shared" si="11"/>
        <v>0</v>
      </c>
      <c r="Q31" s="68">
        <f t="shared" si="12"/>
        <v>0</v>
      </c>
      <c r="R31" s="68">
        <f t="shared" si="13"/>
        <v>0</v>
      </c>
      <c r="S31" s="68">
        <f t="shared" si="14"/>
        <v>0</v>
      </c>
      <c r="T31" s="68">
        <f t="shared" si="15"/>
        <v>2803651</v>
      </c>
      <c r="U31" s="68">
        <f t="shared" si="16"/>
        <v>0</v>
      </c>
    </row>
    <row r="32" hidden="1">
      <c r="A32" s="67">
        <f>'Monthly Data'!A105</f>
        <v>46235</v>
      </c>
      <c r="B32" s="68">
        <f>'Revenue &amp; Demand'!C35</f>
        <v>6301</v>
      </c>
      <c r="C32" s="68">
        <f t="shared" si="1"/>
        <v>239438</v>
      </c>
      <c r="D32" s="68">
        <f t="shared" si="2"/>
        <v>113418</v>
      </c>
      <c r="E32" s="68">
        <f t="shared" si="3"/>
        <v>75612</v>
      </c>
      <c r="F32" s="68">
        <f t="shared" si="4"/>
        <v>50408</v>
      </c>
      <c r="G32" s="68">
        <f t="shared" si="5"/>
        <v>23944</v>
      </c>
      <c r="H32" s="68">
        <f t="shared" si="6"/>
        <v>100000</v>
      </c>
      <c r="I32" s="68">
        <f>'Workforce &amp; Expenses'!S57</f>
        <v>1488667</v>
      </c>
      <c r="J32" s="68">
        <f t="shared" si="7"/>
        <v>2091487</v>
      </c>
      <c r="K32" s="68">
        <f>ROUND('Revenue &amp; Demand'!F35*$B$11,0)</f>
        <v>756120</v>
      </c>
      <c r="L32" s="68">
        <f t="shared" si="8"/>
        <v>2847607</v>
      </c>
      <c r="M32" s="68">
        <f>'Revenue &amp; Demand'!I35</f>
        <v>0</v>
      </c>
      <c r="N32" s="68">
        <f t="shared" si="9"/>
        <v>0</v>
      </c>
      <c r="O32" s="68">
        <f t="shared" si="10"/>
        <v>0</v>
      </c>
      <c r="P32" s="68">
        <f t="shared" si="11"/>
        <v>0</v>
      </c>
      <c r="Q32" s="68">
        <f t="shared" si="12"/>
        <v>0</v>
      </c>
      <c r="R32" s="68">
        <f t="shared" si="13"/>
        <v>0</v>
      </c>
      <c r="S32" s="68">
        <f t="shared" si="14"/>
        <v>0</v>
      </c>
      <c r="T32" s="68">
        <f t="shared" si="15"/>
        <v>2847607</v>
      </c>
      <c r="U32" s="68">
        <f t="shared" si="16"/>
        <v>0</v>
      </c>
    </row>
    <row r="33" hidden="1">
      <c r="A33" s="67">
        <f>'Monthly Data'!A106</f>
        <v>46266</v>
      </c>
      <c r="B33" s="68">
        <f>'Revenue &amp; Demand'!C36</f>
        <v>6576</v>
      </c>
      <c r="C33" s="68">
        <f t="shared" si="1"/>
        <v>249888</v>
      </c>
      <c r="D33" s="68">
        <f t="shared" si="2"/>
        <v>118368</v>
      </c>
      <c r="E33" s="68">
        <f t="shared" si="3"/>
        <v>78912</v>
      </c>
      <c r="F33" s="68">
        <f t="shared" si="4"/>
        <v>52608</v>
      </c>
      <c r="G33" s="68">
        <f t="shared" si="5"/>
        <v>24989</v>
      </c>
      <c r="H33" s="68">
        <f t="shared" si="6"/>
        <v>100000</v>
      </c>
      <c r="I33" s="68">
        <f>'Workforce &amp; Expenses'!S58</f>
        <v>1488667</v>
      </c>
      <c r="J33" s="68">
        <f t="shared" si="7"/>
        <v>2113432</v>
      </c>
      <c r="K33" s="68">
        <f>ROUND('Revenue &amp; Demand'!F36*$B$11,0)</f>
        <v>789120</v>
      </c>
      <c r="L33" s="68">
        <f t="shared" si="8"/>
        <v>2902552</v>
      </c>
      <c r="M33" s="68">
        <f>'Revenue &amp; Demand'!I36</f>
        <v>0</v>
      </c>
      <c r="N33" s="68">
        <f t="shared" si="9"/>
        <v>0</v>
      </c>
      <c r="O33" s="68">
        <f t="shared" si="10"/>
        <v>0</v>
      </c>
      <c r="P33" s="68">
        <f t="shared" si="11"/>
        <v>0</v>
      </c>
      <c r="Q33" s="68">
        <f t="shared" si="12"/>
        <v>0</v>
      </c>
      <c r="R33" s="68">
        <f t="shared" si="13"/>
        <v>0</v>
      </c>
      <c r="S33" s="68">
        <f t="shared" si="14"/>
        <v>0</v>
      </c>
      <c r="T33" s="68">
        <f t="shared" si="15"/>
        <v>2902552</v>
      </c>
      <c r="U33" s="68">
        <f t="shared" si="16"/>
        <v>0</v>
      </c>
    </row>
    <row r="34" hidden="1">
      <c r="A34" s="67">
        <f>'Monthly Data'!A107</f>
        <v>46296</v>
      </c>
      <c r="B34" s="68">
        <f>'Revenue &amp; Demand'!C37</f>
        <v>6612</v>
      </c>
      <c r="C34" s="68">
        <f t="shared" si="1"/>
        <v>251256</v>
      </c>
      <c r="D34" s="68">
        <f t="shared" si="2"/>
        <v>119016</v>
      </c>
      <c r="E34" s="68">
        <f t="shared" si="3"/>
        <v>79344</v>
      </c>
      <c r="F34" s="68">
        <f t="shared" si="4"/>
        <v>52896</v>
      </c>
      <c r="G34" s="68">
        <f t="shared" si="5"/>
        <v>25126</v>
      </c>
      <c r="H34" s="68">
        <f t="shared" si="6"/>
        <v>100000</v>
      </c>
      <c r="I34" s="68">
        <f>'Workforce &amp; Expenses'!S59</f>
        <v>1488667</v>
      </c>
      <c r="J34" s="68">
        <f t="shared" si="7"/>
        <v>2116305</v>
      </c>
      <c r="K34" s="68">
        <f>ROUND('Revenue &amp; Demand'!F37*$B$11,0)</f>
        <v>793440</v>
      </c>
      <c r="L34" s="68">
        <f t="shared" si="8"/>
        <v>2909745</v>
      </c>
      <c r="M34" s="68">
        <f>'Revenue &amp; Demand'!I37</f>
        <v>0</v>
      </c>
      <c r="N34" s="68">
        <f t="shared" si="9"/>
        <v>0</v>
      </c>
      <c r="O34" s="68">
        <f t="shared" si="10"/>
        <v>0</v>
      </c>
      <c r="P34" s="68">
        <f t="shared" si="11"/>
        <v>0</v>
      </c>
      <c r="Q34" s="68">
        <f t="shared" si="12"/>
        <v>0</v>
      </c>
      <c r="R34" s="68">
        <f t="shared" si="13"/>
        <v>0</v>
      </c>
      <c r="S34" s="68">
        <f t="shared" si="14"/>
        <v>0</v>
      </c>
      <c r="T34" s="68">
        <f t="shared" si="15"/>
        <v>2909745</v>
      </c>
      <c r="U34" s="68">
        <f t="shared" si="16"/>
        <v>0</v>
      </c>
    </row>
    <row r="35" hidden="1">
      <c r="A35" s="67">
        <f>'Monthly Data'!A108</f>
        <v>46327</v>
      </c>
      <c r="B35" s="68">
        <f>'Revenue &amp; Demand'!C38</f>
        <v>6839</v>
      </c>
      <c r="C35" s="68">
        <f t="shared" si="1"/>
        <v>259882</v>
      </c>
      <c r="D35" s="68">
        <f t="shared" si="2"/>
        <v>123102</v>
      </c>
      <c r="E35" s="68">
        <f t="shared" si="3"/>
        <v>82068</v>
      </c>
      <c r="F35" s="68">
        <f t="shared" si="4"/>
        <v>54712</v>
      </c>
      <c r="G35" s="68">
        <f t="shared" si="5"/>
        <v>25988</v>
      </c>
      <c r="H35" s="68">
        <f t="shared" si="6"/>
        <v>100000</v>
      </c>
      <c r="I35" s="68">
        <f>'Workforce &amp; Expenses'!S60</f>
        <v>1488667</v>
      </c>
      <c r="J35" s="68">
        <f t="shared" si="7"/>
        <v>2134419</v>
      </c>
      <c r="K35" s="68">
        <f>ROUND('Revenue &amp; Demand'!F38*$B$11,0)</f>
        <v>820680</v>
      </c>
      <c r="L35" s="68">
        <f t="shared" si="8"/>
        <v>2955099</v>
      </c>
      <c r="M35" s="68">
        <f>'Revenue &amp; Demand'!I38</f>
        <v>0</v>
      </c>
      <c r="N35" s="68">
        <f t="shared" si="9"/>
        <v>0</v>
      </c>
      <c r="O35" s="68">
        <f t="shared" si="10"/>
        <v>0</v>
      </c>
      <c r="P35" s="68">
        <f t="shared" si="11"/>
        <v>0</v>
      </c>
      <c r="Q35" s="68">
        <f t="shared" si="12"/>
        <v>0</v>
      </c>
      <c r="R35" s="68">
        <f t="shared" si="13"/>
        <v>0</v>
      </c>
      <c r="S35" s="68">
        <f t="shared" si="14"/>
        <v>0</v>
      </c>
      <c r="T35" s="68">
        <f t="shared" si="15"/>
        <v>2955099</v>
      </c>
      <c r="U35" s="68">
        <f t="shared" si="16"/>
        <v>0</v>
      </c>
    </row>
    <row r="36" hidden="1">
      <c r="A36" s="67">
        <f>'Monthly Data'!A109</f>
        <v>46357</v>
      </c>
      <c r="B36" s="68">
        <f>'Revenue &amp; Demand'!C39</f>
        <v>7074</v>
      </c>
      <c r="C36" s="68">
        <f t="shared" si="1"/>
        <v>268812</v>
      </c>
      <c r="D36" s="68">
        <f t="shared" si="2"/>
        <v>127332</v>
      </c>
      <c r="E36" s="68">
        <f t="shared" si="3"/>
        <v>84888</v>
      </c>
      <c r="F36" s="68">
        <f t="shared" si="4"/>
        <v>56592</v>
      </c>
      <c r="G36" s="68">
        <f t="shared" si="5"/>
        <v>26881</v>
      </c>
      <c r="H36" s="68">
        <f t="shared" si="6"/>
        <v>100000</v>
      </c>
      <c r="I36" s="68">
        <f>'Workforce &amp; Expenses'!S61</f>
        <v>1488667</v>
      </c>
      <c r="J36" s="68">
        <f t="shared" si="7"/>
        <v>2153172</v>
      </c>
      <c r="K36" s="68">
        <f>ROUND('Revenue &amp; Demand'!F39*$B$11,0)</f>
        <v>848880</v>
      </c>
      <c r="L36" s="68">
        <f t="shared" si="8"/>
        <v>3002052</v>
      </c>
      <c r="M36" s="68">
        <f>'Revenue &amp; Demand'!I39</f>
        <v>0</v>
      </c>
      <c r="N36" s="68">
        <f t="shared" si="9"/>
        <v>0</v>
      </c>
      <c r="O36" s="68">
        <f t="shared" si="10"/>
        <v>0</v>
      </c>
      <c r="P36" s="68">
        <f t="shared" si="11"/>
        <v>0</v>
      </c>
      <c r="Q36" s="68">
        <f t="shared" si="12"/>
        <v>0</v>
      </c>
      <c r="R36" s="68">
        <f t="shared" si="13"/>
        <v>0</v>
      </c>
      <c r="S36" s="68">
        <f t="shared" si="14"/>
        <v>0</v>
      </c>
      <c r="T36" s="68">
        <f t="shared" si="15"/>
        <v>3002052</v>
      </c>
      <c r="U36" s="68">
        <f t="shared" si="16"/>
        <v>0</v>
      </c>
    </row>
    <row r="37" hidden="1">
      <c r="A37" s="67">
        <f>'Monthly Data'!A110</f>
        <v>46388</v>
      </c>
      <c r="B37" s="68">
        <f>'Revenue &amp; Demand'!C40</f>
        <v>7230</v>
      </c>
      <c r="C37" s="68">
        <f t="shared" si="1"/>
        <v>282982</v>
      </c>
      <c r="D37" s="68">
        <f t="shared" si="2"/>
        <v>134044</v>
      </c>
      <c r="E37" s="68">
        <f t="shared" si="3"/>
        <v>89363</v>
      </c>
      <c r="F37" s="68">
        <f t="shared" si="4"/>
        <v>59575</v>
      </c>
      <c r="G37" s="68">
        <f t="shared" si="5"/>
        <v>28298</v>
      </c>
      <c r="H37" s="68">
        <f t="shared" si="6"/>
        <v>103000</v>
      </c>
      <c r="I37" s="68">
        <f>'Workforce &amp; Expenses'!S62</f>
        <v>1544382</v>
      </c>
      <c r="J37" s="68">
        <f t="shared" si="7"/>
        <v>2241644</v>
      </c>
      <c r="K37" s="68">
        <f>ROUND('Revenue &amp; Demand'!F40*$B$11,0)</f>
        <v>867600</v>
      </c>
      <c r="L37" s="68">
        <f t="shared" si="8"/>
        <v>3109244</v>
      </c>
      <c r="M37" s="68">
        <f>'Revenue &amp; Demand'!I40</f>
        <v>0</v>
      </c>
      <c r="N37" s="68">
        <f t="shared" si="9"/>
        <v>0</v>
      </c>
      <c r="O37" s="68">
        <f t="shared" si="10"/>
        <v>0</v>
      </c>
      <c r="P37" s="68">
        <f t="shared" si="11"/>
        <v>0</v>
      </c>
      <c r="Q37" s="68">
        <f t="shared" si="12"/>
        <v>0</v>
      </c>
      <c r="R37" s="68">
        <f t="shared" si="13"/>
        <v>0</v>
      </c>
      <c r="S37" s="68">
        <f t="shared" si="14"/>
        <v>0</v>
      </c>
      <c r="T37" s="68">
        <f t="shared" si="15"/>
        <v>3109244</v>
      </c>
      <c r="U37" s="68">
        <f t="shared" si="16"/>
        <v>0</v>
      </c>
    </row>
    <row r="38" hidden="1">
      <c r="A38" s="67">
        <f>'Monthly Data'!A111</f>
        <v>46419</v>
      </c>
      <c r="B38" s="68">
        <f>'Revenue &amp; Demand'!C41</f>
        <v>7390</v>
      </c>
      <c r="C38" s="68">
        <f t="shared" si="1"/>
        <v>289245</v>
      </c>
      <c r="D38" s="68">
        <f t="shared" si="2"/>
        <v>137011</v>
      </c>
      <c r="E38" s="68">
        <f t="shared" si="3"/>
        <v>91340</v>
      </c>
      <c r="F38" s="68">
        <f t="shared" si="4"/>
        <v>60894</v>
      </c>
      <c r="G38" s="68">
        <f t="shared" si="5"/>
        <v>28925</v>
      </c>
      <c r="H38" s="68">
        <f t="shared" si="6"/>
        <v>103000</v>
      </c>
      <c r="I38" s="68">
        <f>'Workforce &amp; Expenses'!S63</f>
        <v>1571539</v>
      </c>
      <c r="J38" s="68">
        <f t="shared" si="7"/>
        <v>2281954</v>
      </c>
      <c r="K38" s="68">
        <f>ROUND('Revenue &amp; Demand'!F41*$B$11,0)</f>
        <v>886800</v>
      </c>
      <c r="L38" s="68">
        <f t="shared" si="8"/>
        <v>3168754</v>
      </c>
      <c r="M38" s="68">
        <f>'Revenue &amp; Demand'!I41</f>
        <v>0</v>
      </c>
      <c r="N38" s="68">
        <f t="shared" si="9"/>
        <v>0</v>
      </c>
      <c r="O38" s="68">
        <f t="shared" si="10"/>
        <v>0</v>
      </c>
      <c r="P38" s="68">
        <f t="shared" si="11"/>
        <v>0</v>
      </c>
      <c r="Q38" s="68">
        <f t="shared" si="12"/>
        <v>0</v>
      </c>
      <c r="R38" s="68">
        <f t="shared" si="13"/>
        <v>0</v>
      </c>
      <c r="S38" s="68">
        <f t="shared" si="14"/>
        <v>0</v>
      </c>
      <c r="T38" s="68">
        <f t="shared" si="15"/>
        <v>3168754</v>
      </c>
      <c r="U38" s="68">
        <f t="shared" si="16"/>
        <v>0</v>
      </c>
    </row>
    <row r="39" hidden="1">
      <c r="A39" s="67">
        <f>'Monthly Data'!A112</f>
        <v>46447</v>
      </c>
      <c r="B39" s="68">
        <f>'Revenue &amp; Demand'!C42</f>
        <v>7554</v>
      </c>
      <c r="C39" s="68">
        <f t="shared" si="1"/>
        <v>295664</v>
      </c>
      <c r="D39" s="68">
        <f t="shared" si="2"/>
        <v>140051</v>
      </c>
      <c r="E39" s="68">
        <f t="shared" si="3"/>
        <v>93367</v>
      </c>
      <c r="F39" s="68">
        <f t="shared" si="4"/>
        <v>62245</v>
      </c>
      <c r="G39" s="68">
        <f t="shared" si="5"/>
        <v>29566</v>
      </c>
      <c r="H39" s="68">
        <f t="shared" si="6"/>
        <v>103000</v>
      </c>
      <c r="I39" s="68">
        <f>'Workforce &amp; Expenses'!S64</f>
        <v>1582595</v>
      </c>
      <c r="J39" s="68">
        <f t="shared" si="7"/>
        <v>2306488</v>
      </c>
      <c r="K39" s="68">
        <f>ROUND('Revenue &amp; Demand'!F42*$B$11,0)</f>
        <v>906480</v>
      </c>
      <c r="L39" s="68">
        <f t="shared" si="8"/>
        <v>3212968</v>
      </c>
      <c r="M39" s="68">
        <f>'Revenue &amp; Demand'!I42</f>
        <v>0</v>
      </c>
      <c r="N39" s="68">
        <f t="shared" si="9"/>
        <v>0</v>
      </c>
      <c r="O39" s="68">
        <f t="shared" si="10"/>
        <v>0</v>
      </c>
      <c r="P39" s="68">
        <f t="shared" si="11"/>
        <v>0</v>
      </c>
      <c r="Q39" s="68">
        <f t="shared" si="12"/>
        <v>0</v>
      </c>
      <c r="R39" s="68">
        <f t="shared" si="13"/>
        <v>0</v>
      </c>
      <c r="S39" s="68">
        <f t="shared" si="14"/>
        <v>0</v>
      </c>
      <c r="T39" s="68">
        <f t="shared" si="15"/>
        <v>3212968</v>
      </c>
      <c r="U39" s="68">
        <f t="shared" si="16"/>
        <v>0</v>
      </c>
    </row>
    <row r="40" hidden="1">
      <c r="A40" s="67">
        <f>'Monthly Data'!A113</f>
        <v>46478</v>
      </c>
      <c r="B40" s="68">
        <f>'Revenue &amp; Demand'!C43</f>
        <v>7721</v>
      </c>
      <c r="C40" s="68">
        <f t="shared" si="1"/>
        <v>302200</v>
      </c>
      <c r="D40" s="68">
        <f t="shared" si="2"/>
        <v>143147</v>
      </c>
      <c r="E40" s="68">
        <f t="shared" si="3"/>
        <v>95432</v>
      </c>
      <c r="F40" s="68">
        <f t="shared" si="4"/>
        <v>63621</v>
      </c>
      <c r="G40" s="68">
        <f t="shared" si="5"/>
        <v>30220</v>
      </c>
      <c r="H40" s="68">
        <f t="shared" si="6"/>
        <v>103000</v>
      </c>
      <c r="I40" s="68">
        <f>'Workforce &amp; Expenses'!S65</f>
        <v>1582595</v>
      </c>
      <c r="J40" s="68">
        <f t="shared" si="7"/>
        <v>2320215</v>
      </c>
      <c r="K40" s="68">
        <f>ROUND('Revenue &amp; Demand'!F43*$B$11,0)</f>
        <v>926520</v>
      </c>
      <c r="L40" s="68">
        <f t="shared" si="8"/>
        <v>3246735</v>
      </c>
      <c r="M40" s="68">
        <f>'Revenue &amp; Demand'!I43</f>
        <v>0</v>
      </c>
      <c r="N40" s="68">
        <f t="shared" si="9"/>
        <v>0</v>
      </c>
      <c r="O40" s="68">
        <f t="shared" si="10"/>
        <v>0</v>
      </c>
      <c r="P40" s="68">
        <f t="shared" si="11"/>
        <v>0</v>
      </c>
      <c r="Q40" s="68">
        <f t="shared" si="12"/>
        <v>0</v>
      </c>
      <c r="R40" s="68">
        <f t="shared" si="13"/>
        <v>0</v>
      </c>
      <c r="S40" s="68">
        <f t="shared" si="14"/>
        <v>0</v>
      </c>
      <c r="T40" s="68">
        <f t="shared" si="15"/>
        <v>3246735</v>
      </c>
      <c r="U40" s="68">
        <f t="shared" si="16"/>
        <v>0</v>
      </c>
    </row>
    <row r="41" hidden="1">
      <c r="A41" s="67">
        <f>'Monthly Data'!A114</f>
        <v>46508</v>
      </c>
      <c r="B41" s="68">
        <f>'Revenue &amp; Demand'!C44</f>
        <v>7891</v>
      </c>
      <c r="C41" s="68">
        <f t="shared" si="1"/>
        <v>308854</v>
      </c>
      <c r="D41" s="68">
        <f t="shared" si="2"/>
        <v>146299</v>
      </c>
      <c r="E41" s="68">
        <f t="shared" si="3"/>
        <v>97533</v>
      </c>
      <c r="F41" s="68">
        <f t="shared" si="4"/>
        <v>65022</v>
      </c>
      <c r="G41" s="68">
        <f t="shared" si="5"/>
        <v>30885</v>
      </c>
      <c r="H41" s="68">
        <f t="shared" si="6"/>
        <v>103000</v>
      </c>
      <c r="I41" s="68">
        <f>'Workforce &amp; Expenses'!S66</f>
        <v>1593650</v>
      </c>
      <c r="J41" s="68">
        <f t="shared" si="7"/>
        <v>2345243</v>
      </c>
      <c r="K41" s="68">
        <f>ROUND('Revenue &amp; Demand'!F44*$B$11,0)</f>
        <v>946920</v>
      </c>
      <c r="L41" s="68">
        <f t="shared" si="8"/>
        <v>3292163</v>
      </c>
      <c r="M41" s="68">
        <f>'Revenue &amp; Demand'!I44</f>
        <v>0</v>
      </c>
      <c r="N41" s="68">
        <f t="shared" si="9"/>
        <v>0</v>
      </c>
      <c r="O41" s="68">
        <f t="shared" si="10"/>
        <v>0</v>
      </c>
      <c r="P41" s="68">
        <f t="shared" si="11"/>
        <v>0</v>
      </c>
      <c r="Q41" s="68">
        <f t="shared" si="12"/>
        <v>0</v>
      </c>
      <c r="R41" s="68">
        <f t="shared" si="13"/>
        <v>0</v>
      </c>
      <c r="S41" s="68">
        <f t="shared" si="14"/>
        <v>0</v>
      </c>
      <c r="T41" s="68">
        <f t="shared" si="15"/>
        <v>3292163</v>
      </c>
      <c r="U41" s="68">
        <f t="shared" si="16"/>
        <v>0</v>
      </c>
    </row>
    <row r="42" hidden="1">
      <c r="A42" s="67">
        <f>'Monthly Data'!A115</f>
        <v>46539</v>
      </c>
      <c r="B42" s="68">
        <f>'Revenue &amp; Demand'!C45</f>
        <v>8066</v>
      </c>
      <c r="C42" s="68">
        <f t="shared" si="1"/>
        <v>315703</v>
      </c>
      <c r="D42" s="68">
        <f t="shared" si="2"/>
        <v>149544</v>
      </c>
      <c r="E42" s="68">
        <f t="shared" si="3"/>
        <v>99696</v>
      </c>
      <c r="F42" s="68">
        <f t="shared" si="4"/>
        <v>66464</v>
      </c>
      <c r="G42" s="68">
        <f t="shared" si="5"/>
        <v>31570</v>
      </c>
      <c r="H42" s="68">
        <f t="shared" si="6"/>
        <v>103000</v>
      </c>
      <c r="I42" s="68">
        <f>'Workforce &amp; Expenses'!S67</f>
        <v>1620808</v>
      </c>
      <c r="J42" s="68">
        <f t="shared" si="7"/>
        <v>2386785</v>
      </c>
      <c r="K42" s="68">
        <f>ROUND('Revenue &amp; Demand'!F45*$B$11,0)</f>
        <v>967920</v>
      </c>
      <c r="L42" s="68">
        <f t="shared" si="8"/>
        <v>3354705</v>
      </c>
      <c r="M42" s="68">
        <f>'Revenue &amp; Demand'!I45</f>
        <v>0</v>
      </c>
      <c r="N42" s="68">
        <f t="shared" si="9"/>
        <v>0</v>
      </c>
      <c r="O42" s="68">
        <f t="shared" si="10"/>
        <v>0</v>
      </c>
      <c r="P42" s="68">
        <f t="shared" si="11"/>
        <v>0</v>
      </c>
      <c r="Q42" s="68">
        <f t="shared" si="12"/>
        <v>0</v>
      </c>
      <c r="R42" s="68">
        <f t="shared" si="13"/>
        <v>0</v>
      </c>
      <c r="S42" s="68">
        <f t="shared" si="14"/>
        <v>0</v>
      </c>
      <c r="T42" s="68">
        <f t="shared" si="15"/>
        <v>3354705</v>
      </c>
      <c r="U42" s="68">
        <f t="shared" si="16"/>
        <v>0</v>
      </c>
    </row>
    <row r="43" hidden="1">
      <c r="A43" s="67">
        <f>'Monthly Data'!A116</f>
        <v>46569</v>
      </c>
      <c r="B43" s="68">
        <f>'Revenue &amp; Demand'!C46</f>
        <v>8244</v>
      </c>
      <c r="C43" s="68">
        <f t="shared" si="1"/>
        <v>322670</v>
      </c>
      <c r="D43" s="68">
        <f t="shared" si="2"/>
        <v>152844</v>
      </c>
      <c r="E43" s="68">
        <f t="shared" si="3"/>
        <v>101896</v>
      </c>
      <c r="F43" s="68">
        <f t="shared" si="4"/>
        <v>67931</v>
      </c>
      <c r="G43" s="68">
        <f t="shared" si="5"/>
        <v>32267</v>
      </c>
      <c r="H43" s="68">
        <f t="shared" si="6"/>
        <v>103000</v>
      </c>
      <c r="I43" s="68">
        <f>'Workforce &amp; Expenses'!S68</f>
        <v>1631864</v>
      </c>
      <c r="J43" s="68">
        <f t="shared" si="7"/>
        <v>2412472</v>
      </c>
      <c r="K43" s="68">
        <f>ROUND('Revenue &amp; Demand'!F46*$B$11,0)</f>
        <v>989280</v>
      </c>
      <c r="L43" s="68">
        <f t="shared" si="8"/>
        <v>3401752</v>
      </c>
      <c r="M43" s="68">
        <f>'Revenue &amp; Demand'!I46</f>
        <v>4000</v>
      </c>
      <c r="N43" s="68">
        <f t="shared" si="9"/>
        <v>1194800</v>
      </c>
      <c r="O43" s="68">
        <f t="shared" si="10"/>
        <v>226600</v>
      </c>
      <c r="P43" s="68">
        <f t="shared" si="11"/>
        <v>185400</v>
      </c>
      <c r="Q43" s="68">
        <f t="shared" si="12"/>
        <v>80340</v>
      </c>
      <c r="R43" s="68">
        <f t="shared" si="13"/>
        <v>154500</v>
      </c>
      <c r="S43" s="68">
        <f t="shared" si="14"/>
        <v>1841640</v>
      </c>
      <c r="T43" s="68">
        <f t="shared" si="15"/>
        <v>5243392</v>
      </c>
      <c r="U43" s="68">
        <f t="shared" si="16"/>
        <v>0</v>
      </c>
    </row>
    <row r="44" hidden="1">
      <c r="A44" s="67">
        <f>'Monthly Data'!A117</f>
        <v>46600</v>
      </c>
      <c r="B44" s="68">
        <f>'Revenue &amp; Demand'!C47</f>
        <v>8426</v>
      </c>
      <c r="C44" s="68">
        <f t="shared" si="1"/>
        <v>329794</v>
      </c>
      <c r="D44" s="68">
        <f t="shared" si="2"/>
        <v>156218</v>
      </c>
      <c r="E44" s="68">
        <f t="shared" si="3"/>
        <v>104145</v>
      </c>
      <c r="F44" s="68">
        <f t="shared" si="4"/>
        <v>69430</v>
      </c>
      <c r="G44" s="68">
        <f t="shared" si="5"/>
        <v>32979</v>
      </c>
      <c r="H44" s="68">
        <f t="shared" si="6"/>
        <v>103000</v>
      </c>
      <c r="I44" s="68">
        <f>'Workforce &amp; Expenses'!S69</f>
        <v>1642919</v>
      </c>
      <c r="J44" s="68">
        <f t="shared" si="7"/>
        <v>2438485</v>
      </c>
      <c r="K44" s="68">
        <f>ROUND('Revenue &amp; Demand'!F47*$B$11,0)</f>
        <v>1011120</v>
      </c>
      <c r="L44" s="68">
        <f t="shared" si="8"/>
        <v>3449605</v>
      </c>
      <c r="M44" s="68">
        <f>'Revenue &amp; Demand'!I47</f>
        <v>4080</v>
      </c>
      <c r="N44" s="68">
        <f t="shared" si="9"/>
        <v>1218696</v>
      </c>
      <c r="O44" s="68">
        <f t="shared" si="10"/>
        <v>231132</v>
      </c>
      <c r="P44" s="68">
        <f t="shared" si="11"/>
        <v>189108</v>
      </c>
      <c r="Q44" s="68">
        <f t="shared" si="12"/>
        <v>81947</v>
      </c>
      <c r="R44" s="68">
        <f t="shared" si="13"/>
        <v>154500</v>
      </c>
      <c r="S44" s="68">
        <f t="shared" si="14"/>
        <v>1875383</v>
      </c>
      <c r="T44" s="68">
        <f t="shared" si="15"/>
        <v>5324988</v>
      </c>
      <c r="U44" s="68">
        <f t="shared" si="16"/>
        <v>0</v>
      </c>
    </row>
    <row r="45" hidden="1">
      <c r="A45" s="67">
        <f>'Monthly Data'!A118</f>
        <v>46631</v>
      </c>
      <c r="B45" s="68">
        <f>'Revenue &amp; Demand'!C48</f>
        <v>8612</v>
      </c>
      <c r="C45" s="68">
        <f t="shared" si="1"/>
        <v>337074</v>
      </c>
      <c r="D45" s="68">
        <f t="shared" si="2"/>
        <v>159666</v>
      </c>
      <c r="E45" s="68">
        <f t="shared" si="3"/>
        <v>106444</v>
      </c>
      <c r="F45" s="68">
        <f t="shared" si="4"/>
        <v>70963</v>
      </c>
      <c r="G45" s="68">
        <f t="shared" si="5"/>
        <v>33707</v>
      </c>
      <c r="H45" s="68">
        <f t="shared" si="6"/>
        <v>103000</v>
      </c>
      <c r="I45" s="68">
        <f>'Workforce &amp; Expenses'!S70</f>
        <v>1653974</v>
      </c>
      <c r="J45" s="68">
        <f t="shared" si="7"/>
        <v>2464828</v>
      </c>
      <c r="K45" s="68">
        <f>ROUND('Revenue &amp; Demand'!F48*$B$11,0)</f>
        <v>1033440</v>
      </c>
      <c r="L45" s="68">
        <f t="shared" si="8"/>
        <v>3498268</v>
      </c>
      <c r="M45" s="68">
        <f>'Revenue &amp; Demand'!I48</f>
        <v>4162</v>
      </c>
      <c r="N45" s="68">
        <f t="shared" si="9"/>
        <v>1243189</v>
      </c>
      <c r="O45" s="68">
        <f t="shared" si="10"/>
        <v>235777</v>
      </c>
      <c r="P45" s="68">
        <f t="shared" si="11"/>
        <v>192909</v>
      </c>
      <c r="Q45" s="68">
        <f t="shared" si="12"/>
        <v>83594</v>
      </c>
      <c r="R45" s="68">
        <f t="shared" si="13"/>
        <v>154500</v>
      </c>
      <c r="S45" s="68">
        <f t="shared" si="14"/>
        <v>1909969</v>
      </c>
      <c r="T45" s="68">
        <f t="shared" si="15"/>
        <v>5408237</v>
      </c>
      <c r="U45" s="68">
        <f t="shared" si="16"/>
        <v>0</v>
      </c>
    </row>
    <row r="46" hidden="1">
      <c r="A46" s="67">
        <f>'Monthly Data'!A119</f>
        <v>46661</v>
      </c>
      <c r="B46" s="68">
        <f>'Revenue &amp; Demand'!C49</f>
        <v>8803</v>
      </c>
      <c r="C46" s="68">
        <f t="shared" si="1"/>
        <v>344549</v>
      </c>
      <c r="D46" s="68">
        <f t="shared" si="2"/>
        <v>163208</v>
      </c>
      <c r="E46" s="68">
        <f t="shared" si="3"/>
        <v>108805</v>
      </c>
      <c r="F46" s="68">
        <f t="shared" si="4"/>
        <v>72537</v>
      </c>
      <c r="G46" s="68">
        <f t="shared" si="5"/>
        <v>34455</v>
      </c>
      <c r="H46" s="68">
        <f t="shared" si="6"/>
        <v>103000</v>
      </c>
      <c r="I46" s="68">
        <f>'Workforce &amp; Expenses'!S71</f>
        <v>1670076</v>
      </c>
      <c r="J46" s="68">
        <f t="shared" si="7"/>
        <v>2496630</v>
      </c>
      <c r="K46" s="68">
        <f>ROUND('Revenue &amp; Demand'!F49*$B$11,0)</f>
        <v>1056360</v>
      </c>
      <c r="L46" s="68">
        <f t="shared" si="8"/>
        <v>3552990</v>
      </c>
      <c r="M46" s="68">
        <f>'Revenue &amp; Demand'!I49</f>
        <v>4245</v>
      </c>
      <c r="N46" s="68">
        <f t="shared" si="9"/>
        <v>1267982</v>
      </c>
      <c r="O46" s="68">
        <f t="shared" si="10"/>
        <v>240479</v>
      </c>
      <c r="P46" s="68">
        <f t="shared" si="11"/>
        <v>196756</v>
      </c>
      <c r="Q46" s="68">
        <f t="shared" si="12"/>
        <v>85261</v>
      </c>
      <c r="R46" s="68">
        <f t="shared" si="13"/>
        <v>154500</v>
      </c>
      <c r="S46" s="68">
        <f t="shared" si="14"/>
        <v>1944978</v>
      </c>
      <c r="T46" s="68">
        <f t="shared" si="15"/>
        <v>5497968</v>
      </c>
      <c r="U46" s="68">
        <f t="shared" si="16"/>
        <v>0</v>
      </c>
    </row>
    <row r="47" hidden="1">
      <c r="A47" s="67">
        <f>'Monthly Data'!A120</f>
        <v>46692</v>
      </c>
      <c r="B47" s="68">
        <f>'Revenue &amp; Demand'!C50</f>
        <v>8997</v>
      </c>
      <c r="C47" s="68">
        <f t="shared" si="1"/>
        <v>352143</v>
      </c>
      <c r="D47" s="68">
        <f t="shared" si="2"/>
        <v>166804</v>
      </c>
      <c r="E47" s="68">
        <f t="shared" si="3"/>
        <v>111203</v>
      </c>
      <c r="F47" s="68">
        <f t="shared" si="4"/>
        <v>74135</v>
      </c>
      <c r="G47" s="68">
        <f t="shared" si="5"/>
        <v>35214</v>
      </c>
      <c r="H47" s="68">
        <f t="shared" si="6"/>
        <v>103000</v>
      </c>
      <c r="I47" s="68">
        <f>'Workforce &amp; Expenses'!S72</f>
        <v>1681132</v>
      </c>
      <c r="J47" s="68">
        <f t="shared" si="7"/>
        <v>2523631</v>
      </c>
      <c r="K47" s="68">
        <f>ROUND('Revenue &amp; Demand'!F50*$B$11,0)</f>
        <v>1079640</v>
      </c>
      <c r="L47" s="68">
        <f t="shared" si="8"/>
        <v>3603271</v>
      </c>
      <c r="M47" s="68">
        <f>'Revenue &amp; Demand'!I50</f>
        <v>4330</v>
      </c>
      <c r="N47" s="68">
        <f t="shared" si="9"/>
        <v>1293371</v>
      </c>
      <c r="O47" s="68">
        <f t="shared" si="10"/>
        <v>245295</v>
      </c>
      <c r="P47" s="68">
        <f t="shared" si="11"/>
        <v>200696</v>
      </c>
      <c r="Q47" s="68">
        <f t="shared" si="12"/>
        <v>86968</v>
      </c>
      <c r="R47" s="68">
        <f t="shared" si="13"/>
        <v>154500</v>
      </c>
      <c r="S47" s="68">
        <f t="shared" si="14"/>
        <v>1980830</v>
      </c>
      <c r="T47" s="68">
        <f t="shared" si="15"/>
        <v>5584101</v>
      </c>
      <c r="U47" s="68">
        <f t="shared" si="16"/>
        <v>0</v>
      </c>
    </row>
    <row r="48" hidden="1">
      <c r="A48" s="67">
        <f>'Monthly Data'!A121</f>
        <v>46722</v>
      </c>
      <c r="B48" s="68">
        <f>'Revenue &amp; Demand'!C51</f>
        <v>9196</v>
      </c>
      <c r="C48" s="68">
        <f t="shared" si="1"/>
        <v>359931</v>
      </c>
      <c r="D48" s="68">
        <f t="shared" si="2"/>
        <v>170494</v>
      </c>
      <c r="E48" s="68">
        <f t="shared" si="3"/>
        <v>113663</v>
      </c>
      <c r="F48" s="68">
        <f t="shared" si="4"/>
        <v>75775</v>
      </c>
      <c r="G48" s="68">
        <f t="shared" si="5"/>
        <v>35993</v>
      </c>
      <c r="H48" s="68">
        <f t="shared" si="6"/>
        <v>103000</v>
      </c>
      <c r="I48" s="68">
        <f>'Workforce &amp; Expenses'!S73</f>
        <v>1692187</v>
      </c>
      <c r="J48" s="68">
        <f t="shared" si="7"/>
        <v>2551043</v>
      </c>
      <c r="K48" s="68">
        <f>ROUND('Revenue &amp; Demand'!F51*$B$11,0)</f>
        <v>1103520</v>
      </c>
      <c r="L48" s="68">
        <f t="shared" si="8"/>
        <v>3654563</v>
      </c>
      <c r="M48" s="68">
        <f>'Revenue &amp; Demand'!I51</f>
        <v>4416</v>
      </c>
      <c r="N48" s="68">
        <f t="shared" si="9"/>
        <v>1319059</v>
      </c>
      <c r="O48" s="68">
        <f t="shared" si="10"/>
        <v>250166</v>
      </c>
      <c r="P48" s="68">
        <f t="shared" si="11"/>
        <v>204682</v>
      </c>
      <c r="Q48" s="68">
        <f t="shared" si="12"/>
        <v>88695</v>
      </c>
      <c r="R48" s="68">
        <f t="shared" si="13"/>
        <v>154500</v>
      </c>
      <c r="S48" s="68">
        <f t="shared" si="14"/>
        <v>2017102</v>
      </c>
      <c r="T48" s="68">
        <f t="shared" si="15"/>
        <v>5671665</v>
      </c>
      <c r="U48" s="68">
        <f t="shared" si="16"/>
        <v>0</v>
      </c>
    </row>
    <row r="49" hidden="1">
      <c r="A49" s="67">
        <f>'Monthly Data'!A122</f>
        <v>46753</v>
      </c>
      <c r="B49" s="68">
        <f>'Revenue &amp; Demand'!C52</f>
        <v>9337</v>
      </c>
      <c r="C49" s="68">
        <f t="shared" si="1"/>
        <v>376414</v>
      </c>
      <c r="D49" s="68">
        <f t="shared" si="2"/>
        <v>178301</v>
      </c>
      <c r="E49" s="68">
        <f t="shared" si="3"/>
        <v>118867</v>
      </c>
      <c r="F49" s="68">
        <f t="shared" si="4"/>
        <v>79245</v>
      </c>
      <c r="G49" s="68">
        <f t="shared" si="5"/>
        <v>37641</v>
      </c>
      <c r="H49" s="68">
        <f t="shared" si="6"/>
        <v>106090</v>
      </c>
      <c r="I49" s="68">
        <f>'Workforce &amp; Expenses'!S74</f>
        <v>1754339</v>
      </c>
      <c r="J49" s="68">
        <f t="shared" si="7"/>
        <v>2650897</v>
      </c>
      <c r="K49" s="68">
        <f>ROUND('Revenue &amp; Demand'!F52*$B$11,0)</f>
        <v>1120440</v>
      </c>
      <c r="L49" s="68">
        <f t="shared" si="8"/>
        <v>3771337</v>
      </c>
      <c r="M49" s="68">
        <f>'Revenue &amp; Demand'!I52</f>
        <v>4505</v>
      </c>
      <c r="N49" s="68">
        <f t="shared" si="9"/>
        <v>1386013</v>
      </c>
      <c r="O49" s="68">
        <f t="shared" si="10"/>
        <v>262864</v>
      </c>
      <c r="P49" s="68">
        <f t="shared" si="11"/>
        <v>215071</v>
      </c>
      <c r="Q49" s="68">
        <f t="shared" si="12"/>
        <v>93197</v>
      </c>
      <c r="R49" s="68">
        <f t="shared" si="13"/>
        <v>159135</v>
      </c>
      <c r="S49" s="68">
        <f t="shared" si="14"/>
        <v>2116280</v>
      </c>
      <c r="T49" s="68">
        <f t="shared" si="15"/>
        <v>5887617</v>
      </c>
      <c r="U49" s="68">
        <f t="shared" si="16"/>
        <v>0</v>
      </c>
    </row>
    <row r="50" hidden="1">
      <c r="A50" s="67">
        <f>'Monthly Data'!A123</f>
        <v>46784</v>
      </c>
      <c r="B50" s="68">
        <f>'Revenue &amp; Demand'!C53</f>
        <v>9480</v>
      </c>
      <c r="C50" s="68">
        <f t="shared" si="1"/>
        <v>382179</v>
      </c>
      <c r="D50" s="68">
        <f t="shared" si="2"/>
        <v>181032</v>
      </c>
      <c r="E50" s="68">
        <f t="shared" si="3"/>
        <v>120688</v>
      </c>
      <c r="F50" s="68">
        <f t="shared" si="4"/>
        <v>80459</v>
      </c>
      <c r="G50" s="68">
        <f t="shared" si="5"/>
        <v>38218</v>
      </c>
      <c r="H50" s="68">
        <f t="shared" si="6"/>
        <v>106090</v>
      </c>
      <c r="I50" s="68">
        <f>'Workforce &amp; Expenses'!S75</f>
        <v>1793699</v>
      </c>
      <c r="J50" s="68">
        <f t="shared" si="7"/>
        <v>2702365</v>
      </c>
      <c r="K50" s="68">
        <f>ROUND('Revenue &amp; Demand'!F53*$B$11,0)</f>
        <v>1137600</v>
      </c>
      <c r="L50" s="68">
        <f t="shared" si="8"/>
        <v>3839965</v>
      </c>
      <c r="M50" s="68">
        <f>'Revenue &amp; Demand'!I53</f>
        <v>4595</v>
      </c>
      <c r="N50" s="68">
        <f t="shared" si="9"/>
        <v>1413702</v>
      </c>
      <c r="O50" s="68">
        <f t="shared" si="10"/>
        <v>268116</v>
      </c>
      <c r="P50" s="68">
        <f t="shared" si="11"/>
        <v>219368</v>
      </c>
      <c r="Q50" s="68">
        <f t="shared" si="12"/>
        <v>95059</v>
      </c>
      <c r="R50" s="68">
        <f t="shared" si="13"/>
        <v>159135</v>
      </c>
      <c r="S50" s="68">
        <f t="shared" si="14"/>
        <v>2155380</v>
      </c>
      <c r="T50" s="68">
        <f t="shared" si="15"/>
        <v>5995345</v>
      </c>
      <c r="U50" s="68">
        <f t="shared" si="16"/>
        <v>0</v>
      </c>
    </row>
    <row r="51" hidden="1">
      <c r="A51" s="67">
        <f>'Monthly Data'!A124</f>
        <v>46813</v>
      </c>
      <c r="B51" s="68">
        <f>'Revenue &amp; Demand'!C54</f>
        <v>9625</v>
      </c>
      <c r="C51" s="68">
        <f t="shared" si="1"/>
        <v>388024</v>
      </c>
      <c r="D51" s="68">
        <f t="shared" si="2"/>
        <v>183801</v>
      </c>
      <c r="E51" s="68">
        <f t="shared" si="3"/>
        <v>122534</v>
      </c>
      <c r="F51" s="68">
        <f t="shared" si="4"/>
        <v>81689</v>
      </c>
      <c r="G51" s="68">
        <f t="shared" si="5"/>
        <v>38802</v>
      </c>
      <c r="H51" s="68">
        <f t="shared" si="6"/>
        <v>106090</v>
      </c>
      <c r="I51" s="68">
        <f>'Workforce &amp; Expenses'!S76</f>
        <v>1805086</v>
      </c>
      <c r="J51" s="68">
        <f t="shared" si="7"/>
        <v>2726026</v>
      </c>
      <c r="K51" s="68">
        <f>ROUND('Revenue &amp; Demand'!F54*$B$11,0)</f>
        <v>1155000</v>
      </c>
      <c r="L51" s="68">
        <f t="shared" si="8"/>
        <v>3881026</v>
      </c>
      <c r="M51" s="68">
        <f>'Revenue &amp; Demand'!I54</f>
        <v>4687</v>
      </c>
      <c r="N51" s="68">
        <f t="shared" si="9"/>
        <v>1442007</v>
      </c>
      <c r="O51" s="68">
        <f t="shared" si="10"/>
        <v>273484</v>
      </c>
      <c r="P51" s="68">
        <f t="shared" si="11"/>
        <v>223760</v>
      </c>
      <c r="Q51" s="68">
        <f t="shared" si="12"/>
        <v>96963</v>
      </c>
      <c r="R51" s="68">
        <f t="shared" si="13"/>
        <v>159135</v>
      </c>
      <c r="S51" s="68">
        <f t="shared" si="14"/>
        <v>2195349</v>
      </c>
      <c r="T51" s="68">
        <f t="shared" si="15"/>
        <v>6076375</v>
      </c>
      <c r="U51" s="68">
        <f t="shared" si="16"/>
        <v>0</v>
      </c>
    </row>
    <row r="52" hidden="1">
      <c r="A52" s="67">
        <f>'Monthly Data'!A125</f>
        <v>46844</v>
      </c>
      <c r="B52" s="68">
        <f>'Revenue &amp; Demand'!C55</f>
        <v>9772</v>
      </c>
      <c r="C52" s="68">
        <f t="shared" si="1"/>
        <v>393950</v>
      </c>
      <c r="D52" s="68">
        <f t="shared" si="2"/>
        <v>186608</v>
      </c>
      <c r="E52" s="68">
        <f t="shared" si="3"/>
        <v>124405</v>
      </c>
      <c r="F52" s="68">
        <f t="shared" si="4"/>
        <v>82937</v>
      </c>
      <c r="G52" s="68">
        <f t="shared" si="5"/>
        <v>39395</v>
      </c>
      <c r="H52" s="68">
        <f t="shared" si="6"/>
        <v>106090</v>
      </c>
      <c r="I52" s="68">
        <f>'Workforce &amp; Expenses'!S77</f>
        <v>1816473</v>
      </c>
      <c r="J52" s="68">
        <f t="shared" si="7"/>
        <v>2749858</v>
      </c>
      <c r="K52" s="68">
        <f>ROUND('Revenue &amp; Demand'!F55*$B$11,0)</f>
        <v>1172640</v>
      </c>
      <c r="L52" s="68">
        <f t="shared" si="8"/>
        <v>3922498</v>
      </c>
      <c r="M52" s="68">
        <f>'Revenue &amp; Demand'!I55</f>
        <v>4780</v>
      </c>
      <c r="N52" s="68">
        <f t="shared" si="9"/>
        <v>1470620</v>
      </c>
      <c r="O52" s="68">
        <f t="shared" si="10"/>
        <v>278911</v>
      </c>
      <c r="P52" s="68">
        <f t="shared" si="11"/>
        <v>228200</v>
      </c>
      <c r="Q52" s="68">
        <f t="shared" si="12"/>
        <v>98887</v>
      </c>
      <c r="R52" s="68">
        <f t="shared" si="13"/>
        <v>159135</v>
      </c>
      <c r="S52" s="68">
        <f t="shared" si="14"/>
        <v>2235753</v>
      </c>
      <c r="T52" s="68">
        <f t="shared" si="15"/>
        <v>6158251</v>
      </c>
      <c r="U52" s="68">
        <f t="shared" si="16"/>
        <v>0</v>
      </c>
    </row>
    <row r="53" hidden="1">
      <c r="A53" s="67">
        <f>'Monthly Data'!A126</f>
        <v>46874</v>
      </c>
      <c r="B53" s="68">
        <f>'Revenue &amp; Demand'!C56</f>
        <v>9922</v>
      </c>
      <c r="C53" s="68">
        <f t="shared" si="1"/>
        <v>399997</v>
      </c>
      <c r="D53" s="68">
        <f t="shared" si="2"/>
        <v>189472</v>
      </c>
      <c r="E53" s="68">
        <f t="shared" si="3"/>
        <v>126315</v>
      </c>
      <c r="F53" s="68">
        <f t="shared" si="4"/>
        <v>84210</v>
      </c>
      <c r="G53" s="68">
        <f t="shared" si="5"/>
        <v>40000</v>
      </c>
      <c r="H53" s="68">
        <f t="shared" si="6"/>
        <v>106090</v>
      </c>
      <c r="I53" s="68">
        <f>'Workforce &amp; Expenses'!S78</f>
        <v>1855832</v>
      </c>
      <c r="J53" s="68">
        <f t="shared" si="7"/>
        <v>2801916</v>
      </c>
      <c r="K53" s="68">
        <f>ROUND('Revenue &amp; Demand'!F56*$B$11,0)</f>
        <v>1190640</v>
      </c>
      <c r="L53" s="68">
        <f t="shared" si="8"/>
        <v>3992556</v>
      </c>
      <c r="M53" s="68">
        <f>'Revenue &amp; Demand'!I56</f>
        <v>4876</v>
      </c>
      <c r="N53" s="68">
        <f t="shared" si="9"/>
        <v>1500155</v>
      </c>
      <c r="O53" s="68">
        <f t="shared" si="10"/>
        <v>284512</v>
      </c>
      <c r="P53" s="68">
        <f t="shared" si="11"/>
        <v>232783</v>
      </c>
      <c r="Q53" s="68">
        <f t="shared" si="12"/>
        <v>100873</v>
      </c>
      <c r="R53" s="68">
        <f t="shared" si="13"/>
        <v>159135</v>
      </c>
      <c r="S53" s="68">
        <f t="shared" si="14"/>
        <v>2277458</v>
      </c>
      <c r="T53" s="68">
        <f t="shared" si="15"/>
        <v>6270014</v>
      </c>
      <c r="U53" s="68">
        <f t="shared" si="16"/>
        <v>0</v>
      </c>
    </row>
    <row r="54" hidden="1">
      <c r="A54" s="67">
        <f>'Monthly Data'!A127</f>
        <v>46905</v>
      </c>
      <c r="B54" s="68">
        <f>'Revenue &amp; Demand'!C57</f>
        <v>10074</v>
      </c>
      <c r="C54" s="68">
        <f t="shared" si="1"/>
        <v>406125</v>
      </c>
      <c r="D54" s="68">
        <f t="shared" si="2"/>
        <v>192375</v>
      </c>
      <c r="E54" s="68">
        <f t="shared" si="3"/>
        <v>128250</v>
      </c>
      <c r="F54" s="68">
        <f t="shared" si="4"/>
        <v>85500</v>
      </c>
      <c r="G54" s="68">
        <f t="shared" si="5"/>
        <v>40613</v>
      </c>
      <c r="H54" s="68">
        <f t="shared" si="6"/>
        <v>106090</v>
      </c>
      <c r="I54" s="68">
        <f>'Workforce &amp; Expenses'!S79</f>
        <v>1867219</v>
      </c>
      <c r="J54" s="68">
        <f t="shared" si="7"/>
        <v>2826172</v>
      </c>
      <c r="K54" s="68">
        <f>ROUND('Revenue &amp; Demand'!F57*$B$11,0)</f>
        <v>1208880</v>
      </c>
      <c r="L54" s="68">
        <f t="shared" si="8"/>
        <v>4035052</v>
      </c>
      <c r="M54" s="68">
        <f>'Revenue &amp; Demand'!I57</f>
        <v>4973</v>
      </c>
      <c r="N54" s="68">
        <f t="shared" si="9"/>
        <v>1529998</v>
      </c>
      <c r="O54" s="68">
        <f t="shared" si="10"/>
        <v>290172</v>
      </c>
      <c r="P54" s="68">
        <f t="shared" si="11"/>
        <v>237414</v>
      </c>
      <c r="Q54" s="68">
        <f t="shared" si="12"/>
        <v>102879</v>
      </c>
      <c r="R54" s="68">
        <f t="shared" si="13"/>
        <v>159135</v>
      </c>
      <c r="S54" s="68">
        <f t="shared" si="14"/>
        <v>2319598</v>
      </c>
      <c r="T54" s="68">
        <f t="shared" si="15"/>
        <v>6354650</v>
      </c>
      <c r="U54" s="68">
        <f t="shared" si="16"/>
        <v>0</v>
      </c>
    </row>
    <row r="55" hidden="1">
      <c r="A55" s="67">
        <f>'Monthly Data'!A128</f>
        <v>46935</v>
      </c>
      <c r="B55" s="68">
        <f>'Revenue &amp; Demand'!C58</f>
        <v>10228</v>
      </c>
      <c r="C55" s="68">
        <f t="shared" si="1"/>
        <v>412334</v>
      </c>
      <c r="D55" s="68">
        <f t="shared" si="2"/>
        <v>195316</v>
      </c>
      <c r="E55" s="68">
        <f t="shared" si="3"/>
        <v>130211</v>
      </c>
      <c r="F55" s="68">
        <f t="shared" si="4"/>
        <v>86807</v>
      </c>
      <c r="G55" s="68">
        <f t="shared" si="5"/>
        <v>41233</v>
      </c>
      <c r="H55" s="68">
        <f t="shared" si="6"/>
        <v>106090</v>
      </c>
      <c r="I55" s="68">
        <f>'Workforce &amp; Expenses'!S80</f>
        <v>1878606</v>
      </c>
      <c r="J55" s="68">
        <f t="shared" si="7"/>
        <v>2850597</v>
      </c>
      <c r="K55" s="68">
        <f>ROUND('Revenue &amp; Demand'!F58*$B$11,0)</f>
        <v>1227360</v>
      </c>
      <c r="L55" s="68">
        <f t="shared" si="8"/>
        <v>4077957</v>
      </c>
      <c r="M55" s="68">
        <f>'Revenue &amp; Demand'!I58</f>
        <v>5073</v>
      </c>
      <c r="N55" s="68">
        <f t="shared" si="9"/>
        <v>1560764</v>
      </c>
      <c r="O55" s="68">
        <f t="shared" si="10"/>
        <v>296007</v>
      </c>
      <c r="P55" s="68">
        <f t="shared" si="11"/>
        <v>242188</v>
      </c>
      <c r="Q55" s="68">
        <f t="shared" si="12"/>
        <v>104948</v>
      </c>
      <c r="R55" s="68">
        <f t="shared" si="13"/>
        <v>159135</v>
      </c>
      <c r="S55" s="68">
        <f t="shared" si="14"/>
        <v>2363042</v>
      </c>
      <c r="T55" s="68">
        <f t="shared" si="15"/>
        <v>6440999</v>
      </c>
      <c r="U55" s="68">
        <f t="shared" si="16"/>
        <v>0</v>
      </c>
    </row>
    <row r="56" hidden="1">
      <c r="A56" s="67">
        <f>'Monthly Data'!A129</f>
        <v>46966</v>
      </c>
      <c r="B56" s="68">
        <f>'Revenue &amp; Demand'!C59</f>
        <v>10385</v>
      </c>
      <c r="C56" s="68">
        <f t="shared" si="1"/>
        <v>418663</v>
      </c>
      <c r="D56" s="68">
        <f t="shared" si="2"/>
        <v>198314</v>
      </c>
      <c r="E56" s="68">
        <f t="shared" si="3"/>
        <v>132209</v>
      </c>
      <c r="F56" s="68">
        <f t="shared" si="4"/>
        <v>88140</v>
      </c>
      <c r="G56" s="68">
        <f t="shared" si="5"/>
        <v>41866</v>
      </c>
      <c r="H56" s="68">
        <f t="shared" si="6"/>
        <v>106090</v>
      </c>
      <c r="I56" s="68">
        <f>'Workforce &amp; Expenses'!S81</f>
        <v>1917966</v>
      </c>
      <c r="J56" s="68">
        <f t="shared" si="7"/>
        <v>2903248</v>
      </c>
      <c r="K56" s="68">
        <f>ROUND('Revenue &amp; Demand'!F59*$B$11,0)</f>
        <v>1246200</v>
      </c>
      <c r="L56" s="68">
        <f t="shared" si="8"/>
        <v>4149448</v>
      </c>
      <c r="M56" s="68">
        <f>'Revenue &amp; Demand'!I59</f>
        <v>5174</v>
      </c>
      <c r="N56" s="68">
        <f t="shared" si="9"/>
        <v>1591838</v>
      </c>
      <c r="O56" s="68">
        <f t="shared" si="10"/>
        <v>301900</v>
      </c>
      <c r="P56" s="68">
        <f t="shared" si="11"/>
        <v>247009</v>
      </c>
      <c r="Q56" s="68">
        <f t="shared" si="12"/>
        <v>107037</v>
      </c>
      <c r="R56" s="68">
        <f t="shared" si="13"/>
        <v>159135</v>
      </c>
      <c r="S56" s="68">
        <f t="shared" si="14"/>
        <v>2406919</v>
      </c>
      <c r="T56" s="68">
        <f t="shared" si="15"/>
        <v>6556367</v>
      </c>
      <c r="U56" s="68">
        <f t="shared" si="16"/>
        <v>0</v>
      </c>
    </row>
    <row r="57" hidden="1">
      <c r="A57" s="67">
        <f>'Monthly Data'!A130</f>
        <v>46997</v>
      </c>
      <c r="B57" s="68">
        <f>'Revenue &amp; Demand'!C60</f>
        <v>10544</v>
      </c>
      <c r="C57" s="68">
        <f t="shared" si="1"/>
        <v>425073</v>
      </c>
      <c r="D57" s="68">
        <f t="shared" si="2"/>
        <v>201350</v>
      </c>
      <c r="E57" s="68">
        <f t="shared" si="3"/>
        <v>134234</v>
      </c>
      <c r="F57" s="68">
        <f t="shared" si="4"/>
        <v>89489</v>
      </c>
      <c r="G57" s="68">
        <f t="shared" si="5"/>
        <v>42507</v>
      </c>
      <c r="H57" s="68">
        <f t="shared" si="6"/>
        <v>106090</v>
      </c>
      <c r="I57" s="68">
        <f>'Workforce &amp; Expenses'!S82</f>
        <v>1929353</v>
      </c>
      <c r="J57" s="68">
        <f t="shared" si="7"/>
        <v>2928096</v>
      </c>
      <c r="K57" s="68">
        <f>ROUND('Revenue &amp; Demand'!F60*$B$11,0)</f>
        <v>1265280</v>
      </c>
      <c r="L57" s="68">
        <f t="shared" si="8"/>
        <v>4193376</v>
      </c>
      <c r="M57" s="68">
        <f>'Revenue &amp; Demand'!I60</f>
        <v>5278</v>
      </c>
      <c r="N57" s="68">
        <f t="shared" si="9"/>
        <v>1623835</v>
      </c>
      <c r="O57" s="68">
        <f t="shared" si="10"/>
        <v>307969</v>
      </c>
      <c r="P57" s="68">
        <f t="shared" si="11"/>
        <v>251974</v>
      </c>
      <c r="Q57" s="68">
        <f t="shared" si="12"/>
        <v>109189</v>
      </c>
      <c r="R57" s="68">
        <f t="shared" si="13"/>
        <v>159135</v>
      </c>
      <c r="S57" s="68">
        <f t="shared" si="14"/>
        <v>2452102</v>
      </c>
      <c r="T57" s="68">
        <f t="shared" si="15"/>
        <v>6645478</v>
      </c>
      <c r="U57" s="68">
        <f t="shared" si="16"/>
        <v>0</v>
      </c>
    </row>
    <row r="58" hidden="1">
      <c r="A58" s="67">
        <f>'Monthly Data'!A131</f>
        <v>47027</v>
      </c>
      <c r="B58" s="68">
        <f>'Revenue &amp; Demand'!C61</f>
        <v>10705</v>
      </c>
      <c r="C58" s="68">
        <f t="shared" si="1"/>
        <v>431564</v>
      </c>
      <c r="D58" s="68">
        <f t="shared" si="2"/>
        <v>204425</v>
      </c>
      <c r="E58" s="68">
        <f t="shared" si="3"/>
        <v>136283</v>
      </c>
      <c r="F58" s="68">
        <f t="shared" si="4"/>
        <v>90855</v>
      </c>
      <c r="G58" s="68">
        <f t="shared" si="5"/>
        <v>43156</v>
      </c>
      <c r="H58" s="68">
        <f t="shared" si="6"/>
        <v>106090</v>
      </c>
      <c r="I58" s="68">
        <f>'Workforce &amp; Expenses'!S83</f>
        <v>1940740</v>
      </c>
      <c r="J58" s="68">
        <f t="shared" si="7"/>
        <v>2953113</v>
      </c>
      <c r="K58" s="68">
        <f>ROUND('Revenue &amp; Demand'!F61*$B$11,0)</f>
        <v>1284600</v>
      </c>
      <c r="L58" s="68">
        <f t="shared" si="8"/>
        <v>4237713</v>
      </c>
      <c r="M58" s="68">
        <f>'Revenue &amp; Demand'!I61</f>
        <v>5383</v>
      </c>
      <c r="N58" s="68">
        <f t="shared" si="9"/>
        <v>1656139</v>
      </c>
      <c r="O58" s="68">
        <f t="shared" si="10"/>
        <v>314095</v>
      </c>
      <c r="P58" s="68">
        <f t="shared" si="11"/>
        <v>256987</v>
      </c>
      <c r="Q58" s="68">
        <f t="shared" si="12"/>
        <v>111361</v>
      </c>
      <c r="R58" s="68">
        <f t="shared" si="13"/>
        <v>159135</v>
      </c>
      <c r="S58" s="68">
        <f t="shared" si="14"/>
        <v>2497717</v>
      </c>
      <c r="T58" s="68">
        <f t="shared" si="15"/>
        <v>6735430</v>
      </c>
      <c r="U58" s="68">
        <f t="shared" si="16"/>
        <v>0</v>
      </c>
    </row>
    <row r="59" hidden="1">
      <c r="A59" s="67">
        <f>'Monthly Data'!A132</f>
        <v>47058</v>
      </c>
      <c r="B59" s="68">
        <f>'Revenue &amp; Demand'!C62</f>
        <v>10869</v>
      </c>
      <c r="C59" s="68">
        <f t="shared" si="1"/>
        <v>438175</v>
      </c>
      <c r="D59" s="68">
        <f t="shared" si="2"/>
        <v>207557</v>
      </c>
      <c r="E59" s="68">
        <f t="shared" si="3"/>
        <v>138371</v>
      </c>
      <c r="F59" s="68">
        <f t="shared" si="4"/>
        <v>92247</v>
      </c>
      <c r="G59" s="68">
        <f t="shared" si="5"/>
        <v>43818</v>
      </c>
      <c r="H59" s="68">
        <f t="shared" si="6"/>
        <v>106090</v>
      </c>
      <c r="I59" s="68">
        <f>'Workforce &amp; Expenses'!S84</f>
        <v>1980099</v>
      </c>
      <c r="J59" s="68">
        <f t="shared" si="7"/>
        <v>3006357</v>
      </c>
      <c r="K59" s="68">
        <f>ROUND('Revenue &amp; Demand'!F62*$B$11,0)</f>
        <v>1304280</v>
      </c>
      <c r="L59" s="68">
        <f t="shared" si="8"/>
        <v>4310637</v>
      </c>
      <c r="M59" s="68">
        <f>'Revenue &amp; Demand'!I62</f>
        <v>5491</v>
      </c>
      <c r="N59" s="68">
        <f t="shared" si="9"/>
        <v>1689367</v>
      </c>
      <c r="O59" s="68">
        <f t="shared" si="10"/>
        <v>320397</v>
      </c>
      <c r="P59" s="68">
        <f t="shared" si="11"/>
        <v>262143</v>
      </c>
      <c r="Q59" s="68">
        <f t="shared" si="12"/>
        <v>113595</v>
      </c>
      <c r="R59" s="68">
        <f t="shared" si="13"/>
        <v>159135</v>
      </c>
      <c r="S59" s="68">
        <f t="shared" si="14"/>
        <v>2544637</v>
      </c>
      <c r="T59" s="68">
        <f t="shared" si="15"/>
        <v>6855274</v>
      </c>
      <c r="U59" s="68">
        <f t="shared" si="16"/>
        <v>0</v>
      </c>
    </row>
    <row r="60" hidden="1">
      <c r="A60" s="67">
        <f>'Monthly Data'!A133</f>
        <v>47088</v>
      </c>
      <c r="B60" s="68">
        <f>'Revenue &amp; Demand'!C63</f>
        <v>11035</v>
      </c>
      <c r="C60" s="68">
        <f t="shared" si="1"/>
        <v>444867</v>
      </c>
      <c r="D60" s="68">
        <f t="shared" si="2"/>
        <v>210727</v>
      </c>
      <c r="E60" s="68">
        <f t="shared" si="3"/>
        <v>140484</v>
      </c>
      <c r="F60" s="68">
        <f t="shared" si="4"/>
        <v>93656</v>
      </c>
      <c r="G60" s="68">
        <f t="shared" si="5"/>
        <v>44487</v>
      </c>
      <c r="H60" s="68">
        <f t="shared" si="6"/>
        <v>106090</v>
      </c>
      <c r="I60" s="68">
        <f>'Workforce &amp; Expenses'!S85</f>
        <v>1991486</v>
      </c>
      <c r="J60" s="68">
        <f t="shared" si="7"/>
        <v>3031797</v>
      </c>
      <c r="K60" s="68">
        <f>ROUND('Revenue &amp; Demand'!F63*$B$11,0)</f>
        <v>1324200</v>
      </c>
      <c r="L60" s="68">
        <f t="shared" si="8"/>
        <v>4355997</v>
      </c>
      <c r="M60" s="68">
        <f>'Revenue &amp; Demand'!I63</f>
        <v>5601</v>
      </c>
      <c r="N60" s="68">
        <f t="shared" si="9"/>
        <v>1723209</v>
      </c>
      <c r="O60" s="68">
        <f t="shared" si="10"/>
        <v>326816</v>
      </c>
      <c r="P60" s="68">
        <f t="shared" si="11"/>
        <v>267395</v>
      </c>
      <c r="Q60" s="68">
        <f t="shared" si="12"/>
        <v>115871</v>
      </c>
      <c r="R60" s="68">
        <f t="shared" si="13"/>
        <v>159135</v>
      </c>
      <c r="S60" s="68">
        <f t="shared" si="14"/>
        <v>2592426</v>
      </c>
      <c r="T60" s="68">
        <f t="shared" si="15"/>
        <v>6948423</v>
      </c>
      <c r="U60" s="68">
        <f t="shared" si="16"/>
        <v>0</v>
      </c>
    </row>
    <row r="61" hidden="1">
      <c r="A61" s="67">
        <f>'Monthly Data'!A134</f>
        <v>47119</v>
      </c>
      <c r="B61" s="68">
        <f>'Revenue &amp; Demand'!C64</f>
        <v>11164</v>
      </c>
      <c r="C61" s="68">
        <f t="shared" si="1"/>
        <v>463570</v>
      </c>
      <c r="D61" s="68">
        <f t="shared" si="2"/>
        <v>219586</v>
      </c>
      <c r="E61" s="68">
        <f t="shared" si="3"/>
        <v>146390</v>
      </c>
      <c r="F61" s="68">
        <f t="shared" si="4"/>
        <v>97594</v>
      </c>
      <c r="G61" s="68">
        <f t="shared" si="5"/>
        <v>46357</v>
      </c>
      <c r="H61" s="68">
        <f t="shared" si="6"/>
        <v>109273</v>
      </c>
      <c r="I61" s="68">
        <f>'Workforce &amp; Expenses'!S86</f>
        <v>2062960</v>
      </c>
      <c r="J61" s="68">
        <f t="shared" si="7"/>
        <v>3145730</v>
      </c>
      <c r="K61" s="68">
        <f>ROUND('Revenue &amp; Demand'!F64*$B$11,0)</f>
        <v>1339680</v>
      </c>
      <c r="L61" s="68">
        <f t="shared" si="8"/>
        <v>4485410</v>
      </c>
      <c r="M61" s="68">
        <f>'Revenue &amp; Demand'!I64</f>
        <v>5713</v>
      </c>
      <c r="N61" s="68">
        <f t="shared" si="9"/>
        <v>1810397</v>
      </c>
      <c r="O61" s="68">
        <f t="shared" si="10"/>
        <v>343351</v>
      </c>
      <c r="P61" s="68">
        <f t="shared" si="11"/>
        <v>280924</v>
      </c>
      <c r="Q61" s="68">
        <f t="shared" si="12"/>
        <v>121734</v>
      </c>
      <c r="R61" s="68">
        <f t="shared" si="13"/>
        <v>163909</v>
      </c>
      <c r="S61" s="68">
        <f t="shared" si="14"/>
        <v>2720315</v>
      </c>
      <c r="T61" s="68">
        <f t="shared" si="15"/>
        <v>7205725</v>
      </c>
      <c r="U61" s="68">
        <f t="shared" si="16"/>
        <v>0</v>
      </c>
    </row>
    <row r="62" hidden="1">
      <c r="A62" s="67">
        <f>'Monthly Data'!A135</f>
        <v>47150</v>
      </c>
      <c r="B62" s="68">
        <f>'Revenue &amp; Demand'!C65</f>
        <v>11295</v>
      </c>
      <c r="C62" s="68">
        <f t="shared" si="1"/>
        <v>469009</v>
      </c>
      <c r="D62" s="68">
        <f t="shared" si="2"/>
        <v>222162</v>
      </c>
      <c r="E62" s="68">
        <f t="shared" si="3"/>
        <v>148108</v>
      </c>
      <c r="F62" s="68">
        <f t="shared" si="4"/>
        <v>98739</v>
      </c>
      <c r="G62" s="68">
        <f t="shared" si="5"/>
        <v>46901</v>
      </c>
      <c r="H62" s="68">
        <f t="shared" si="6"/>
        <v>109273</v>
      </c>
      <c r="I62" s="68">
        <f>'Workforce &amp; Expenses'!S87</f>
        <v>2103500</v>
      </c>
      <c r="J62" s="68">
        <f t="shared" si="7"/>
        <v>3197692</v>
      </c>
      <c r="K62" s="68">
        <f>ROUND('Revenue &amp; Demand'!F65*$B$11,0)</f>
        <v>1355400</v>
      </c>
      <c r="L62" s="68">
        <f t="shared" si="8"/>
        <v>4553092</v>
      </c>
      <c r="M62" s="68">
        <f>'Revenue &amp; Demand'!I65</f>
        <v>5827</v>
      </c>
      <c r="N62" s="68">
        <f t="shared" si="9"/>
        <v>1846523</v>
      </c>
      <c r="O62" s="68">
        <f t="shared" si="10"/>
        <v>350203</v>
      </c>
      <c r="P62" s="68">
        <f t="shared" si="11"/>
        <v>286529</v>
      </c>
      <c r="Q62" s="68">
        <f t="shared" si="12"/>
        <v>124163</v>
      </c>
      <c r="R62" s="68">
        <f t="shared" si="13"/>
        <v>163909</v>
      </c>
      <c r="S62" s="68">
        <f t="shared" si="14"/>
        <v>2771327</v>
      </c>
      <c r="T62" s="68">
        <f t="shared" si="15"/>
        <v>7324419</v>
      </c>
      <c r="U62" s="68">
        <f t="shared" si="16"/>
        <v>0</v>
      </c>
    </row>
    <row r="63" hidden="1">
      <c r="A63" s="67">
        <f>'Monthly Data'!A136</f>
        <v>47178</v>
      </c>
      <c r="B63" s="68">
        <f>'Revenue &amp; Demand'!C66</f>
        <v>11427</v>
      </c>
      <c r="C63" s="68">
        <f t="shared" si="1"/>
        <v>474490</v>
      </c>
      <c r="D63" s="68">
        <f t="shared" si="2"/>
        <v>224759</v>
      </c>
      <c r="E63" s="68">
        <f t="shared" si="3"/>
        <v>149839</v>
      </c>
      <c r="F63" s="68">
        <f t="shared" si="4"/>
        <v>99893</v>
      </c>
      <c r="G63" s="68">
        <f t="shared" si="5"/>
        <v>47449</v>
      </c>
      <c r="H63" s="68">
        <f t="shared" si="6"/>
        <v>109273</v>
      </c>
      <c r="I63" s="68">
        <f>'Workforce &amp; Expenses'!S88</f>
        <v>2115228</v>
      </c>
      <c r="J63" s="68">
        <f t="shared" si="7"/>
        <v>3220931</v>
      </c>
      <c r="K63" s="68">
        <f>ROUND('Revenue &amp; Demand'!F66*$B$11,0)</f>
        <v>1371240</v>
      </c>
      <c r="L63" s="68">
        <f t="shared" si="8"/>
        <v>4592171</v>
      </c>
      <c r="M63" s="68">
        <f>'Revenue &amp; Demand'!I66</f>
        <v>5944</v>
      </c>
      <c r="N63" s="68">
        <f t="shared" si="9"/>
        <v>1883599</v>
      </c>
      <c r="O63" s="68">
        <f t="shared" si="10"/>
        <v>357234</v>
      </c>
      <c r="P63" s="68">
        <f t="shared" si="11"/>
        <v>292283</v>
      </c>
      <c r="Q63" s="68">
        <f t="shared" si="12"/>
        <v>126656</v>
      </c>
      <c r="R63" s="68">
        <f t="shared" si="13"/>
        <v>163909</v>
      </c>
      <c r="S63" s="68">
        <f t="shared" si="14"/>
        <v>2823681</v>
      </c>
      <c r="T63" s="68">
        <f t="shared" si="15"/>
        <v>7415852</v>
      </c>
      <c r="U63" s="68">
        <f t="shared" si="16"/>
        <v>0</v>
      </c>
    </row>
    <row r="64" hidden="1">
      <c r="A64" s="67">
        <f>'Monthly Data'!A137</f>
        <v>47209</v>
      </c>
      <c r="B64" s="68">
        <f>'Revenue &amp; Demand'!C67</f>
        <v>11561</v>
      </c>
      <c r="C64" s="68">
        <f t="shared" si="1"/>
        <v>480055</v>
      </c>
      <c r="D64" s="68">
        <f t="shared" si="2"/>
        <v>227394</v>
      </c>
      <c r="E64" s="68">
        <f t="shared" si="3"/>
        <v>151596</v>
      </c>
      <c r="F64" s="68">
        <f t="shared" si="4"/>
        <v>101064</v>
      </c>
      <c r="G64" s="68">
        <f t="shared" si="5"/>
        <v>48005</v>
      </c>
      <c r="H64" s="68">
        <f t="shared" si="6"/>
        <v>109273</v>
      </c>
      <c r="I64" s="68">
        <f>'Workforce &amp; Expenses'!S89</f>
        <v>2138686</v>
      </c>
      <c r="J64" s="68">
        <f t="shared" si="7"/>
        <v>3256073</v>
      </c>
      <c r="K64" s="68">
        <f>ROUND('Revenue &amp; Demand'!F67*$B$11,0)</f>
        <v>1387320</v>
      </c>
      <c r="L64" s="68">
        <f t="shared" si="8"/>
        <v>4643393</v>
      </c>
      <c r="M64" s="68">
        <f>'Revenue &amp; Demand'!I67</f>
        <v>6063</v>
      </c>
      <c r="N64" s="68">
        <f t="shared" si="9"/>
        <v>1921309</v>
      </c>
      <c r="O64" s="68">
        <f t="shared" si="10"/>
        <v>364386</v>
      </c>
      <c r="P64" s="68">
        <f t="shared" si="11"/>
        <v>298134</v>
      </c>
      <c r="Q64" s="68">
        <f t="shared" si="12"/>
        <v>129191</v>
      </c>
      <c r="R64" s="68">
        <f t="shared" si="13"/>
        <v>163909</v>
      </c>
      <c r="S64" s="68">
        <f t="shared" si="14"/>
        <v>2876929</v>
      </c>
      <c r="T64" s="68">
        <f t="shared" si="15"/>
        <v>7520322</v>
      </c>
      <c r="U64" s="68">
        <f t="shared" si="16"/>
        <v>0</v>
      </c>
    </row>
    <row r="65" hidden="1">
      <c r="A65" s="67">
        <f>'Monthly Data'!A138</f>
        <v>47239</v>
      </c>
      <c r="B65" s="68">
        <f>'Revenue &amp; Demand'!C68</f>
        <v>11697</v>
      </c>
      <c r="C65" s="68">
        <f t="shared" si="1"/>
        <v>485702</v>
      </c>
      <c r="D65" s="68">
        <f t="shared" si="2"/>
        <v>230069</v>
      </c>
      <c r="E65" s="68">
        <f t="shared" si="3"/>
        <v>153380</v>
      </c>
      <c r="F65" s="68">
        <f t="shared" si="4"/>
        <v>102253</v>
      </c>
      <c r="G65" s="68">
        <f t="shared" si="5"/>
        <v>48570</v>
      </c>
      <c r="H65" s="68">
        <f t="shared" si="6"/>
        <v>109273</v>
      </c>
      <c r="I65" s="68">
        <f>'Workforce &amp; Expenses'!S90</f>
        <v>2167497</v>
      </c>
      <c r="J65" s="68">
        <f t="shared" si="7"/>
        <v>3296744</v>
      </c>
      <c r="K65" s="68">
        <f>ROUND('Revenue &amp; Demand'!F68*$B$11,0)</f>
        <v>1403640</v>
      </c>
      <c r="L65" s="68">
        <f t="shared" si="8"/>
        <v>4700384</v>
      </c>
      <c r="M65" s="68">
        <f>'Revenue &amp; Demand'!I68</f>
        <v>6184</v>
      </c>
      <c r="N65" s="68">
        <f t="shared" si="9"/>
        <v>1959653</v>
      </c>
      <c r="O65" s="68">
        <f t="shared" si="10"/>
        <v>371658</v>
      </c>
      <c r="P65" s="68">
        <f t="shared" si="11"/>
        <v>304084</v>
      </c>
      <c r="Q65" s="68">
        <f t="shared" si="12"/>
        <v>131770</v>
      </c>
      <c r="R65" s="68">
        <f t="shared" si="13"/>
        <v>163909</v>
      </c>
      <c r="S65" s="68">
        <f t="shared" si="14"/>
        <v>2931074</v>
      </c>
      <c r="T65" s="68">
        <f t="shared" si="15"/>
        <v>7631458</v>
      </c>
      <c r="U65" s="68">
        <f t="shared" si="16"/>
        <v>0</v>
      </c>
    </row>
    <row r="66" hidden="1">
      <c r="A66" s="67">
        <f>'Monthly Data'!A139</f>
        <v>47270</v>
      </c>
      <c r="B66" s="68">
        <f>'Revenue &amp; Demand'!C69</f>
        <v>11834</v>
      </c>
      <c r="C66" s="68">
        <f t="shared" si="1"/>
        <v>491391</v>
      </c>
      <c r="D66" s="68">
        <f t="shared" si="2"/>
        <v>232764</v>
      </c>
      <c r="E66" s="68">
        <f t="shared" si="3"/>
        <v>155176</v>
      </c>
      <c r="F66" s="68">
        <f t="shared" si="4"/>
        <v>103451</v>
      </c>
      <c r="G66" s="68">
        <f t="shared" si="5"/>
        <v>49139</v>
      </c>
      <c r="H66" s="68">
        <f t="shared" si="6"/>
        <v>109273</v>
      </c>
      <c r="I66" s="68">
        <f>'Workforce &amp; Expenses'!S91</f>
        <v>2190954</v>
      </c>
      <c r="J66" s="68">
        <f t="shared" si="7"/>
        <v>3332148</v>
      </c>
      <c r="K66" s="68">
        <f>ROUND('Revenue &amp; Demand'!F69*$B$11,0)</f>
        <v>1420080</v>
      </c>
      <c r="L66" s="68">
        <f t="shared" si="8"/>
        <v>4752228</v>
      </c>
      <c r="M66" s="68">
        <f>'Revenue &amp; Demand'!I69</f>
        <v>6308</v>
      </c>
      <c r="N66" s="68">
        <f t="shared" si="9"/>
        <v>1998947</v>
      </c>
      <c r="O66" s="68">
        <f t="shared" si="10"/>
        <v>379111</v>
      </c>
      <c r="P66" s="68">
        <f t="shared" si="11"/>
        <v>310181</v>
      </c>
      <c r="Q66" s="68">
        <f t="shared" si="12"/>
        <v>134412</v>
      </c>
      <c r="R66" s="68">
        <f t="shared" si="13"/>
        <v>163909</v>
      </c>
      <c r="S66" s="68">
        <f t="shared" si="14"/>
        <v>2986560</v>
      </c>
      <c r="T66" s="68">
        <f t="shared" si="15"/>
        <v>7738788</v>
      </c>
      <c r="U66" s="68">
        <f t="shared" si="16"/>
        <v>0</v>
      </c>
    </row>
    <row r="67" hidden="1">
      <c r="A67" s="67">
        <f>'Monthly Data'!A140</f>
        <v>47300</v>
      </c>
      <c r="B67" s="68">
        <f>'Revenue &amp; Demand'!C70</f>
        <v>11972</v>
      </c>
      <c r="C67" s="68">
        <f t="shared" si="1"/>
        <v>497121</v>
      </c>
      <c r="D67" s="68">
        <f t="shared" si="2"/>
        <v>235478</v>
      </c>
      <c r="E67" s="68">
        <f t="shared" si="3"/>
        <v>156986</v>
      </c>
      <c r="F67" s="68">
        <f t="shared" si="4"/>
        <v>104657</v>
      </c>
      <c r="G67" s="68">
        <f t="shared" si="5"/>
        <v>49712</v>
      </c>
      <c r="H67" s="68">
        <f t="shared" si="6"/>
        <v>109273</v>
      </c>
      <c r="I67" s="68">
        <f>'Workforce &amp; Expenses'!S92</f>
        <v>2202683</v>
      </c>
      <c r="J67" s="68">
        <f t="shared" si="7"/>
        <v>3355910</v>
      </c>
      <c r="K67" s="68">
        <f>ROUND('Revenue &amp; Demand'!F70*$B$11,0)</f>
        <v>1436640</v>
      </c>
      <c r="L67" s="68">
        <f t="shared" si="8"/>
        <v>4792550</v>
      </c>
      <c r="M67" s="68">
        <f>'Revenue &amp; Demand'!I70</f>
        <v>6434</v>
      </c>
      <c r="N67" s="68">
        <f t="shared" si="9"/>
        <v>2038876</v>
      </c>
      <c r="O67" s="68">
        <f t="shared" si="10"/>
        <v>386683</v>
      </c>
      <c r="P67" s="68">
        <f t="shared" si="11"/>
        <v>316377</v>
      </c>
      <c r="Q67" s="68">
        <f t="shared" si="12"/>
        <v>137097</v>
      </c>
      <c r="R67" s="68">
        <f t="shared" si="13"/>
        <v>163909</v>
      </c>
      <c r="S67" s="68">
        <f t="shared" si="14"/>
        <v>3042942</v>
      </c>
      <c r="T67" s="68">
        <f t="shared" si="15"/>
        <v>7835492</v>
      </c>
      <c r="U67" s="68">
        <f t="shared" si="16"/>
        <v>0</v>
      </c>
    </row>
    <row r="68" hidden="1">
      <c r="A68" s="67">
        <f>'Monthly Data'!A141</f>
        <v>47331</v>
      </c>
      <c r="B68" s="68">
        <f>'Revenue &amp; Demand'!C71</f>
        <v>12113</v>
      </c>
      <c r="C68" s="68">
        <f t="shared" si="1"/>
        <v>502976</v>
      </c>
      <c r="D68" s="68">
        <f t="shared" si="2"/>
        <v>238252</v>
      </c>
      <c r="E68" s="68">
        <f t="shared" si="3"/>
        <v>158834</v>
      </c>
      <c r="F68" s="68">
        <f t="shared" si="4"/>
        <v>105890</v>
      </c>
      <c r="G68" s="68">
        <f t="shared" si="5"/>
        <v>50298</v>
      </c>
      <c r="H68" s="68">
        <f t="shared" si="6"/>
        <v>109273</v>
      </c>
      <c r="I68" s="68">
        <f>'Workforce &amp; Expenses'!S93</f>
        <v>2231495</v>
      </c>
      <c r="J68" s="68">
        <f t="shared" si="7"/>
        <v>3397018</v>
      </c>
      <c r="K68" s="68">
        <f>ROUND('Revenue &amp; Demand'!F71*$B$11,0)</f>
        <v>1453560</v>
      </c>
      <c r="L68" s="68">
        <f t="shared" si="8"/>
        <v>4850578</v>
      </c>
      <c r="M68" s="68">
        <f>'Revenue &amp; Demand'!I71</f>
        <v>6562</v>
      </c>
      <c r="N68" s="68">
        <f t="shared" si="9"/>
        <v>2079438</v>
      </c>
      <c r="O68" s="68">
        <f t="shared" si="10"/>
        <v>394376</v>
      </c>
      <c r="P68" s="68">
        <f t="shared" si="11"/>
        <v>322671</v>
      </c>
      <c r="Q68" s="68">
        <f t="shared" si="12"/>
        <v>139824</v>
      </c>
      <c r="R68" s="68">
        <f t="shared" si="13"/>
        <v>163909</v>
      </c>
      <c r="S68" s="68">
        <f t="shared" si="14"/>
        <v>3100218</v>
      </c>
      <c r="T68" s="68">
        <f t="shared" si="15"/>
        <v>7950796</v>
      </c>
      <c r="U68" s="68">
        <f t="shared" si="16"/>
        <v>0</v>
      </c>
    </row>
    <row r="69" hidden="1">
      <c r="A69" s="67">
        <f>'Monthly Data'!A142</f>
        <v>47362</v>
      </c>
      <c r="B69" s="68">
        <f>'Revenue &amp; Demand'!C72</f>
        <v>12255</v>
      </c>
      <c r="C69" s="68">
        <f t="shared" si="1"/>
        <v>508872</v>
      </c>
      <c r="D69" s="68">
        <f t="shared" si="2"/>
        <v>241045</v>
      </c>
      <c r="E69" s="68">
        <f t="shared" si="3"/>
        <v>160696</v>
      </c>
      <c r="F69" s="68">
        <f t="shared" si="4"/>
        <v>107131</v>
      </c>
      <c r="G69" s="68">
        <f t="shared" si="5"/>
        <v>50887</v>
      </c>
      <c r="H69" s="68">
        <f t="shared" si="6"/>
        <v>109273</v>
      </c>
      <c r="I69" s="68">
        <f>'Workforce &amp; Expenses'!S94</f>
        <v>2254952</v>
      </c>
      <c r="J69" s="68">
        <f t="shared" si="7"/>
        <v>3432856</v>
      </c>
      <c r="K69" s="68">
        <f>ROUND('Revenue &amp; Demand'!F72*$B$11,0)</f>
        <v>1470600</v>
      </c>
      <c r="L69" s="68">
        <f t="shared" si="8"/>
        <v>4903456</v>
      </c>
      <c r="M69" s="68">
        <f>'Revenue &amp; Demand'!I72</f>
        <v>6694</v>
      </c>
      <c r="N69" s="68">
        <f t="shared" si="9"/>
        <v>2121267</v>
      </c>
      <c r="O69" s="68">
        <f t="shared" si="10"/>
        <v>402309</v>
      </c>
      <c r="P69" s="68">
        <f t="shared" si="11"/>
        <v>329162</v>
      </c>
      <c r="Q69" s="68">
        <f t="shared" si="12"/>
        <v>142637</v>
      </c>
      <c r="R69" s="68">
        <f t="shared" si="13"/>
        <v>163909</v>
      </c>
      <c r="S69" s="68">
        <f t="shared" si="14"/>
        <v>3159284</v>
      </c>
      <c r="T69" s="68">
        <f t="shared" si="15"/>
        <v>8062740</v>
      </c>
      <c r="U69" s="68">
        <f t="shared" si="16"/>
        <v>0</v>
      </c>
    </row>
    <row r="70" hidden="1">
      <c r="A70" s="67">
        <f>'Monthly Data'!A143</f>
        <v>47392</v>
      </c>
      <c r="B70" s="68">
        <f>'Revenue &amp; Demand'!C73</f>
        <v>12398</v>
      </c>
      <c r="C70" s="68">
        <f t="shared" si="1"/>
        <v>514810</v>
      </c>
      <c r="D70" s="68">
        <f t="shared" si="2"/>
        <v>243857</v>
      </c>
      <c r="E70" s="68">
        <f t="shared" si="3"/>
        <v>162572</v>
      </c>
      <c r="F70" s="68">
        <f t="shared" si="4"/>
        <v>108381</v>
      </c>
      <c r="G70" s="68">
        <f t="shared" si="5"/>
        <v>51481</v>
      </c>
      <c r="H70" s="68">
        <f t="shared" si="6"/>
        <v>109273</v>
      </c>
      <c r="I70" s="68">
        <f>'Workforce &amp; Expenses'!S95</f>
        <v>2266680</v>
      </c>
      <c r="J70" s="68">
        <f t="shared" si="7"/>
        <v>3457054</v>
      </c>
      <c r="K70" s="68">
        <f>ROUND('Revenue &amp; Demand'!F73*$B$11,0)</f>
        <v>1487760</v>
      </c>
      <c r="L70" s="68">
        <f t="shared" si="8"/>
        <v>4944814</v>
      </c>
      <c r="M70" s="68">
        <f>'Revenue &amp; Demand'!I73</f>
        <v>6828</v>
      </c>
      <c r="N70" s="68">
        <f t="shared" si="9"/>
        <v>2163731</v>
      </c>
      <c r="O70" s="68">
        <f t="shared" si="10"/>
        <v>410363</v>
      </c>
      <c r="P70" s="68">
        <f t="shared" si="11"/>
        <v>335751</v>
      </c>
      <c r="Q70" s="68">
        <f t="shared" si="12"/>
        <v>145492</v>
      </c>
      <c r="R70" s="68">
        <f t="shared" si="13"/>
        <v>163909</v>
      </c>
      <c r="S70" s="68">
        <f t="shared" si="14"/>
        <v>3219246</v>
      </c>
      <c r="T70" s="68">
        <f t="shared" si="15"/>
        <v>8164060</v>
      </c>
      <c r="U70" s="68">
        <f t="shared" si="16"/>
        <v>0</v>
      </c>
    </row>
    <row r="71" hidden="1">
      <c r="A71" s="67">
        <f>'Monthly Data'!A144</f>
        <v>47423</v>
      </c>
      <c r="B71" s="68">
        <f>'Revenue &amp; Demand'!C74</f>
        <v>12543</v>
      </c>
      <c r="C71" s="68">
        <f t="shared" si="1"/>
        <v>520831</v>
      </c>
      <c r="D71" s="68">
        <f t="shared" si="2"/>
        <v>246709</v>
      </c>
      <c r="E71" s="68">
        <f t="shared" si="3"/>
        <v>164473</v>
      </c>
      <c r="F71" s="68">
        <f t="shared" si="4"/>
        <v>109649</v>
      </c>
      <c r="G71" s="68">
        <f t="shared" si="5"/>
        <v>52083</v>
      </c>
      <c r="H71" s="68">
        <f t="shared" si="6"/>
        <v>109273</v>
      </c>
      <c r="I71" s="68">
        <f>'Workforce &amp; Expenses'!S96</f>
        <v>2307221</v>
      </c>
      <c r="J71" s="68">
        <f t="shared" si="7"/>
        <v>3510239</v>
      </c>
      <c r="K71" s="68">
        <f>ROUND('Revenue &amp; Demand'!F74*$B$11,0)</f>
        <v>1505160</v>
      </c>
      <c r="L71" s="68">
        <f t="shared" si="8"/>
        <v>5015399</v>
      </c>
      <c r="M71" s="68">
        <f>'Revenue &amp; Demand'!I74</f>
        <v>6964</v>
      </c>
      <c r="N71" s="68">
        <f t="shared" si="9"/>
        <v>2206828</v>
      </c>
      <c r="O71" s="68">
        <f t="shared" si="10"/>
        <v>418536</v>
      </c>
      <c r="P71" s="68">
        <f t="shared" si="11"/>
        <v>342439</v>
      </c>
      <c r="Q71" s="68">
        <f t="shared" si="12"/>
        <v>148390</v>
      </c>
      <c r="R71" s="68">
        <f t="shared" si="13"/>
        <v>163909</v>
      </c>
      <c r="S71" s="68">
        <f t="shared" si="14"/>
        <v>3280102</v>
      </c>
      <c r="T71" s="68">
        <f t="shared" si="15"/>
        <v>8295501</v>
      </c>
      <c r="U71" s="68">
        <f t="shared" si="16"/>
        <v>0</v>
      </c>
    </row>
    <row r="72" hidden="1">
      <c r="A72" s="67">
        <f>'Monthly Data'!A145</f>
        <v>47453</v>
      </c>
      <c r="B72" s="68">
        <f>'Revenue &amp; Demand'!C75</f>
        <v>12690</v>
      </c>
      <c r="C72" s="68">
        <f t="shared" si="1"/>
        <v>526935</v>
      </c>
      <c r="D72" s="68">
        <f t="shared" si="2"/>
        <v>249601</v>
      </c>
      <c r="E72" s="68">
        <f t="shared" si="3"/>
        <v>166400</v>
      </c>
      <c r="F72" s="68">
        <f t="shared" si="4"/>
        <v>110934</v>
      </c>
      <c r="G72" s="68">
        <f t="shared" si="5"/>
        <v>52694</v>
      </c>
      <c r="H72" s="68">
        <f t="shared" si="6"/>
        <v>109273</v>
      </c>
      <c r="I72" s="68">
        <f>'Workforce &amp; Expenses'!S97</f>
        <v>2318949</v>
      </c>
      <c r="J72" s="68">
        <f t="shared" si="7"/>
        <v>3534786</v>
      </c>
      <c r="K72" s="68">
        <f>ROUND('Revenue &amp; Demand'!F75*$B$11,0)</f>
        <v>1522800</v>
      </c>
      <c r="L72" s="68">
        <f t="shared" si="8"/>
        <v>5057586</v>
      </c>
      <c r="M72" s="68">
        <f>'Revenue &amp; Demand'!I75</f>
        <v>7103</v>
      </c>
      <c r="N72" s="68">
        <f t="shared" si="9"/>
        <v>2250876</v>
      </c>
      <c r="O72" s="68">
        <f t="shared" si="10"/>
        <v>426890</v>
      </c>
      <c r="P72" s="68">
        <f t="shared" si="11"/>
        <v>349274</v>
      </c>
      <c r="Q72" s="68">
        <f t="shared" si="12"/>
        <v>151352</v>
      </c>
      <c r="R72" s="68">
        <f t="shared" si="13"/>
        <v>163909</v>
      </c>
      <c r="S72" s="68">
        <f t="shared" si="14"/>
        <v>3342301</v>
      </c>
      <c r="T72" s="68">
        <f t="shared" si="15"/>
        <v>8399887</v>
      </c>
      <c r="U72" s="68">
        <f t="shared" si="16"/>
        <v>0</v>
      </c>
    </row>
    <row r="73" hidden="1">
      <c r="A73" s="67">
        <f>'Monthly Data'!A146</f>
        <v>47484</v>
      </c>
      <c r="B73" s="68">
        <f>'Revenue &amp; Demand'!C76</f>
        <v>12810</v>
      </c>
      <c r="C73" s="68">
        <f t="shared" si="1"/>
        <v>547875</v>
      </c>
      <c r="D73" s="68">
        <f t="shared" si="2"/>
        <v>259520</v>
      </c>
      <c r="E73" s="68">
        <f t="shared" si="3"/>
        <v>173013</v>
      </c>
      <c r="F73" s="68">
        <f t="shared" si="4"/>
        <v>115342</v>
      </c>
      <c r="G73" s="68">
        <f t="shared" si="5"/>
        <v>54788</v>
      </c>
      <c r="H73" s="68">
        <f t="shared" si="6"/>
        <v>112551</v>
      </c>
      <c r="I73" s="68">
        <f>'Workforce &amp; Expenses'!S98</f>
        <v>2400598</v>
      </c>
      <c r="J73" s="68">
        <f t="shared" si="7"/>
        <v>3663687</v>
      </c>
      <c r="K73" s="68">
        <f>ROUND('Revenue &amp; Demand'!F76*$B$11,0)</f>
        <v>1537200</v>
      </c>
      <c r="L73" s="68">
        <f t="shared" si="8"/>
        <v>5200887</v>
      </c>
      <c r="M73" s="68">
        <f>'Revenue &amp; Demand'!I76</f>
        <v>7245</v>
      </c>
      <c r="N73" s="68">
        <f t="shared" si="9"/>
        <v>2364750</v>
      </c>
      <c r="O73" s="68">
        <f t="shared" si="10"/>
        <v>448487</v>
      </c>
      <c r="P73" s="68">
        <f t="shared" si="11"/>
        <v>366944</v>
      </c>
      <c r="Q73" s="68">
        <f t="shared" si="12"/>
        <v>159009</v>
      </c>
      <c r="R73" s="68">
        <f t="shared" si="13"/>
        <v>168826</v>
      </c>
      <c r="S73" s="68">
        <f t="shared" si="14"/>
        <v>3508016</v>
      </c>
      <c r="T73" s="68">
        <f t="shared" si="15"/>
        <v>8708903</v>
      </c>
      <c r="U73" s="68"/>
    </row>
    <row r="74" hidden="1">
      <c r="A74" s="67">
        <f>'Monthly Data'!A147</f>
        <v>47515</v>
      </c>
      <c r="B74" s="68">
        <f>'Revenue &amp; Demand'!C77</f>
        <v>12932</v>
      </c>
      <c r="C74" s="68">
        <f t="shared" si="1"/>
        <v>553093</v>
      </c>
      <c r="D74" s="68">
        <f t="shared" si="2"/>
        <v>261991</v>
      </c>
      <c r="E74" s="68">
        <f t="shared" si="3"/>
        <v>174661</v>
      </c>
      <c r="F74" s="68">
        <f t="shared" si="4"/>
        <v>116441</v>
      </c>
      <c r="G74" s="68">
        <f t="shared" si="5"/>
        <v>55309</v>
      </c>
      <c r="H74" s="68">
        <f t="shared" si="6"/>
        <v>112551</v>
      </c>
      <c r="I74" s="68">
        <f>'Workforce &amp; Expenses'!S99</f>
        <v>2430274</v>
      </c>
      <c r="J74" s="68">
        <f t="shared" si="7"/>
        <v>3704320</v>
      </c>
      <c r="K74" s="68">
        <f>ROUND('Revenue &amp; Demand'!F77*$B$11,0)</f>
        <v>1551840</v>
      </c>
      <c r="L74" s="68">
        <f t="shared" si="8"/>
        <v>5256160</v>
      </c>
      <c r="M74" s="68">
        <f>'Revenue &amp; Demand'!I77</f>
        <v>7390</v>
      </c>
      <c r="N74" s="68">
        <f t="shared" si="9"/>
        <v>2412078</v>
      </c>
      <c r="O74" s="68">
        <f t="shared" si="10"/>
        <v>457463</v>
      </c>
      <c r="P74" s="68">
        <f t="shared" si="11"/>
        <v>374288</v>
      </c>
      <c r="Q74" s="68">
        <f t="shared" si="12"/>
        <v>162191</v>
      </c>
      <c r="R74" s="68">
        <f t="shared" si="13"/>
        <v>168826</v>
      </c>
      <c r="S74" s="68">
        <f t="shared" si="14"/>
        <v>3574846</v>
      </c>
      <c r="T74" s="68">
        <f t="shared" si="15"/>
        <v>8831006</v>
      </c>
      <c r="U74" s="68"/>
    </row>
    <row r="75" hidden="1">
      <c r="A75" s="67">
        <f>'Monthly Data'!A148</f>
        <v>47543</v>
      </c>
      <c r="B75" s="68">
        <f>'Revenue &amp; Demand'!C78</f>
        <v>13055</v>
      </c>
      <c r="C75" s="68">
        <f t="shared" si="1"/>
        <v>558354</v>
      </c>
      <c r="D75" s="68">
        <f t="shared" si="2"/>
        <v>264483</v>
      </c>
      <c r="E75" s="68">
        <f t="shared" si="3"/>
        <v>176322</v>
      </c>
      <c r="F75" s="68">
        <f t="shared" si="4"/>
        <v>117548</v>
      </c>
      <c r="G75" s="68">
        <f t="shared" si="5"/>
        <v>55835</v>
      </c>
      <c r="H75" s="68">
        <f t="shared" si="6"/>
        <v>112551</v>
      </c>
      <c r="I75" s="68">
        <f>'Workforce &amp; Expenses'!S100</f>
        <v>2454434</v>
      </c>
      <c r="J75" s="68">
        <f t="shared" si="7"/>
        <v>3739527</v>
      </c>
      <c r="K75" s="68">
        <f>ROUND('Revenue &amp; Demand'!F78*$B$11,0)</f>
        <v>1566600</v>
      </c>
      <c r="L75" s="68">
        <f t="shared" si="8"/>
        <v>5306127</v>
      </c>
      <c r="M75" s="68">
        <f>'Revenue &amp; Demand'!I78</f>
        <v>7538</v>
      </c>
      <c r="N75" s="68">
        <f t="shared" si="9"/>
        <v>2460385</v>
      </c>
      <c r="O75" s="68">
        <f t="shared" si="10"/>
        <v>466625</v>
      </c>
      <c r="P75" s="68">
        <f t="shared" si="11"/>
        <v>381784</v>
      </c>
      <c r="Q75" s="68">
        <f t="shared" si="12"/>
        <v>165440</v>
      </c>
      <c r="R75" s="68">
        <f t="shared" si="13"/>
        <v>168826</v>
      </c>
      <c r="S75" s="68">
        <f t="shared" si="14"/>
        <v>3643060</v>
      </c>
      <c r="T75" s="68">
        <f t="shared" si="15"/>
        <v>8949187</v>
      </c>
      <c r="U75" s="68"/>
    </row>
    <row r="76" hidden="1">
      <c r="A76" s="67">
        <f>'Monthly Data'!A149</f>
        <v>47574</v>
      </c>
      <c r="B76" s="68">
        <f>'Revenue &amp; Demand'!C79</f>
        <v>13179</v>
      </c>
      <c r="C76" s="68">
        <f t="shared" si="1"/>
        <v>563657</v>
      </c>
      <c r="D76" s="68">
        <f t="shared" si="2"/>
        <v>266995</v>
      </c>
      <c r="E76" s="68">
        <f t="shared" si="3"/>
        <v>177997</v>
      </c>
      <c r="F76" s="68">
        <f t="shared" si="4"/>
        <v>118665</v>
      </c>
      <c r="G76" s="68">
        <f t="shared" si="5"/>
        <v>56366</v>
      </c>
      <c r="H76" s="68">
        <f t="shared" si="6"/>
        <v>112551</v>
      </c>
      <c r="I76" s="68">
        <f>'Workforce &amp; Expenses'!S101</f>
        <v>2466515</v>
      </c>
      <c r="J76" s="68">
        <f t="shared" si="7"/>
        <v>3762746</v>
      </c>
      <c r="K76" s="68">
        <f>ROUND('Revenue &amp; Demand'!F79*$B$11,0)</f>
        <v>1581480</v>
      </c>
      <c r="L76" s="68">
        <f t="shared" si="8"/>
        <v>5344226</v>
      </c>
      <c r="M76" s="68">
        <f>'Revenue &amp; Demand'!I79</f>
        <v>7689</v>
      </c>
      <c r="N76" s="68">
        <f t="shared" si="9"/>
        <v>2509671</v>
      </c>
      <c r="O76" s="68">
        <f t="shared" si="10"/>
        <v>475972</v>
      </c>
      <c r="P76" s="68">
        <f t="shared" si="11"/>
        <v>389432</v>
      </c>
      <c r="Q76" s="68">
        <f t="shared" si="12"/>
        <v>168754</v>
      </c>
      <c r="R76" s="68">
        <f t="shared" si="13"/>
        <v>168826</v>
      </c>
      <c r="S76" s="68">
        <f t="shared" si="14"/>
        <v>3712655</v>
      </c>
      <c r="T76" s="68">
        <f t="shared" si="15"/>
        <v>9056881</v>
      </c>
      <c r="U76" s="68"/>
    </row>
    <row r="77" hidden="1">
      <c r="A77" s="67">
        <f>'Monthly Data'!A150</f>
        <v>47604</v>
      </c>
      <c r="B77" s="68">
        <f>'Revenue &amp; Demand'!C80</f>
        <v>13304</v>
      </c>
      <c r="C77" s="68">
        <f t="shared" si="1"/>
        <v>569003</v>
      </c>
      <c r="D77" s="68">
        <f t="shared" si="2"/>
        <v>269528</v>
      </c>
      <c r="E77" s="68">
        <f t="shared" si="3"/>
        <v>179685</v>
      </c>
      <c r="F77" s="68">
        <f t="shared" si="4"/>
        <v>119790</v>
      </c>
      <c r="G77" s="68">
        <f t="shared" si="5"/>
        <v>56900</v>
      </c>
      <c r="H77" s="68">
        <f t="shared" si="6"/>
        <v>112551</v>
      </c>
      <c r="I77" s="68">
        <f>'Workforce &amp; Expenses'!S102</f>
        <v>2478595</v>
      </c>
      <c r="J77" s="68">
        <f t="shared" si="7"/>
        <v>3786052</v>
      </c>
      <c r="K77" s="68">
        <f>ROUND('Revenue &amp; Demand'!F80*$B$11,0)</f>
        <v>1596480</v>
      </c>
      <c r="L77" s="68">
        <f t="shared" si="8"/>
        <v>5382532</v>
      </c>
      <c r="M77" s="68">
        <f>'Revenue &amp; Demand'!I80</f>
        <v>7843</v>
      </c>
      <c r="N77" s="68">
        <f t="shared" si="9"/>
        <v>2559936</v>
      </c>
      <c r="O77" s="68">
        <f t="shared" si="10"/>
        <v>485505</v>
      </c>
      <c r="P77" s="68">
        <f t="shared" si="11"/>
        <v>397231</v>
      </c>
      <c r="Q77" s="68">
        <f t="shared" si="12"/>
        <v>172134</v>
      </c>
      <c r="R77" s="68">
        <f t="shared" si="13"/>
        <v>168826</v>
      </c>
      <c r="S77" s="68">
        <f t="shared" si="14"/>
        <v>3783632</v>
      </c>
      <c r="T77" s="68">
        <f t="shared" si="15"/>
        <v>9166164</v>
      </c>
      <c r="U77" s="68"/>
    </row>
    <row r="78" hidden="1">
      <c r="A78" s="67">
        <f>'Monthly Data'!A151</f>
        <v>47635</v>
      </c>
      <c r="B78" s="68">
        <f>'Revenue &amp; Demand'!C81</f>
        <v>13430</v>
      </c>
      <c r="C78" s="68">
        <f t="shared" si="1"/>
        <v>574392</v>
      </c>
      <c r="D78" s="68">
        <f t="shared" si="2"/>
        <v>272080</v>
      </c>
      <c r="E78" s="68">
        <f t="shared" si="3"/>
        <v>181387</v>
      </c>
      <c r="F78" s="68">
        <f t="shared" si="4"/>
        <v>120925</v>
      </c>
      <c r="G78" s="68">
        <f t="shared" si="5"/>
        <v>57439</v>
      </c>
      <c r="H78" s="68">
        <f t="shared" si="6"/>
        <v>112551</v>
      </c>
      <c r="I78" s="68">
        <f>'Workforce &amp; Expenses'!S103</f>
        <v>2508272</v>
      </c>
      <c r="J78" s="68">
        <f t="shared" si="7"/>
        <v>3827046</v>
      </c>
      <c r="K78" s="68">
        <f>ROUND('Revenue &amp; Demand'!F81*$B$11,0)</f>
        <v>1611600</v>
      </c>
      <c r="L78" s="68">
        <f t="shared" si="8"/>
        <v>5438646</v>
      </c>
      <c r="M78" s="68">
        <f>'Revenue &amp; Demand'!I81</f>
        <v>8000</v>
      </c>
      <c r="N78" s="68">
        <f t="shared" si="9"/>
        <v>2611180</v>
      </c>
      <c r="O78" s="68">
        <f t="shared" si="10"/>
        <v>495224</v>
      </c>
      <c r="P78" s="68">
        <f t="shared" si="11"/>
        <v>405183</v>
      </c>
      <c r="Q78" s="68">
        <f t="shared" si="12"/>
        <v>175579</v>
      </c>
      <c r="R78" s="68">
        <f t="shared" si="13"/>
        <v>168826</v>
      </c>
      <c r="S78" s="68">
        <f t="shared" si="14"/>
        <v>3855992</v>
      </c>
      <c r="T78" s="68">
        <f t="shared" si="15"/>
        <v>9294638</v>
      </c>
      <c r="U78" s="68"/>
    </row>
    <row r="79" hidden="1">
      <c r="A79" s="67">
        <f>'Monthly Data'!A152</f>
        <v>47665</v>
      </c>
      <c r="B79" s="68">
        <f>'Revenue &amp; Demand'!C82</f>
        <v>13557</v>
      </c>
      <c r="C79" s="68">
        <f t="shared" si="1"/>
        <v>579824</v>
      </c>
      <c r="D79" s="68">
        <f t="shared" si="2"/>
        <v>274653</v>
      </c>
      <c r="E79" s="68">
        <f t="shared" si="3"/>
        <v>183102</v>
      </c>
      <c r="F79" s="68">
        <f t="shared" si="4"/>
        <v>122068</v>
      </c>
      <c r="G79" s="68">
        <f t="shared" si="5"/>
        <v>57982</v>
      </c>
      <c r="H79" s="68">
        <f t="shared" si="6"/>
        <v>112551</v>
      </c>
      <c r="I79" s="68">
        <f>'Workforce &amp; Expenses'!S104</f>
        <v>2520352</v>
      </c>
      <c r="J79" s="68">
        <f t="shared" si="7"/>
        <v>3850532</v>
      </c>
      <c r="K79" s="68">
        <f>ROUND('Revenue &amp; Demand'!F82*$B$11,0)</f>
        <v>1626840</v>
      </c>
      <c r="L79" s="68">
        <f t="shared" si="8"/>
        <v>5477372</v>
      </c>
      <c r="M79" s="68">
        <f>'Revenue &amp; Demand'!I82</f>
        <v>8160</v>
      </c>
      <c r="N79" s="68">
        <f t="shared" si="9"/>
        <v>2663404</v>
      </c>
      <c r="O79" s="68">
        <f t="shared" si="10"/>
        <v>505128</v>
      </c>
      <c r="P79" s="68">
        <f t="shared" si="11"/>
        <v>413287</v>
      </c>
      <c r="Q79" s="68">
        <f t="shared" si="12"/>
        <v>179091</v>
      </c>
      <c r="R79" s="68">
        <f t="shared" si="13"/>
        <v>168826</v>
      </c>
      <c r="S79" s="68">
        <f t="shared" si="14"/>
        <v>3929736</v>
      </c>
      <c r="T79" s="68">
        <f t="shared" si="15"/>
        <v>9407108</v>
      </c>
      <c r="U79" s="68"/>
    </row>
    <row r="80" hidden="1">
      <c r="A80" s="67">
        <f>'Monthly Data'!A153</f>
        <v>47696</v>
      </c>
      <c r="B80" s="68">
        <f>'Revenue &amp; Demand'!C83</f>
        <v>13686</v>
      </c>
      <c r="C80" s="68">
        <f t="shared" si="1"/>
        <v>585341</v>
      </c>
      <c r="D80" s="68">
        <f t="shared" si="2"/>
        <v>277267</v>
      </c>
      <c r="E80" s="68">
        <f t="shared" si="3"/>
        <v>184845</v>
      </c>
      <c r="F80" s="68">
        <f t="shared" si="4"/>
        <v>123230</v>
      </c>
      <c r="G80" s="68">
        <f t="shared" si="5"/>
        <v>58534</v>
      </c>
      <c r="H80" s="68">
        <f t="shared" si="6"/>
        <v>112551</v>
      </c>
      <c r="I80" s="68">
        <f>'Workforce &amp; Expenses'!S105</f>
        <v>2532433</v>
      </c>
      <c r="J80" s="68">
        <f t="shared" si="7"/>
        <v>3874201</v>
      </c>
      <c r="K80" s="68">
        <f>ROUND('Revenue &amp; Demand'!F83*$B$11,0)</f>
        <v>1642320</v>
      </c>
      <c r="L80" s="68">
        <f t="shared" si="8"/>
        <v>5516521</v>
      </c>
      <c r="M80" s="68">
        <f>'Revenue &amp; Demand'!I83</f>
        <v>8323</v>
      </c>
      <c r="N80" s="68">
        <f t="shared" si="9"/>
        <v>2716607</v>
      </c>
      <c r="O80" s="68">
        <f t="shared" si="10"/>
        <v>515219</v>
      </c>
      <c r="P80" s="68">
        <f t="shared" si="11"/>
        <v>421542</v>
      </c>
      <c r="Q80" s="68">
        <f t="shared" si="12"/>
        <v>182668</v>
      </c>
      <c r="R80" s="68">
        <f t="shared" si="13"/>
        <v>168826</v>
      </c>
      <c r="S80" s="68">
        <f t="shared" si="14"/>
        <v>4004862</v>
      </c>
      <c r="T80" s="68">
        <f t="shared" si="15"/>
        <v>9521383</v>
      </c>
      <c r="U80" s="68"/>
    </row>
    <row r="81" hidden="1">
      <c r="A81" s="67">
        <f>'Monthly Data'!A154</f>
        <v>47727</v>
      </c>
      <c r="B81" s="68">
        <f>'Revenue &amp; Demand'!C84</f>
        <v>13816</v>
      </c>
      <c r="C81" s="68">
        <f t="shared" si="1"/>
        <v>590901</v>
      </c>
      <c r="D81" s="68">
        <f t="shared" si="2"/>
        <v>279901</v>
      </c>
      <c r="E81" s="68">
        <f t="shared" si="3"/>
        <v>186600</v>
      </c>
      <c r="F81" s="68">
        <f t="shared" si="4"/>
        <v>124400</v>
      </c>
      <c r="G81" s="68">
        <f t="shared" si="5"/>
        <v>59090</v>
      </c>
      <c r="H81" s="68">
        <f t="shared" si="6"/>
        <v>112551</v>
      </c>
      <c r="I81" s="68">
        <f>'Workforce &amp; Expenses'!S106</f>
        <v>2556594</v>
      </c>
      <c r="J81" s="68">
        <f t="shared" si="7"/>
        <v>3910037</v>
      </c>
      <c r="K81" s="68">
        <f>ROUND('Revenue &amp; Demand'!F84*$B$11,0)</f>
        <v>1657920</v>
      </c>
      <c r="L81" s="68">
        <f t="shared" si="8"/>
        <v>5567957</v>
      </c>
      <c r="M81" s="68">
        <f>'Revenue &amp; Demand'!I84</f>
        <v>8489</v>
      </c>
      <c r="N81" s="68">
        <f t="shared" si="9"/>
        <v>2770789</v>
      </c>
      <c r="O81" s="68">
        <f t="shared" si="10"/>
        <v>525494</v>
      </c>
      <c r="P81" s="68">
        <f t="shared" si="11"/>
        <v>429950</v>
      </c>
      <c r="Q81" s="68">
        <f t="shared" si="12"/>
        <v>186312</v>
      </c>
      <c r="R81" s="68">
        <f t="shared" si="13"/>
        <v>168826</v>
      </c>
      <c r="S81" s="68">
        <f t="shared" si="14"/>
        <v>4081371</v>
      </c>
      <c r="T81" s="68">
        <f t="shared" si="15"/>
        <v>9649328</v>
      </c>
      <c r="U81" s="68"/>
    </row>
    <row r="82" hidden="1">
      <c r="A82" s="67">
        <f>'Monthly Data'!A155</f>
        <v>47757</v>
      </c>
      <c r="B82" s="68">
        <f>'Revenue &amp; Demand'!C85</f>
        <v>13947</v>
      </c>
      <c r="C82" s="68">
        <f t="shared" si="1"/>
        <v>596504</v>
      </c>
      <c r="D82" s="68">
        <f t="shared" si="2"/>
        <v>282554</v>
      </c>
      <c r="E82" s="68">
        <f t="shared" si="3"/>
        <v>188370</v>
      </c>
      <c r="F82" s="68">
        <f t="shared" si="4"/>
        <v>125580</v>
      </c>
      <c r="G82" s="68">
        <f t="shared" si="5"/>
        <v>59650</v>
      </c>
      <c r="H82" s="68">
        <f t="shared" si="6"/>
        <v>112551</v>
      </c>
      <c r="I82" s="68">
        <f>'Workforce &amp; Expenses'!S107</f>
        <v>2586269</v>
      </c>
      <c r="J82" s="68">
        <f t="shared" si="7"/>
        <v>3951478</v>
      </c>
      <c r="K82" s="68">
        <f>ROUND('Revenue &amp; Demand'!F85*$B$11,0)</f>
        <v>1673640</v>
      </c>
      <c r="L82" s="68">
        <f t="shared" si="8"/>
        <v>5625118</v>
      </c>
      <c r="M82" s="68">
        <f>'Revenue &amp; Demand'!I85</f>
        <v>8659</v>
      </c>
      <c r="N82" s="68">
        <f t="shared" si="9"/>
        <v>2826276</v>
      </c>
      <c r="O82" s="68">
        <f t="shared" si="10"/>
        <v>536018</v>
      </c>
      <c r="P82" s="68">
        <f t="shared" si="11"/>
        <v>438560</v>
      </c>
      <c r="Q82" s="68">
        <f t="shared" si="12"/>
        <v>190043</v>
      </c>
      <c r="R82" s="68">
        <f t="shared" si="13"/>
        <v>168826</v>
      </c>
      <c r="S82" s="68">
        <f t="shared" si="14"/>
        <v>4159723</v>
      </c>
      <c r="T82" s="68">
        <f t="shared" si="15"/>
        <v>9784841</v>
      </c>
      <c r="U82" s="68"/>
    </row>
    <row r="83" hidden="1">
      <c r="A83" s="67">
        <f>'Monthly Data'!A156</f>
        <v>47788</v>
      </c>
      <c r="B83" s="68">
        <f>'Revenue &amp; Demand'!C86</f>
        <v>14079</v>
      </c>
      <c r="C83" s="68">
        <f t="shared" si="1"/>
        <v>602149</v>
      </c>
      <c r="D83" s="68">
        <f t="shared" si="2"/>
        <v>285229</v>
      </c>
      <c r="E83" s="68">
        <f t="shared" si="3"/>
        <v>190152</v>
      </c>
      <c r="F83" s="68">
        <f t="shared" si="4"/>
        <v>126768</v>
      </c>
      <c r="G83" s="68">
        <f t="shared" si="5"/>
        <v>60215</v>
      </c>
      <c r="H83" s="68">
        <f t="shared" si="6"/>
        <v>112551</v>
      </c>
      <c r="I83" s="68">
        <f>'Workforce &amp; Expenses'!S108</f>
        <v>2598350</v>
      </c>
      <c r="J83" s="68">
        <f t="shared" si="7"/>
        <v>3975414</v>
      </c>
      <c r="K83" s="68">
        <f>ROUND('Revenue &amp; Demand'!F86*$B$11,0)</f>
        <v>1689480</v>
      </c>
      <c r="L83" s="68">
        <f t="shared" si="8"/>
        <v>5664894</v>
      </c>
      <c r="M83" s="68">
        <f>'Revenue &amp; Demand'!I86</f>
        <v>8832</v>
      </c>
      <c r="N83" s="68">
        <f t="shared" si="9"/>
        <v>2882743</v>
      </c>
      <c r="O83" s="68">
        <f t="shared" si="10"/>
        <v>546727</v>
      </c>
      <c r="P83" s="68">
        <f t="shared" si="11"/>
        <v>447322</v>
      </c>
      <c r="Q83" s="68">
        <f t="shared" si="12"/>
        <v>193840</v>
      </c>
      <c r="R83" s="68">
        <f t="shared" si="13"/>
        <v>168826</v>
      </c>
      <c r="S83" s="68">
        <f t="shared" si="14"/>
        <v>4239458</v>
      </c>
      <c r="T83" s="68">
        <f t="shared" si="15"/>
        <v>9904352</v>
      </c>
      <c r="U83" s="68"/>
    </row>
    <row r="84" hidden="1">
      <c r="A84" s="67">
        <f>'Monthly Data'!A157</f>
        <v>47818</v>
      </c>
      <c r="B84" s="68">
        <f>'Revenue &amp; Demand'!C87</f>
        <v>14213</v>
      </c>
      <c r="C84" s="68">
        <f t="shared" si="1"/>
        <v>607881</v>
      </c>
      <c r="D84" s="68">
        <f t="shared" si="2"/>
        <v>287943</v>
      </c>
      <c r="E84" s="68">
        <f t="shared" si="3"/>
        <v>191962</v>
      </c>
      <c r="F84" s="68">
        <f t="shared" si="4"/>
        <v>127975</v>
      </c>
      <c r="G84" s="68">
        <f t="shared" si="5"/>
        <v>60788</v>
      </c>
      <c r="H84" s="68">
        <f t="shared" si="6"/>
        <v>112551</v>
      </c>
      <c r="I84" s="68">
        <f>'Workforce &amp; Expenses'!S109</f>
        <v>2610430</v>
      </c>
      <c r="J84" s="68">
        <f t="shared" si="7"/>
        <v>3999530</v>
      </c>
      <c r="K84" s="68">
        <f>ROUND('Revenue &amp; Demand'!F87*$B$11,0)</f>
        <v>1705560</v>
      </c>
      <c r="L84" s="68">
        <f t="shared" si="8"/>
        <v>5705090</v>
      </c>
      <c r="M84" s="68">
        <f>'Revenue &amp; Demand'!I87</f>
        <v>9009</v>
      </c>
      <c r="N84" s="68">
        <f t="shared" si="9"/>
        <v>2940516</v>
      </c>
      <c r="O84" s="68">
        <f t="shared" si="10"/>
        <v>557684</v>
      </c>
      <c r="P84" s="68">
        <f t="shared" si="11"/>
        <v>456287</v>
      </c>
      <c r="Q84" s="68">
        <f t="shared" si="12"/>
        <v>197724</v>
      </c>
      <c r="R84" s="68">
        <f t="shared" si="13"/>
        <v>168826</v>
      </c>
      <c r="S84" s="68">
        <f t="shared" si="14"/>
        <v>4321037</v>
      </c>
      <c r="T84" s="68">
        <f t="shared" si="15"/>
        <v>10026127</v>
      </c>
      <c r="U84" s="68"/>
    </row>
    <row r="85" hidden="1">
      <c r="A85" s="67">
        <f>'Monthly Data'!A158</f>
        <v>47849</v>
      </c>
      <c r="B85" s="68">
        <f>'Revenue &amp; Demand'!C88</f>
        <v>14326</v>
      </c>
      <c r="C85" s="68">
        <f t="shared" si="1"/>
        <v>631095</v>
      </c>
      <c r="D85" s="68">
        <f t="shared" si="2"/>
        <v>298940</v>
      </c>
      <c r="E85" s="68">
        <f t="shared" si="3"/>
        <v>199293</v>
      </c>
      <c r="F85" s="68">
        <f t="shared" si="4"/>
        <v>132862</v>
      </c>
      <c r="G85" s="68">
        <f t="shared" si="5"/>
        <v>63110</v>
      </c>
      <c r="H85" s="68">
        <f t="shared" si="6"/>
        <v>115927</v>
      </c>
      <c r="I85" s="68">
        <f>'Workforce &amp; Expenses'!S110</f>
        <v>2701186</v>
      </c>
      <c r="J85" s="68">
        <f t="shared" si="7"/>
        <v>4142413</v>
      </c>
      <c r="K85" s="68">
        <f>ROUND('Revenue &amp; Demand'!F88*$B$11,0)</f>
        <v>1719120</v>
      </c>
      <c r="L85" s="68">
        <f t="shared" si="8"/>
        <v>5861533</v>
      </c>
      <c r="M85" s="68">
        <f>'Revenue &amp; Demand'!I88</f>
        <v>9189</v>
      </c>
      <c r="N85" s="68">
        <f t="shared" si="9"/>
        <v>3089245</v>
      </c>
      <c r="O85" s="68">
        <f t="shared" si="10"/>
        <v>585891</v>
      </c>
      <c r="P85" s="68">
        <f t="shared" si="11"/>
        <v>479366</v>
      </c>
      <c r="Q85" s="68">
        <f t="shared" si="12"/>
        <v>207725</v>
      </c>
      <c r="R85" s="68">
        <f t="shared" si="13"/>
        <v>173891</v>
      </c>
      <c r="S85" s="68">
        <f t="shared" si="14"/>
        <v>4536118</v>
      </c>
      <c r="T85" s="68">
        <f t="shared" si="15"/>
        <v>10397651</v>
      </c>
      <c r="U85" s="68"/>
    </row>
    <row r="86" hidden="1">
      <c r="A86" s="67">
        <f>'Monthly Data'!A159</f>
        <v>47880</v>
      </c>
      <c r="B86" s="68">
        <f>'Revenue &amp; Demand'!C89</f>
        <v>14441</v>
      </c>
      <c r="C86" s="68">
        <f t="shared" si="1"/>
        <v>636161</v>
      </c>
      <c r="D86" s="68">
        <f t="shared" si="2"/>
        <v>301339</v>
      </c>
      <c r="E86" s="68">
        <f t="shared" si="3"/>
        <v>200893</v>
      </c>
      <c r="F86" s="68">
        <f t="shared" si="4"/>
        <v>133929</v>
      </c>
      <c r="G86" s="68">
        <f t="shared" si="5"/>
        <v>63616</v>
      </c>
      <c r="H86" s="68">
        <f t="shared" si="6"/>
        <v>115927</v>
      </c>
      <c r="I86" s="68">
        <f>'Workforce &amp; Expenses'!S111</f>
        <v>2731752</v>
      </c>
      <c r="J86" s="68">
        <f t="shared" si="7"/>
        <v>4183617</v>
      </c>
      <c r="K86" s="68">
        <f>ROUND('Revenue &amp; Demand'!F89*$B$11,0)</f>
        <v>1732920</v>
      </c>
      <c r="L86" s="68">
        <f t="shared" si="8"/>
        <v>5916537</v>
      </c>
      <c r="M86" s="68">
        <f>'Revenue &amp; Demand'!I89</f>
        <v>9373</v>
      </c>
      <c r="N86" s="68">
        <f t="shared" si="9"/>
        <v>3151104</v>
      </c>
      <c r="O86" s="68">
        <f t="shared" si="10"/>
        <v>597623</v>
      </c>
      <c r="P86" s="68">
        <f t="shared" si="11"/>
        <v>488964</v>
      </c>
      <c r="Q86" s="68">
        <f t="shared" si="12"/>
        <v>211885</v>
      </c>
      <c r="R86" s="68">
        <f t="shared" si="13"/>
        <v>173891</v>
      </c>
      <c r="S86" s="68">
        <f t="shared" si="14"/>
        <v>4623467</v>
      </c>
      <c r="T86" s="68">
        <f t="shared" si="15"/>
        <v>10540004</v>
      </c>
      <c r="U86" s="68"/>
    </row>
    <row r="87" hidden="1">
      <c r="A87" s="67">
        <f>'Monthly Data'!A160</f>
        <v>47908</v>
      </c>
      <c r="B87" s="68">
        <f>'Revenue &amp; Demand'!C90</f>
        <v>14556</v>
      </c>
      <c r="C87" s="68">
        <f t="shared" si="1"/>
        <v>641227</v>
      </c>
      <c r="D87" s="68">
        <f t="shared" si="2"/>
        <v>303739</v>
      </c>
      <c r="E87" s="68">
        <f t="shared" si="3"/>
        <v>202493</v>
      </c>
      <c r="F87" s="68">
        <f t="shared" si="4"/>
        <v>134995</v>
      </c>
      <c r="G87" s="68">
        <f t="shared" si="5"/>
        <v>64123</v>
      </c>
      <c r="H87" s="68">
        <f t="shared" si="6"/>
        <v>115927</v>
      </c>
      <c r="I87" s="68">
        <f>'Workforce &amp; Expenses'!S112</f>
        <v>2744195</v>
      </c>
      <c r="J87" s="68">
        <f t="shared" si="7"/>
        <v>4206699</v>
      </c>
      <c r="K87" s="68">
        <f>ROUND('Revenue &amp; Demand'!F90*$B$11,0)</f>
        <v>1746720</v>
      </c>
      <c r="L87" s="68">
        <f t="shared" si="8"/>
        <v>5953419</v>
      </c>
      <c r="M87" s="68">
        <f>'Revenue &amp; Demand'!I90</f>
        <v>9560</v>
      </c>
      <c r="N87" s="68">
        <f t="shared" si="9"/>
        <v>3213971</v>
      </c>
      <c r="O87" s="68">
        <f t="shared" si="10"/>
        <v>609546</v>
      </c>
      <c r="P87" s="68">
        <f t="shared" si="11"/>
        <v>498720</v>
      </c>
      <c r="Q87" s="68">
        <f t="shared" si="12"/>
        <v>216112</v>
      </c>
      <c r="R87" s="68">
        <f t="shared" si="13"/>
        <v>173891</v>
      </c>
      <c r="S87" s="68">
        <f t="shared" si="14"/>
        <v>4712240</v>
      </c>
      <c r="T87" s="68">
        <f t="shared" si="15"/>
        <v>10665659</v>
      </c>
      <c r="U87" s="68"/>
    </row>
    <row r="88" hidden="1">
      <c r="A88" s="67">
        <f>'Monthly Data'!A161</f>
        <v>47939</v>
      </c>
      <c r="B88" s="68">
        <f>'Revenue &amp; Demand'!C91</f>
        <v>14672</v>
      </c>
      <c r="C88" s="68">
        <f t="shared" si="1"/>
        <v>646337</v>
      </c>
      <c r="D88" s="68">
        <f t="shared" si="2"/>
        <v>306160</v>
      </c>
      <c r="E88" s="68">
        <f t="shared" si="3"/>
        <v>204106</v>
      </c>
      <c r="F88" s="68">
        <f t="shared" si="4"/>
        <v>136071</v>
      </c>
      <c r="G88" s="68">
        <f t="shared" si="5"/>
        <v>64634</v>
      </c>
      <c r="H88" s="68">
        <f t="shared" si="6"/>
        <v>115927</v>
      </c>
      <c r="I88" s="68">
        <f>'Workforce &amp; Expenses'!S113</f>
        <v>2756638</v>
      </c>
      <c r="J88" s="68">
        <f t="shared" si="7"/>
        <v>4229873</v>
      </c>
      <c r="K88" s="68">
        <f>ROUND('Revenue &amp; Demand'!F91*$B$11,0)</f>
        <v>1760640</v>
      </c>
      <c r="L88" s="68">
        <f t="shared" si="8"/>
        <v>5990513</v>
      </c>
      <c r="M88" s="68">
        <f>'Revenue &amp; Demand'!I91</f>
        <v>9751</v>
      </c>
      <c r="N88" s="68">
        <f t="shared" si="9"/>
        <v>3278184</v>
      </c>
      <c r="O88" s="68">
        <f t="shared" si="10"/>
        <v>621724</v>
      </c>
      <c r="P88" s="68">
        <f t="shared" si="11"/>
        <v>508684</v>
      </c>
      <c r="Q88" s="68">
        <f t="shared" si="12"/>
        <v>220430</v>
      </c>
      <c r="R88" s="68">
        <f t="shared" si="13"/>
        <v>173891</v>
      </c>
      <c r="S88" s="68">
        <f t="shared" si="14"/>
        <v>4802913</v>
      </c>
      <c r="T88" s="68">
        <f t="shared" si="15"/>
        <v>10793426</v>
      </c>
      <c r="U88" s="68"/>
    </row>
    <row r="89" hidden="1">
      <c r="A89" s="67">
        <f>'Monthly Data'!A162</f>
        <v>47969</v>
      </c>
      <c r="B89" s="68">
        <f>'Revenue &amp; Demand'!C92</f>
        <v>14789</v>
      </c>
      <c r="C89" s="68">
        <f t="shared" si="1"/>
        <v>651491</v>
      </c>
      <c r="D89" s="68">
        <f t="shared" si="2"/>
        <v>308601</v>
      </c>
      <c r="E89" s="68">
        <f t="shared" si="3"/>
        <v>205734</v>
      </c>
      <c r="F89" s="68">
        <f t="shared" si="4"/>
        <v>137156</v>
      </c>
      <c r="G89" s="68">
        <f t="shared" si="5"/>
        <v>65149</v>
      </c>
      <c r="H89" s="68">
        <f t="shared" si="6"/>
        <v>115927</v>
      </c>
      <c r="I89" s="68">
        <f>'Workforce &amp; Expenses'!S114</f>
        <v>2769080</v>
      </c>
      <c r="J89" s="68">
        <f t="shared" si="7"/>
        <v>4253138</v>
      </c>
      <c r="K89" s="68">
        <f>ROUND('Revenue &amp; Demand'!F92*$B$11,0)</f>
        <v>1774680</v>
      </c>
      <c r="L89" s="68">
        <f t="shared" si="8"/>
        <v>6027818</v>
      </c>
      <c r="M89" s="68">
        <f>'Revenue &amp; Demand'!I92</f>
        <v>9946</v>
      </c>
      <c r="N89" s="68">
        <f t="shared" si="9"/>
        <v>3343741</v>
      </c>
      <c r="O89" s="68">
        <f t="shared" si="10"/>
        <v>634158</v>
      </c>
      <c r="P89" s="68">
        <f t="shared" si="11"/>
        <v>518856</v>
      </c>
      <c r="Q89" s="68">
        <f t="shared" si="12"/>
        <v>224838</v>
      </c>
      <c r="R89" s="68">
        <f t="shared" si="13"/>
        <v>173891</v>
      </c>
      <c r="S89" s="68">
        <f t="shared" si="14"/>
        <v>4895484</v>
      </c>
      <c r="T89" s="68">
        <f t="shared" si="15"/>
        <v>10923302</v>
      </c>
      <c r="U89" s="68"/>
    </row>
    <row r="90" hidden="1">
      <c r="A90" s="67">
        <f>'Monthly Data'!A163</f>
        <v>48000</v>
      </c>
      <c r="B90" s="68">
        <f>'Revenue &amp; Demand'!C93</f>
        <v>14907</v>
      </c>
      <c r="C90" s="68">
        <f t="shared" si="1"/>
        <v>656689</v>
      </c>
      <c r="D90" s="68">
        <f t="shared" si="2"/>
        <v>311063</v>
      </c>
      <c r="E90" s="68">
        <f t="shared" si="3"/>
        <v>207376</v>
      </c>
      <c r="F90" s="68">
        <f t="shared" si="4"/>
        <v>138250</v>
      </c>
      <c r="G90" s="68">
        <f t="shared" si="5"/>
        <v>65669</v>
      </c>
      <c r="H90" s="68">
        <f t="shared" si="6"/>
        <v>115927</v>
      </c>
      <c r="I90" s="68">
        <f>'Workforce &amp; Expenses'!S115</f>
        <v>2799647</v>
      </c>
      <c r="J90" s="68">
        <f t="shared" si="7"/>
        <v>4294621</v>
      </c>
      <c r="K90" s="68">
        <f>ROUND('Revenue &amp; Demand'!F93*$B$11,0)</f>
        <v>1788840</v>
      </c>
      <c r="L90" s="68">
        <f t="shared" si="8"/>
        <v>6083461</v>
      </c>
      <c r="M90" s="68">
        <f>'Revenue &amp; Demand'!I93</f>
        <v>10145</v>
      </c>
      <c r="N90" s="68">
        <f t="shared" si="9"/>
        <v>3410642</v>
      </c>
      <c r="O90" s="68">
        <f t="shared" si="10"/>
        <v>646846</v>
      </c>
      <c r="P90" s="68">
        <f t="shared" si="11"/>
        <v>529238</v>
      </c>
      <c r="Q90" s="68">
        <f t="shared" si="12"/>
        <v>229336</v>
      </c>
      <c r="R90" s="68">
        <f t="shared" si="13"/>
        <v>173891</v>
      </c>
      <c r="S90" s="68">
        <f t="shared" si="14"/>
        <v>4989953</v>
      </c>
      <c r="T90" s="68">
        <f t="shared" si="15"/>
        <v>11073414</v>
      </c>
      <c r="U90" s="68"/>
    </row>
    <row r="91" hidden="1">
      <c r="A91" s="67">
        <f>'Monthly Data'!A164</f>
        <v>48030</v>
      </c>
      <c r="B91" s="68">
        <f>'Revenue &amp; Demand'!C94</f>
        <v>15026</v>
      </c>
      <c r="C91" s="68">
        <f t="shared" si="1"/>
        <v>661932</v>
      </c>
      <c r="D91" s="68">
        <f t="shared" si="2"/>
        <v>313547</v>
      </c>
      <c r="E91" s="68">
        <f t="shared" si="3"/>
        <v>209031</v>
      </c>
      <c r="F91" s="68">
        <f t="shared" si="4"/>
        <v>139354</v>
      </c>
      <c r="G91" s="68">
        <f t="shared" si="5"/>
        <v>66193</v>
      </c>
      <c r="H91" s="68">
        <f t="shared" si="6"/>
        <v>115927</v>
      </c>
      <c r="I91" s="68">
        <f>'Workforce &amp; Expenses'!S116</f>
        <v>2812090</v>
      </c>
      <c r="J91" s="68">
        <f t="shared" si="7"/>
        <v>4318074</v>
      </c>
      <c r="K91" s="68">
        <f>ROUND('Revenue &amp; Demand'!F94*$B$11,0)</f>
        <v>1803120</v>
      </c>
      <c r="L91" s="68">
        <f t="shared" si="8"/>
        <v>6121194</v>
      </c>
      <c r="M91" s="68">
        <f>'Revenue &amp; Demand'!I94</f>
        <v>10348</v>
      </c>
      <c r="N91" s="68">
        <f t="shared" si="9"/>
        <v>3478889</v>
      </c>
      <c r="O91" s="68">
        <f t="shared" si="10"/>
        <v>659789</v>
      </c>
      <c r="P91" s="68">
        <f t="shared" si="11"/>
        <v>539828</v>
      </c>
      <c r="Q91" s="68">
        <f t="shared" si="12"/>
        <v>233925</v>
      </c>
      <c r="R91" s="68">
        <f t="shared" si="13"/>
        <v>173891</v>
      </c>
      <c r="S91" s="68">
        <f t="shared" si="14"/>
        <v>5086322</v>
      </c>
      <c r="T91" s="68">
        <f t="shared" si="15"/>
        <v>11207516</v>
      </c>
      <c r="U91" s="68"/>
    </row>
    <row r="92" hidden="1">
      <c r="A92" s="67">
        <f>'Monthly Data'!A165</f>
        <v>48061</v>
      </c>
      <c r="B92" s="68">
        <f>'Revenue &amp; Demand'!C95</f>
        <v>15145</v>
      </c>
      <c r="C92" s="68">
        <f t="shared" si="1"/>
        <v>667174</v>
      </c>
      <c r="D92" s="68">
        <f t="shared" si="2"/>
        <v>316030</v>
      </c>
      <c r="E92" s="68">
        <f t="shared" si="3"/>
        <v>210686</v>
      </c>
      <c r="F92" s="68">
        <f t="shared" si="4"/>
        <v>140458</v>
      </c>
      <c r="G92" s="68">
        <f t="shared" si="5"/>
        <v>66717</v>
      </c>
      <c r="H92" s="68">
        <f t="shared" si="6"/>
        <v>115927</v>
      </c>
      <c r="I92" s="68">
        <f>'Workforce &amp; Expenses'!S117</f>
        <v>2824533</v>
      </c>
      <c r="J92" s="68">
        <f t="shared" si="7"/>
        <v>4341525</v>
      </c>
      <c r="K92" s="68">
        <f>ROUND('Revenue &amp; Demand'!F95*$B$11,0)</f>
        <v>1817400</v>
      </c>
      <c r="L92" s="68">
        <f t="shared" si="8"/>
        <v>6158925</v>
      </c>
      <c r="M92" s="68">
        <f>'Revenue &amp; Demand'!I95</f>
        <v>10555</v>
      </c>
      <c r="N92" s="68">
        <f t="shared" si="9"/>
        <v>3548480</v>
      </c>
      <c r="O92" s="68">
        <f t="shared" si="10"/>
        <v>672988</v>
      </c>
      <c r="P92" s="68">
        <f t="shared" si="11"/>
        <v>550626</v>
      </c>
      <c r="Q92" s="68">
        <f t="shared" si="12"/>
        <v>238605</v>
      </c>
      <c r="R92" s="68">
        <f t="shared" si="13"/>
        <v>173891</v>
      </c>
      <c r="S92" s="68">
        <f t="shared" si="14"/>
        <v>5184590</v>
      </c>
      <c r="T92" s="68">
        <f t="shared" si="15"/>
        <v>11343515</v>
      </c>
      <c r="U92" s="68"/>
    </row>
    <row r="93" hidden="1">
      <c r="A93" s="67">
        <f>'Monthly Data'!A166</f>
        <v>48092</v>
      </c>
      <c r="B93" s="68">
        <f>'Revenue &amp; Demand'!C96</f>
        <v>15266</v>
      </c>
      <c r="C93" s="68">
        <f t="shared" si="1"/>
        <v>672504</v>
      </c>
      <c r="D93" s="68">
        <f t="shared" si="2"/>
        <v>318555</v>
      </c>
      <c r="E93" s="68">
        <f t="shared" si="3"/>
        <v>212370</v>
      </c>
      <c r="F93" s="68">
        <f t="shared" si="4"/>
        <v>141580</v>
      </c>
      <c r="G93" s="68">
        <f t="shared" si="5"/>
        <v>67250</v>
      </c>
      <c r="H93" s="68">
        <f t="shared" si="6"/>
        <v>115927</v>
      </c>
      <c r="I93" s="68">
        <f>'Workforce &amp; Expenses'!S118</f>
        <v>2836976</v>
      </c>
      <c r="J93" s="68">
        <f t="shared" si="7"/>
        <v>4365162</v>
      </c>
      <c r="K93" s="68">
        <f>ROUND('Revenue &amp; Demand'!F96*$B$11,0)</f>
        <v>1831920</v>
      </c>
      <c r="L93" s="68">
        <f t="shared" si="8"/>
        <v>6197082</v>
      </c>
      <c r="M93" s="68">
        <f>'Revenue &amp; Demand'!I96</f>
        <v>10766</v>
      </c>
      <c r="N93" s="68">
        <f t="shared" si="9"/>
        <v>3619416</v>
      </c>
      <c r="O93" s="68">
        <f t="shared" si="10"/>
        <v>686441</v>
      </c>
      <c r="P93" s="68">
        <f t="shared" si="11"/>
        <v>561634</v>
      </c>
      <c r="Q93" s="68">
        <f t="shared" si="12"/>
        <v>243375</v>
      </c>
      <c r="R93" s="68">
        <f t="shared" si="13"/>
        <v>173891</v>
      </c>
      <c r="S93" s="68">
        <f t="shared" si="14"/>
        <v>5284757</v>
      </c>
      <c r="T93" s="68">
        <f t="shared" si="15"/>
        <v>11481839</v>
      </c>
      <c r="U93" s="68"/>
    </row>
    <row r="94" hidden="1">
      <c r="A94" s="67">
        <f>'Monthly Data'!A167</f>
        <v>48122</v>
      </c>
      <c r="B94" s="68">
        <f>'Revenue &amp; Demand'!C97</f>
        <v>15388</v>
      </c>
      <c r="C94" s="68">
        <f t="shared" si="1"/>
        <v>677879</v>
      </c>
      <c r="D94" s="68">
        <f t="shared" si="2"/>
        <v>321100</v>
      </c>
      <c r="E94" s="68">
        <f t="shared" si="3"/>
        <v>214067</v>
      </c>
      <c r="F94" s="68">
        <f t="shared" si="4"/>
        <v>142711</v>
      </c>
      <c r="G94" s="68">
        <f t="shared" si="5"/>
        <v>67788</v>
      </c>
      <c r="H94" s="68">
        <f t="shared" si="6"/>
        <v>115927</v>
      </c>
      <c r="I94" s="68">
        <f>'Workforce &amp; Expenses'!S119</f>
        <v>2867542</v>
      </c>
      <c r="J94" s="68">
        <f t="shared" si="7"/>
        <v>4407014</v>
      </c>
      <c r="K94" s="68">
        <f>ROUND('Revenue &amp; Demand'!F97*$B$11,0)</f>
        <v>1846560</v>
      </c>
      <c r="L94" s="68">
        <f t="shared" si="8"/>
        <v>6253574</v>
      </c>
      <c r="M94" s="68">
        <f>'Revenue &amp; Demand'!I97</f>
        <v>10981</v>
      </c>
      <c r="N94" s="68">
        <f t="shared" si="9"/>
        <v>3691697</v>
      </c>
      <c r="O94" s="68">
        <f t="shared" si="10"/>
        <v>700149</v>
      </c>
      <c r="P94" s="68">
        <f t="shared" si="11"/>
        <v>572849</v>
      </c>
      <c r="Q94" s="68">
        <f t="shared" si="12"/>
        <v>248235</v>
      </c>
      <c r="R94" s="68">
        <f t="shared" si="13"/>
        <v>173891</v>
      </c>
      <c r="S94" s="68">
        <f t="shared" si="14"/>
        <v>5386821</v>
      </c>
      <c r="T94" s="68">
        <f t="shared" si="15"/>
        <v>11640395</v>
      </c>
      <c r="U94" s="68"/>
    </row>
    <row r="95" hidden="1">
      <c r="A95" s="67">
        <f>'Monthly Data'!A168</f>
        <v>48153</v>
      </c>
      <c r="B95" s="68">
        <f>'Revenue &amp; Demand'!C98</f>
        <v>15511</v>
      </c>
      <c r="C95" s="68">
        <f t="shared" si="1"/>
        <v>683297</v>
      </c>
      <c r="D95" s="68">
        <f t="shared" si="2"/>
        <v>323667</v>
      </c>
      <c r="E95" s="68">
        <f t="shared" si="3"/>
        <v>215778</v>
      </c>
      <c r="F95" s="68">
        <f t="shared" si="4"/>
        <v>143852</v>
      </c>
      <c r="G95" s="68">
        <f t="shared" si="5"/>
        <v>68330</v>
      </c>
      <c r="H95" s="68">
        <f t="shared" si="6"/>
        <v>115927</v>
      </c>
      <c r="I95" s="68">
        <f>'Workforce &amp; Expenses'!S120</f>
        <v>2879985</v>
      </c>
      <c r="J95" s="68">
        <f t="shared" si="7"/>
        <v>4430836</v>
      </c>
      <c r="K95" s="68">
        <f>ROUND('Revenue &amp; Demand'!F98*$B$11,0)</f>
        <v>1861320</v>
      </c>
      <c r="L95" s="68">
        <f t="shared" si="8"/>
        <v>6292156</v>
      </c>
      <c r="M95" s="68">
        <f>'Revenue &amp; Demand'!I98</f>
        <v>11201</v>
      </c>
      <c r="N95" s="68">
        <f t="shared" si="9"/>
        <v>3765658</v>
      </c>
      <c r="O95" s="68">
        <f t="shared" si="10"/>
        <v>714177</v>
      </c>
      <c r="P95" s="68">
        <f t="shared" si="11"/>
        <v>584326</v>
      </c>
      <c r="Q95" s="68">
        <f t="shared" si="12"/>
        <v>253208</v>
      </c>
      <c r="R95" s="68">
        <f t="shared" si="13"/>
        <v>173891</v>
      </c>
      <c r="S95" s="68">
        <f t="shared" si="14"/>
        <v>5491260</v>
      </c>
      <c r="T95" s="68">
        <f t="shared" si="15"/>
        <v>11783416</v>
      </c>
      <c r="U95" s="68"/>
    </row>
    <row r="96" hidden="1">
      <c r="A96" s="67">
        <f>'Monthly Data'!A169</f>
        <v>48183</v>
      </c>
      <c r="B96" s="68">
        <f>'Revenue &amp; Demand'!C99</f>
        <v>15634</v>
      </c>
      <c r="C96" s="68">
        <f t="shared" si="1"/>
        <v>688715</v>
      </c>
      <c r="D96" s="68">
        <f t="shared" si="2"/>
        <v>326234</v>
      </c>
      <c r="E96" s="68">
        <f t="shared" si="3"/>
        <v>217489</v>
      </c>
      <c r="F96" s="68">
        <f t="shared" si="4"/>
        <v>144993</v>
      </c>
      <c r="G96" s="68">
        <f t="shared" si="5"/>
        <v>68872</v>
      </c>
      <c r="H96" s="68">
        <f t="shared" si="6"/>
        <v>115927</v>
      </c>
      <c r="I96" s="68">
        <f>'Workforce &amp; Expenses'!S121</f>
        <v>2892428</v>
      </c>
      <c r="J96" s="68">
        <f t="shared" si="7"/>
        <v>4454658</v>
      </c>
      <c r="K96" s="68">
        <f>ROUND('Revenue &amp; Demand'!F99*$B$11,0)</f>
        <v>1876080</v>
      </c>
      <c r="L96" s="68">
        <f t="shared" si="8"/>
        <v>6330738</v>
      </c>
      <c r="M96" s="68">
        <f>'Revenue &amp; Demand'!I99</f>
        <v>11425</v>
      </c>
      <c r="N96" s="68">
        <f t="shared" si="9"/>
        <v>3840965</v>
      </c>
      <c r="O96" s="68">
        <f t="shared" si="10"/>
        <v>728459</v>
      </c>
      <c r="P96" s="68">
        <f t="shared" si="11"/>
        <v>596012</v>
      </c>
      <c r="Q96" s="68">
        <f t="shared" si="12"/>
        <v>258272</v>
      </c>
      <c r="R96" s="68">
        <f t="shared" si="13"/>
        <v>173891</v>
      </c>
      <c r="S96" s="68">
        <f t="shared" si="14"/>
        <v>5597599</v>
      </c>
      <c r="T96" s="68">
        <f t="shared" si="15"/>
        <v>11928337</v>
      </c>
      <c r="U96" s="68"/>
    </row>
    <row r="97" hidden="1">
      <c r="A97" s="67">
        <f>'Monthly Data'!A170</f>
        <v>48214</v>
      </c>
      <c r="B97" s="68">
        <f>'Revenue &amp; Demand'!C100</f>
        <v>15735</v>
      </c>
      <c r="C97" s="68">
        <f t="shared" si="1"/>
        <v>713960</v>
      </c>
      <c r="D97" s="68">
        <f t="shared" si="2"/>
        <v>338191</v>
      </c>
      <c r="E97" s="68">
        <f t="shared" si="3"/>
        <v>225461</v>
      </c>
      <c r="F97" s="68">
        <f t="shared" si="4"/>
        <v>150307</v>
      </c>
      <c r="G97" s="68">
        <f t="shared" si="5"/>
        <v>71396</v>
      </c>
      <c r="H97" s="68">
        <f t="shared" si="6"/>
        <v>119405</v>
      </c>
      <c r="I97" s="68">
        <f>'Workforce &amp; Expenses'!S122</f>
        <v>2992017</v>
      </c>
      <c r="J97" s="68">
        <f t="shared" si="7"/>
        <v>4610737</v>
      </c>
      <c r="K97" s="68">
        <f>ROUND('Revenue &amp; Demand'!F100*$B$11,0)</f>
        <v>1888200</v>
      </c>
      <c r="L97" s="68">
        <f t="shared" si="8"/>
        <v>6498937</v>
      </c>
      <c r="M97" s="68">
        <f>'Revenue &amp; Demand'!I100</f>
        <v>11654</v>
      </c>
      <c r="N97" s="68">
        <f t="shared" si="9"/>
        <v>4035491</v>
      </c>
      <c r="O97" s="68">
        <f t="shared" si="10"/>
        <v>765352</v>
      </c>
      <c r="P97" s="68">
        <f t="shared" si="11"/>
        <v>626197</v>
      </c>
      <c r="Q97" s="68">
        <f t="shared" si="12"/>
        <v>271352</v>
      </c>
      <c r="R97" s="68">
        <f t="shared" si="13"/>
        <v>179108</v>
      </c>
      <c r="S97" s="68">
        <f t="shared" si="14"/>
        <v>5877500</v>
      </c>
      <c r="T97" s="68">
        <f t="shared" si="15"/>
        <v>12376437</v>
      </c>
      <c r="U97" s="68"/>
    </row>
    <row r="98" hidden="1">
      <c r="A98" s="67">
        <f>'Monthly Data'!A171</f>
        <v>48245</v>
      </c>
      <c r="B98" s="68">
        <f>'Revenue &amp; Demand'!C101</f>
        <v>15836</v>
      </c>
      <c r="C98" s="68">
        <f t="shared" si="1"/>
        <v>718542</v>
      </c>
      <c r="D98" s="68">
        <f t="shared" si="2"/>
        <v>340362</v>
      </c>
      <c r="E98" s="68">
        <f t="shared" si="3"/>
        <v>226908</v>
      </c>
      <c r="F98" s="68">
        <f t="shared" si="4"/>
        <v>151272</v>
      </c>
      <c r="G98" s="68">
        <f t="shared" si="5"/>
        <v>71854</v>
      </c>
      <c r="H98" s="68">
        <f t="shared" si="6"/>
        <v>119405</v>
      </c>
      <c r="I98" s="68">
        <f>'Workforce &amp; Expenses'!S123</f>
        <v>3004833</v>
      </c>
      <c r="J98" s="68">
        <f t="shared" si="7"/>
        <v>4633176</v>
      </c>
      <c r="K98" s="68">
        <f>ROUND('Revenue &amp; Demand'!F101*$B$11,0)</f>
        <v>1900320</v>
      </c>
      <c r="L98" s="68">
        <f t="shared" si="8"/>
        <v>6533496</v>
      </c>
      <c r="M98" s="68">
        <f>'Revenue &amp; Demand'!I101</f>
        <v>11887</v>
      </c>
      <c r="N98" s="68">
        <f t="shared" si="9"/>
        <v>4116173</v>
      </c>
      <c r="O98" s="68">
        <f t="shared" si="10"/>
        <v>780653</v>
      </c>
      <c r="P98" s="68">
        <f t="shared" si="11"/>
        <v>638716</v>
      </c>
      <c r="Q98" s="68">
        <f t="shared" si="12"/>
        <v>276777</v>
      </c>
      <c r="R98" s="68">
        <f t="shared" si="13"/>
        <v>179108</v>
      </c>
      <c r="S98" s="68">
        <f t="shared" si="14"/>
        <v>5991427</v>
      </c>
      <c r="T98" s="68">
        <f t="shared" si="15"/>
        <v>12524923</v>
      </c>
      <c r="U98" s="68"/>
    </row>
    <row r="99" hidden="1">
      <c r="A99" s="67">
        <f>'Monthly Data'!A172</f>
        <v>48274</v>
      </c>
      <c r="B99" s="68">
        <f>'Revenue &amp; Demand'!C102</f>
        <v>15938</v>
      </c>
      <c r="C99" s="68">
        <f t="shared" si="1"/>
        <v>723171</v>
      </c>
      <c r="D99" s="68">
        <f t="shared" si="2"/>
        <v>342554</v>
      </c>
      <c r="E99" s="68">
        <f t="shared" si="3"/>
        <v>228370</v>
      </c>
      <c r="F99" s="68">
        <f t="shared" si="4"/>
        <v>152246</v>
      </c>
      <c r="G99" s="68">
        <f t="shared" si="5"/>
        <v>72317</v>
      </c>
      <c r="H99" s="68">
        <f t="shared" si="6"/>
        <v>119405</v>
      </c>
      <c r="I99" s="68">
        <f>'Workforce &amp; Expenses'!S124</f>
        <v>3036316</v>
      </c>
      <c r="J99" s="68">
        <f t="shared" si="7"/>
        <v>4674379</v>
      </c>
      <c r="K99" s="68">
        <f>ROUND('Revenue &amp; Demand'!F102*$B$11,0)</f>
        <v>1912560</v>
      </c>
      <c r="L99" s="68">
        <f t="shared" si="8"/>
        <v>6586939</v>
      </c>
      <c r="M99" s="68">
        <f>'Revenue &amp; Demand'!I102</f>
        <v>12125</v>
      </c>
      <c r="N99" s="68">
        <f t="shared" si="9"/>
        <v>4198586</v>
      </c>
      <c r="O99" s="68">
        <f t="shared" si="10"/>
        <v>796284</v>
      </c>
      <c r="P99" s="68">
        <f t="shared" si="11"/>
        <v>651505</v>
      </c>
      <c r="Q99" s="68">
        <f t="shared" si="12"/>
        <v>282319</v>
      </c>
      <c r="R99" s="68">
        <f t="shared" si="13"/>
        <v>179108</v>
      </c>
      <c r="S99" s="68">
        <f t="shared" si="14"/>
        <v>6107802</v>
      </c>
      <c r="T99" s="68">
        <f t="shared" si="15"/>
        <v>12694741</v>
      </c>
      <c r="U99" s="68"/>
    </row>
    <row r="100" hidden="1">
      <c r="A100" s="67">
        <f>'Monthly Data'!A173</f>
        <v>48305</v>
      </c>
      <c r="B100" s="68">
        <f>'Revenue &amp; Demand'!C103</f>
        <v>16040</v>
      </c>
      <c r="C100" s="68">
        <f t="shared" si="1"/>
        <v>727799</v>
      </c>
      <c r="D100" s="68">
        <f t="shared" si="2"/>
        <v>344747</v>
      </c>
      <c r="E100" s="68">
        <f t="shared" si="3"/>
        <v>229831</v>
      </c>
      <c r="F100" s="68">
        <f t="shared" si="4"/>
        <v>153221</v>
      </c>
      <c r="G100" s="68">
        <f t="shared" si="5"/>
        <v>72780</v>
      </c>
      <c r="H100" s="68">
        <f t="shared" si="6"/>
        <v>119405</v>
      </c>
      <c r="I100" s="68">
        <f>'Workforce &amp; Expenses'!S125</f>
        <v>3036316</v>
      </c>
      <c r="J100" s="68">
        <f t="shared" si="7"/>
        <v>4684099</v>
      </c>
      <c r="K100" s="68">
        <f>ROUND('Revenue &amp; Demand'!F103*$B$11,0)</f>
        <v>1924800</v>
      </c>
      <c r="L100" s="68">
        <f t="shared" si="8"/>
        <v>6608899</v>
      </c>
      <c r="M100" s="68">
        <f>'Revenue &amp; Demand'!I103</f>
        <v>12368</v>
      </c>
      <c r="N100" s="68">
        <f t="shared" si="9"/>
        <v>4282731</v>
      </c>
      <c r="O100" s="68">
        <f t="shared" si="10"/>
        <v>812242</v>
      </c>
      <c r="P100" s="68">
        <f t="shared" si="11"/>
        <v>664562</v>
      </c>
      <c r="Q100" s="68">
        <f t="shared" si="12"/>
        <v>287977</v>
      </c>
      <c r="R100" s="68">
        <f t="shared" si="13"/>
        <v>179108</v>
      </c>
      <c r="S100" s="68">
        <f t="shared" si="14"/>
        <v>6226620</v>
      </c>
      <c r="T100" s="68">
        <f t="shared" si="15"/>
        <v>12835519</v>
      </c>
      <c r="U100" s="68"/>
    </row>
    <row r="101" hidden="1">
      <c r="A101" s="67">
        <f>'Monthly Data'!A174</f>
        <v>48335</v>
      </c>
      <c r="B101" s="68">
        <f>'Revenue &amp; Demand'!C104</f>
        <v>16143</v>
      </c>
      <c r="C101" s="68">
        <f t="shared" si="1"/>
        <v>732472</v>
      </c>
      <c r="D101" s="68">
        <f t="shared" si="2"/>
        <v>346961</v>
      </c>
      <c r="E101" s="68">
        <f t="shared" si="3"/>
        <v>231307</v>
      </c>
      <c r="F101" s="68">
        <f t="shared" si="4"/>
        <v>154205</v>
      </c>
      <c r="G101" s="68">
        <f t="shared" si="5"/>
        <v>73247</v>
      </c>
      <c r="H101" s="68">
        <f t="shared" si="6"/>
        <v>119405</v>
      </c>
      <c r="I101" s="68">
        <f>'Workforce &amp; Expenses'!S126</f>
        <v>3049132</v>
      </c>
      <c r="J101" s="68">
        <f t="shared" si="7"/>
        <v>4706729</v>
      </c>
      <c r="K101" s="68">
        <f>ROUND('Revenue &amp; Demand'!F104*$B$11,0)</f>
        <v>1937160</v>
      </c>
      <c r="L101" s="68">
        <f t="shared" si="8"/>
        <v>6643889</v>
      </c>
      <c r="M101" s="68">
        <f>'Revenue &amp; Demand'!I104</f>
        <v>12615</v>
      </c>
      <c r="N101" s="68">
        <f t="shared" si="9"/>
        <v>4368261</v>
      </c>
      <c r="O101" s="68">
        <f t="shared" si="10"/>
        <v>828463</v>
      </c>
      <c r="P101" s="68">
        <f t="shared" si="11"/>
        <v>677834</v>
      </c>
      <c r="Q101" s="68">
        <f t="shared" si="12"/>
        <v>293728</v>
      </c>
      <c r="R101" s="68">
        <f t="shared" si="13"/>
        <v>179108</v>
      </c>
      <c r="S101" s="68">
        <f t="shared" si="14"/>
        <v>6347394</v>
      </c>
      <c r="T101" s="68">
        <f t="shared" si="15"/>
        <v>12991283</v>
      </c>
      <c r="U101" s="68"/>
    </row>
    <row r="102" hidden="1">
      <c r="A102" s="67">
        <f>'Monthly Data'!A175</f>
        <v>48366</v>
      </c>
      <c r="B102" s="68">
        <f>'Revenue &amp; Demand'!C105</f>
        <v>16247</v>
      </c>
      <c r="C102" s="68">
        <f t="shared" si="1"/>
        <v>737191</v>
      </c>
      <c r="D102" s="68">
        <f t="shared" si="2"/>
        <v>349196</v>
      </c>
      <c r="E102" s="68">
        <f t="shared" si="3"/>
        <v>232797</v>
      </c>
      <c r="F102" s="68">
        <f t="shared" si="4"/>
        <v>155198</v>
      </c>
      <c r="G102" s="68">
        <f t="shared" si="5"/>
        <v>73719</v>
      </c>
      <c r="H102" s="68">
        <f t="shared" si="6"/>
        <v>119405</v>
      </c>
      <c r="I102" s="68">
        <f>'Workforce &amp; Expenses'!S127</f>
        <v>3061948</v>
      </c>
      <c r="J102" s="68">
        <f t="shared" si="7"/>
        <v>4729454</v>
      </c>
      <c r="K102" s="68">
        <f>ROUND('Revenue &amp; Demand'!F105*$B$11,0)</f>
        <v>1949640</v>
      </c>
      <c r="L102" s="68">
        <f t="shared" si="8"/>
        <v>6679094</v>
      </c>
      <c r="M102" s="68">
        <f>'Revenue &amp; Demand'!I105</f>
        <v>12867</v>
      </c>
      <c r="N102" s="68">
        <f t="shared" si="9"/>
        <v>4455523</v>
      </c>
      <c r="O102" s="68">
        <f t="shared" si="10"/>
        <v>845013</v>
      </c>
      <c r="P102" s="68">
        <f t="shared" si="11"/>
        <v>691374</v>
      </c>
      <c r="Q102" s="68">
        <f t="shared" si="12"/>
        <v>299596</v>
      </c>
      <c r="R102" s="68">
        <f t="shared" si="13"/>
        <v>179108</v>
      </c>
      <c r="S102" s="68">
        <f t="shared" si="14"/>
        <v>6470614</v>
      </c>
      <c r="T102" s="68">
        <f t="shared" si="15"/>
        <v>13149708</v>
      </c>
      <c r="U102" s="68"/>
    </row>
    <row r="103" hidden="1">
      <c r="A103" s="67">
        <f>'Monthly Data'!A176</f>
        <v>48396</v>
      </c>
      <c r="B103" s="68">
        <f>'Revenue &amp; Demand'!C106</f>
        <v>16352</v>
      </c>
      <c r="C103" s="68">
        <f t="shared" si="1"/>
        <v>741955</v>
      </c>
      <c r="D103" s="68">
        <f t="shared" si="2"/>
        <v>351453</v>
      </c>
      <c r="E103" s="68">
        <f t="shared" si="3"/>
        <v>234302</v>
      </c>
      <c r="F103" s="68">
        <f t="shared" si="4"/>
        <v>156201</v>
      </c>
      <c r="G103" s="68">
        <f t="shared" si="5"/>
        <v>74196</v>
      </c>
      <c r="H103" s="68">
        <f t="shared" si="6"/>
        <v>119405</v>
      </c>
      <c r="I103" s="68">
        <f>'Workforce &amp; Expenses'!S128</f>
        <v>3074764</v>
      </c>
      <c r="J103" s="68">
        <f t="shared" si="7"/>
        <v>4752276</v>
      </c>
      <c r="K103" s="68">
        <f>ROUND('Revenue &amp; Demand'!F106*$B$11,0)</f>
        <v>1962240</v>
      </c>
      <c r="L103" s="68">
        <f t="shared" si="8"/>
        <v>6714516</v>
      </c>
      <c r="M103" s="68">
        <f>'Revenue &amp; Demand'!I106</f>
        <v>13124</v>
      </c>
      <c r="N103" s="68">
        <f t="shared" si="9"/>
        <v>4544515</v>
      </c>
      <c r="O103" s="68">
        <f t="shared" si="10"/>
        <v>861891</v>
      </c>
      <c r="P103" s="68">
        <f t="shared" si="11"/>
        <v>705183</v>
      </c>
      <c r="Q103" s="68">
        <f t="shared" si="12"/>
        <v>305579</v>
      </c>
      <c r="R103" s="68">
        <f t="shared" si="13"/>
        <v>179108</v>
      </c>
      <c r="S103" s="68">
        <f t="shared" si="14"/>
        <v>6596276</v>
      </c>
      <c r="T103" s="68">
        <f t="shared" si="15"/>
        <v>13310792</v>
      </c>
      <c r="U103" s="68"/>
    </row>
    <row r="104" hidden="1">
      <c r="A104" s="67">
        <f>'Monthly Data'!A177</f>
        <v>48427</v>
      </c>
      <c r="B104" s="68">
        <f>'Revenue &amp; Demand'!C107</f>
        <v>16457</v>
      </c>
      <c r="C104" s="68">
        <f t="shared" si="1"/>
        <v>746720</v>
      </c>
      <c r="D104" s="68">
        <f t="shared" si="2"/>
        <v>353709</v>
      </c>
      <c r="E104" s="68">
        <f t="shared" si="3"/>
        <v>235806</v>
      </c>
      <c r="F104" s="68">
        <f t="shared" si="4"/>
        <v>157204</v>
      </c>
      <c r="G104" s="68">
        <f t="shared" si="5"/>
        <v>74672</v>
      </c>
      <c r="H104" s="68">
        <f t="shared" si="6"/>
        <v>119405</v>
      </c>
      <c r="I104" s="68">
        <f>'Workforce &amp; Expenses'!S129</f>
        <v>3087581</v>
      </c>
      <c r="J104" s="68">
        <f t="shared" si="7"/>
        <v>4775097</v>
      </c>
      <c r="K104" s="68">
        <f>ROUND('Revenue &amp; Demand'!F107*$B$11,0)</f>
        <v>1974840</v>
      </c>
      <c r="L104" s="68">
        <f t="shared" si="8"/>
        <v>6749937</v>
      </c>
      <c r="M104" s="68">
        <f>'Revenue &amp; Demand'!I107</f>
        <v>13386</v>
      </c>
      <c r="N104" s="68">
        <f t="shared" si="9"/>
        <v>4635239</v>
      </c>
      <c r="O104" s="68">
        <f t="shared" si="10"/>
        <v>879097</v>
      </c>
      <c r="P104" s="68">
        <f t="shared" si="11"/>
        <v>719261</v>
      </c>
      <c r="Q104" s="68">
        <f t="shared" si="12"/>
        <v>311680</v>
      </c>
      <c r="R104" s="68">
        <f t="shared" si="13"/>
        <v>179108</v>
      </c>
      <c r="S104" s="68">
        <f t="shared" si="14"/>
        <v>6724385</v>
      </c>
      <c r="T104" s="68">
        <f t="shared" si="15"/>
        <v>13474322</v>
      </c>
      <c r="U104" s="68"/>
    </row>
    <row r="105" hidden="1">
      <c r="A105" s="67">
        <f>'Monthly Data'!A178</f>
        <v>48458</v>
      </c>
      <c r="B105" s="68">
        <f>'Revenue &amp; Demand'!C108</f>
        <v>16563</v>
      </c>
      <c r="C105" s="68">
        <f t="shared" si="1"/>
        <v>751529</v>
      </c>
      <c r="D105" s="68">
        <f t="shared" si="2"/>
        <v>355988</v>
      </c>
      <c r="E105" s="68">
        <f t="shared" si="3"/>
        <v>237325</v>
      </c>
      <c r="F105" s="68">
        <f t="shared" si="4"/>
        <v>158217</v>
      </c>
      <c r="G105" s="68">
        <f t="shared" si="5"/>
        <v>75153</v>
      </c>
      <c r="H105" s="68">
        <f t="shared" si="6"/>
        <v>119405</v>
      </c>
      <c r="I105" s="68">
        <f>'Workforce &amp; Expenses'!S130</f>
        <v>3119064</v>
      </c>
      <c r="J105" s="68">
        <f t="shared" si="7"/>
        <v>4816681</v>
      </c>
      <c r="K105" s="68">
        <f>ROUND('Revenue &amp; Demand'!F108*$B$11,0)</f>
        <v>1987560</v>
      </c>
      <c r="L105" s="68">
        <f t="shared" si="8"/>
        <v>6804241</v>
      </c>
      <c r="M105" s="68">
        <f>'Revenue &amp; Demand'!I108</f>
        <v>13654</v>
      </c>
      <c r="N105" s="68">
        <f t="shared" si="9"/>
        <v>4728041</v>
      </c>
      <c r="O105" s="68">
        <f t="shared" si="10"/>
        <v>896697</v>
      </c>
      <c r="P105" s="68">
        <f t="shared" si="11"/>
        <v>733662</v>
      </c>
      <c r="Q105" s="68">
        <f t="shared" si="12"/>
        <v>317920</v>
      </c>
      <c r="R105" s="68">
        <f t="shared" si="13"/>
        <v>179108</v>
      </c>
      <c r="S105" s="68">
        <f t="shared" si="14"/>
        <v>6855428</v>
      </c>
      <c r="T105" s="68">
        <f t="shared" si="15"/>
        <v>13659669</v>
      </c>
      <c r="U105" s="68"/>
    </row>
    <row r="106" hidden="1">
      <c r="A106" s="67">
        <f>'Monthly Data'!A179</f>
        <v>48488</v>
      </c>
      <c r="B106" s="68">
        <f>'Revenue &amp; Demand'!C109</f>
        <v>16670</v>
      </c>
      <c r="C106" s="68">
        <f t="shared" si="1"/>
        <v>756384</v>
      </c>
      <c r="D106" s="68">
        <f t="shared" si="2"/>
        <v>358287</v>
      </c>
      <c r="E106" s="68">
        <f t="shared" si="3"/>
        <v>238858</v>
      </c>
      <c r="F106" s="68">
        <f t="shared" si="4"/>
        <v>159239</v>
      </c>
      <c r="G106" s="68">
        <f t="shared" si="5"/>
        <v>75638</v>
      </c>
      <c r="H106" s="68">
        <f t="shared" si="6"/>
        <v>119405</v>
      </c>
      <c r="I106" s="68">
        <f>'Workforce &amp; Expenses'!S131</f>
        <v>3119064</v>
      </c>
      <c r="J106" s="68">
        <f t="shared" si="7"/>
        <v>4826875</v>
      </c>
      <c r="K106" s="68">
        <f>ROUND('Revenue &amp; Demand'!F109*$B$11,0)</f>
        <v>2000400</v>
      </c>
      <c r="L106" s="68">
        <f t="shared" si="8"/>
        <v>6827275</v>
      </c>
      <c r="M106" s="68">
        <f>'Revenue &amp; Demand'!I109</f>
        <v>13927</v>
      </c>
      <c r="N106" s="68">
        <f t="shared" si="9"/>
        <v>4822574</v>
      </c>
      <c r="O106" s="68">
        <f t="shared" si="10"/>
        <v>914626</v>
      </c>
      <c r="P106" s="68">
        <f t="shared" si="11"/>
        <v>748330</v>
      </c>
      <c r="Q106" s="68">
        <f t="shared" si="12"/>
        <v>324277</v>
      </c>
      <c r="R106" s="68">
        <f t="shared" si="13"/>
        <v>179108</v>
      </c>
      <c r="S106" s="68">
        <f t="shared" si="14"/>
        <v>6988915</v>
      </c>
      <c r="T106" s="68">
        <f t="shared" si="15"/>
        <v>13816190</v>
      </c>
      <c r="U106" s="68"/>
    </row>
    <row r="107" hidden="1">
      <c r="A107" s="67">
        <f>'Monthly Data'!A180</f>
        <v>48519</v>
      </c>
      <c r="B107" s="68">
        <f>'Revenue &amp; Demand'!C110</f>
        <v>16777</v>
      </c>
      <c r="C107" s="68">
        <f t="shared" si="1"/>
        <v>761239</v>
      </c>
      <c r="D107" s="68">
        <f t="shared" si="2"/>
        <v>360587</v>
      </c>
      <c r="E107" s="68">
        <f t="shared" si="3"/>
        <v>240391</v>
      </c>
      <c r="F107" s="68">
        <f t="shared" si="4"/>
        <v>160261</v>
      </c>
      <c r="G107" s="68">
        <f t="shared" si="5"/>
        <v>76124</v>
      </c>
      <c r="H107" s="68">
        <f t="shared" si="6"/>
        <v>119405</v>
      </c>
      <c r="I107" s="68">
        <f>'Workforce &amp; Expenses'!S132</f>
        <v>3131880</v>
      </c>
      <c r="J107" s="68">
        <f t="shared" si="7"/>
        <v>4849887</v>
      </c>
      <c r="K107" s="68">
        <f>ROUND('Revenue &amp; Demand'!F110*$B$11,0)</f>
        <v>2013240</v>
      </c>
      <c r="L107" s="68">
        <f t="shared" si="8"/>
        <v>6863127</v>
      </c>
      <c r="M107" s="68">
        <f>'Revenue &amp; Demand'!I110</f>
        <v>14206</v>
      </c>
      <c r="N107" s="68">
        <f t="shared" si="9"/>
        <v>4919185</v>
      </c>
      <c r="O107" s="68">
        <f t="shared" si="10"/>
        <v>932949</v>
      </c>
      <c r="P107" s="68">
        <f t="shared" si="11"/>
        <v>763322</v>
      </c>
      <c r="Q107" s="68">
        <f t="shared" si="12"/>
        <v>330773</v>
      </c>
      <c r="R107" s="68">
        <f t="shared" si="13"/>
        <v>179108</v>
      </c>
      <c r="S107" s="68">
        <f t="shared" si="14"/>
        <v>7125337</v>
      </c>
      <c r="T107" s="68">
        <f t="shared" si="15"/>
        <v>13988464</v>
      </c>
      <c r="U107" s="68"/>
    </row>
    <row r="108" hidden="1">
      <c r="A108" s="67">
        <f>'Monthly Data'!A181</f>
        <v>48549</v>
      </c>
      <c r="B108" s="68">
        <f>'Revenue &amp; Demand'!C111</f>
        <v>16885</v>
      </c>
      <c r="C108" s="68">
        <f t="shared" si="1"/>
        <v>766140</v>
      </c>
      <c r="D108" s="68">
        <f t="shared" si="2"/>
        <v>362908</v>
      </c>
      <c r="E108" s="68">
        <f t="shared" si="3"/>
        <v>241939</v>
      </c>
      <c r="F108" s="68">
        <f t="shared" si="4"/>
        <v>161293</v>
      </c>
      <c r="G108" s="68">
        <f t="shared" si="5"/>
        <v>76614</v>
      </c>
      <c r="H108" s="68">
        <f t="shared" si="6"/>
        <v>119405</v>
      </c>
      <c r="I108" s="68">
        <f>'Workforce &amp; Expenses'!S133</f>
        <v>3144696</v>
      </c>
      <c r="J108" s="68">
        <f t="shared" si="7"/>
        <v>4872995</v>
      </c>
      <c r="K108" s="68">
        <f>ROUND('Revenue &amp; Demand'!F111*$B$11,0)</f>
        <v>2026200</v>
      </c>
      <c r="L108" s="68">
        <f t="shared" si="8"/>
        <v>6899195</v>
      </c>
      <c r="M108" s="68">
        <f>'Revenue &amp; Demand'!I111</f>
        <v>14490</v>
      </c>
      <c r="N108" s="68">
        <f t="shared" si="9"/>
        <v>5017527</v>
      </c>
      <c r="O108" s="68">
        <f t="shared" si="10"/>
        <v>951600</v>
      </c>
      <c r="P108" s="68">
        <f t="shared" si="11"/>
        <v>778582</v>
      </c>
      <c r="Q108" s="68">
        <f t="shared" si="12"/>
        <v>337385</v>
      </c>
      <c r="R108" s="68">
        <f t="shared" si="13"/>
        <v>179108</v>
      </c>
      <c r="S108" s="68">
        <f t="shared" si="14"/>
        <v>7264202</v>
      </c>
      <c r="T108" s="68">
        <f t="shared" si="15"/>
        <v>14163397</v>
      </c>
      <c r="U108" s="68"/>
    </row>
    <row r="109" hidden="1"/>
    <row r="110" hidden="1"/>
    <row r="111" hidden="1">
      <c r="A111" s="83" t="s">
        <v>351</v>
      </c>
    </row>
    <row r="112" hidden="1">
      <c r="A112" s="16" t="s">
        <v>352</v>
      </c>
    </row>
    <row r="113" hidden="1">
      <c r="A113" s="16" t="s">
        <v>353</v>
      </c>
    </row>
    <row r="114" hidden="1">
      <c r="A114" s="16" t="s">
        <v>354</v>
      </c>
    </row>
    <row r="115" hidden="1"/>
    <row r="116" hidden="1">
      <c r="A116" s="16" t="s">
        <v>355</v>
      </c>
    </row>
    <row r="117" hidden="1">
      <c r="A117" s="16" t="s">
        <v>356</v>
      </c>
    </row>
    <row r="118" hidden="1">
      <c r="A118" s="16" t="s">
        <v>2</v>
      </c>
      <c r="B118" s="16" t="s">
        <v>235</v>
      </c>
      <c r="C118" s="16" t="s">
        <v>357</v>
      </c>
      <c r="D118" s="16" t="s">
        <v>358</v>
      </c>
      <c r="E118" s="16" t="s">
        <v>359</v>
      </c>
      <c r="F118" s="16" t="s">
        <v>360</v>
      </c>
      <c r="G118" s="16" t="s">
        <v>361</v>
      </c>
      <c r="H118" s="16" t="s">
        <v>362</v>
      </c>
      <c r="I118" s="16" t="s">
        <v>363</v>
      </c>
      <c r="J118" s="16" t="s">
        <v>364</v>
      </c>
      <c r="K118" s="16" t="s">
        <v>365</v>
      </c>
      <c r="L118" s="16" t="s">
        <v>366</v>
      </c>
    </row>
    <row r="119" hidden="1">
      <c r="A119" s="27">
        <f>'Revenue &amp; Demand'!A124</f>
        <v>43101</v>
      </c>
      <c r="B119" s="27">
        <f>'Revenue &amp; Demand'!B124</f>
        <v>0</v>
      </c>
      <c r="C119" s="16">
        <v>0.0</v>
      </c>
      <c r="D119" s="27" t="str">
        <f>'Workforce &amp; Expenses'!I241</f>
        <v/>
      </c>
      <c r="E119" s="27">
        <f t="shared" ref="E119:E203" si="17">C119-D119</f>
        <v>0</v>
      </c>
      <c r="F119" s="27">
        <f t="shared" ref="F119:F203" si="18">D119+E119</f>
        <v>0</v>
      </c>
      <c r="G119" s="16">
        <v>0.08</v>
      </c>
      <c r="H119" s="16">
        <v>0.0</v>
      </c>
      <c r="I119" s="27">
        <f>ROUND('Revenue &amp; Demand'!E124*G119,0)+H119</f>
        <v>0</v>
      </c>
      <c r="J119" s="16">
        <v>0.0</v>
      </c>
      <c r="K119" s="27">
        <f t="shared" ref="K119:K203" si="19">SUM(F119,I119:J119)</f>
        <v>0</v>
      </c>
      <c r="L119" s="27">
        <f t="shared" ref="L119:L203" si="20">IFERROR(F119/B119,0)</f>
        <v>0</v>
      </c>
    </row>
    <row r="120" hidden="1">
      <c r="A120" s="27">
        <f>'Revenue &amp; Demand'!A125</f>
        <v>43132</v>
      </c>
      <c r="B120" s="27">
        <f>'Revenue &amp; Demand'!B125</f>
        <v>0</v>
      </c>
      <c r="C120" s="16">
        <v>0.0</v>
      </c>
      <c r="D120" s="27" t="str">
        <f>'Workforce &amp; Expenses'!I242</f>
        <v/>
      </c>
      <c r="E120" s="27">
        <f t="shared" si="17"/>
        <v>0</v>
      </c>
      <c r="F120" s="27">
        <f t="shared" si="18"/>
        <v>0</v>
      </c>
      <c r="G120" s="16">
        <v>0.08</v>
      </c>
      <c r="H120" s="16">
        <v>0.0</v>
      </c>
      <c r="I120" s="27">
        <f>ROUND('Revenue &amp; Demand'!E125*G120,0)+H120</f>
        <v>0</v>
      </c>
      <c r="J120" s="16">
        <v>0.0</v>
      </c>
      <c r="K120" s="27">
        <f t="shared" si="19"/>
        <v>0</v>
      </c>
      <c r="L120" s="27">
        <f t="shared" si="20"/>
        <v>0</v>
      </c>
    </row>
    <row r="121" hidden="1">
      <c r="A121" s="27">
        <f>'Revenue &amp; Demand'!A126</f>
        <v>43160</v>
      </c>
      <c r="B121" s="27">
        <f>'Revenue &amp; Demand'!B126</f>
        <v>0</v>
      </c>
      <c r="C121" s="16">
        <v>0.0</v>
      </c>
      <c r="D121" s="27" t="str">
        <f>'Workforce &amp; Expenses'!I243</f>
        <v/>
      </c>
      <c r="E121" s="27">
        <f t="shared" si="17"/>
        <v>0</v>
      </c>
      <c r="F121" s="27">
        <f t="shared" si="18"/>
        <v>0</v>
      </c>
      <c r="G121" s="16">
        <v>0.08</v>
      </c>
      <c r="H121" s="16">
        <v>0.0</v>
      </c>
      <c r="I121" s="27">
        <f>ROUND('Revenue &amp; Demand'!E126*G121,0)+H121</f>
        <v>0</v>
      </c>
      <c r="J121" s="16">
        <v>0.0</v>
      </c>
      <c r="K121" s="27">
        <f t="shared" si="19"/>
        <v>0</v>
      </c>
      <c r="L121" s="27">
        <f t="shared" si="20"/>
        <v>0</v>
      </c>
    </row>
    <row r="122" hidden="1">
      <c r="A122" s="27">
        <f>'Revenue &amp; Demand'!A127</f>
        <v>43191</v>
      </c>
      <c r="B122" s="27">
        <f>'Revenue &amp; Demand'!B127</f>
        <v>0</v>
      </c>
      <c r="C122" s="16">
        <v>0.0</v>
      </c>
      <c r="D122" s="27" t="str">
        <f>'Workforce &amp; Expenses'!I244</f>
        <v/>
      </c>
      <c r="E122" s="27">
        <f t="shared" si="17"/>
        <v>0</v>
      </c>
      <c r="F122" s="27">
        <f t="shared" si="18"/>
        <v>0</v>
      </c>
      <c r="G122" s="16">
        <v>0.08</v>
      </c>
      <c r="H122" s="16">
        <v>0.0</v>
      </c>
      <c r="I122" s="27">
        <f>ROUND('Revenue &amp; Demand'!E127*G122,0)+H122</f>
        <v>0</v>
      </c>
      <c r="J122" s="16">
        <v>0.0</v>
      </c>
      <c r="K122" s="27">
        <f t="shared" si="19"/>
        <v>0</v>
      </c>
      <c r="L122" s="27">
        <f t="shared" si="20"/>
        <v>0</v>
      </c>
    </row>
    <row r="123" hidden="1">
      <c r="A123" s="27">
        <f>'Revenue &amp; Demand'!A128</f>
        <v>43221</v>
      </c>
      <c r="B123" s="27">
        <f>'Revenue &amp; Demand'!B128</f>
        <v>0</v>
      </c>
      <c r="C123" s="16">
        <v>0.0</v>
      </c>
      <c r="D123" s="27" t="str">
        <f>'Workforce &amp; Expenses'!I245</f>
        <v/>
      </c>
      <c r="E123" s="27">
        <f t="shared" si="17"/>
        <v>0</v>
      </c>
      <c r="F123" s="27">
        <f t="shared" si="18"/>
        <v>0</v>
      </c>
      <c r="G123" s="16">
        <v>0.08</v>
      </c>
      <c r="H123" s="16">
        <v>0.0</v>
      </c>
      <c r="I123" s="27">
        <f>ROUND('Revenue &amp; Demand'!E128*G123,0)+H123</f>
        <v>0</v>
      </c>
      <c r="J123" s="16">
        <v>0.0</v>
      </c>
      <c r="K123" s="27">
        <f t="shared" si="19"/>
        <v>0</v>
      </c>
      <c r="L123" s="27">
        <f t="shared" si="20"/>
        <v>0</v>
      </c>
    </row>
    <row r="124" hidden="1">
      <c r="A124" s="27">
        <f>'Revenue &amp; Demand'!A129</f>
        <v>43252</v>
      </c>
      <c r="B124" s="27">
        <f>'Revenue &amp; Demand'!B129</f>
        <v>0</v>
      </c>
      <c r="C124" s="16">
        <v>0.0</v>
      </c>
      <c r="D124" s="27" t="str">
        <f>'Workforce &amp; Expenses'!I246</f>
        <v/>
      </c>
      <c r="E124" s="27">
        <f t="shared" si="17"/>
        <v>0</v>
      </c>
      <c r="F124" s="27">
        <f t="shared" si="18"/>
        <v>0</v>
      </c>
      <c r="G124" s="16">
        <v>0.08</v>
      </c>
      <c r="H124" s="16">
        <v>0.0</v>
      </c>
      <c r="I124" s="27">
        <f>ROUND('Revenue &amp; Demand'!E129*G124,0)+H124</f>
        <v>0</v>
      </c>
      <c r="J124" s="16">
        <v>0.0</v>
      </c>
      <c r="K124" s="27">
        <f t="shared" si="19"/>
        <v>0</v>
      </c>
      <c r="L124" s="27">
        <f t="shared" si="20"/>
        <v>0</v>
      </c>
    </row>
    <row r="125" hidden="1">
      <c r="A125" s="27">
        <f>'Revenue &amp; Demand'!A130</f>
        <v>43282</v>
      </c>
      <c r="B125" s="27">
        <f>'Revenue &amp; Demand'!B130</f>
        <v>0</v>
      </c>
      <c r="C125" s="16">
        <v>0.0</v>
      </c>
      <c r="D125" s="27" t="str">
        <f>'Workforce &amp; Expenses'!I247</f>
        <v/>
      </c>
      <c r="E125" s="27">
        <f t="shared" si="17"/>
        <v>0</v>
      </c>
      <c r="F125" s="27">
        <f t="shared" si="18"/>
        <v>0</v>
      </c>
      <c r="G125" s="16">
        <v>0.08</v>
      </c>
      <c r="H125" s="16">
        <v>0.0</v>
      </c>
      <c r="I125" s="27">
        <f>ROUND('Revenue &amp; Demand'!E130*G125,0)+H125</f>
        <v>0</v>
      </c>
      <c r="J125" s="16">
        <v>0.0</v>
      </c>
      <c r="K125" s="27">
        <f t="shared" si="19"/>
        <v>0</v>
      </c>
      <c r="L125" s="27">
        <f t="shared" si="20"/>
        <v>0</v>
      </c>
    </row>
    <row r="126" hidden="1">
      <c r="A126" s="27">
        <f>'Revenue &amp; Demand'!A131</f>
        <v>43313</v>
      </c>
      <c r="B126" s="27">
        <f>'Revenue &amp; Demand'!B131</f>
        <v>0</v>
      </c>
      <c r="C126" s="16">
        <v>0.0</v>
      </c>
      <c r="D126" s="27" t="str">
        <f>'Workforce &amp; Expenses'!I248</f>
        <v/>
      </c>
      <c r="E126" s="27">
        <f t="shared" si="17"/>
        <v>0</v>
      </c>
      <c r="F126" s="27">
        <f t="shared" si="18"/>
        <v>0</v>
      </c>
      <c r="G126" s="16">
        <v>0.08</v>
      </c>
      <c r="H126" s="16">
        <v>0.0</v>
      </c>
      <c r="I126" s="27">
        <f>ROUND('Revenue &amp; Demand'!E131*G126,0)+H126</f>
        <v>0</v>
      </c>
      <c r="J126" s="16">
        <v>0.0</v>
      </c>
      <c r="K126" s="27">
        <f t="shared" si="19"/>
        <v>0</v>
      </c>
      <c r="L126" s="27">
        <f t="shared" si="20"/>
        <v>0</v>
      </c>
    </row>
    <row r="127" hidden="1">
      <c r="A127" s="27">
        <f>'Revenue &amp; Demand'!A132</f>
        <v>43344</v>
      </c>
      <c r="B127" s="27">
        <f>'Revenue &amp; Demand'!B132</f>
        <v>0</v>
      </c>
      <c r="C127" s="16">
        <v>0.0</v>
      </c>
      <c r="D127" s="27" t="str">
        <f>'Workforce &amp; Expenses'!I249</f>
        <v/>
      </c>
      <c r="E127" s="27">
        <f t="shared" si="17"/>
        <v>0</v>
      </c>
      <c r="F127" s="27">
        <f t="shared" si="18"/>
        <v>0</v>
      </c>
      <c r="G127" s="16">
        <v>0.08</v>
      </c>
      <c r="H127" s="16">
        <v>0.0</v>
      </c>
      <c r="I127" s="27">
        <f>ROUND('Revenue &amp; Demand'!E132*G127,0)+H127</f>
        <v>0</v>
      </c>
      <c r="J127" s="16">
        <v>0.0</v>
      </c>
      <c r="K127" s="27">
        <f t="shared" si="19"/>
        <v>0</v>
      </c>
      <c r="L127" s="27">
        <f t="shared" si="20"/>
        <v>0</v>
      </c>
    </row>
    <row r="128" hidden="1">
      <c r="A128" s="27">
        <f>'Revenue &amp; Demand'!A133</f>
        <v>43374</v>
      </c>
      <c r="B128" s="27">
        <f>'Revenue &amp; Demand'!B133</f>
        <v>0</v>
      </c>
      <c r="C128" s="16">
        <v>0.0</v>
      </c>
      <c r="D128" s="27">
        <f>'Workforce &amp; Expenses'!I250</f>
        <v>0</v>
      </c>
      <c r="E128" s="27">
        <f t="shared" si="17"/>
        <v>0</v>
      </c>
      <c r="F128" s="27">
        <f t="shared" si="18"/>
        <v>0</v>
      </c>
      <c r="G128" s="16">
        <v>0.08</v>
      </c>
      <c r="H128" s="16">
        <v>0.0</v>
      </c>
      <c r="I128" s="27">
        <f>ROUND('Revenue &amp; Demand'!E133*G128,0)+H128</f>
        <v>0</v>
      </c>
      <c r="J128" s="16">
        <v>0.0</v>
      </c>
      <c r="K128" s="27">
        <f t="shared" si="19"/>
        <v>0</v>
      </c>
      <c r="L128" s="27">
        <f t="shared" si="20"/>
        <v>0</v>
      </c>
    </row>
    <row r="129" hidden="1">
      <c r="A129" s="27">
        <f>'Revenue &amp; Demand'!A134</f>
        <v>43405</v>
      </c>
      <c r="B129" s="27">
        <f>'Revenue &amp; Demand'!B134</f>
        <v>0</v>
      </c>
      <c r="C129" s="16">
        <v>0.0</v>
      </c>
      <c r="D129" s="27">
        <f>'Workforce &amp; Expenses'!I251</f>
        <v>0</v>
      </c>
      <c r="E129" s="27">
        <f t="shared" si="17"/>
        <v>0</v>
      </c>
      <c r="F129" s="27">
        <f t="shared" si="18"/>
        <v>0</v>
      </c>
      <c r="G129" s="16">
        <v>0.08</v>
      </c>
      <c r="H129" s="16">
        <v>0.0</v>
      </c>
      <c r="I129" s="27">
        <f>ROUND('Revenue &amp; Demand'!E134*G129,0)+H129</f>
        <v>0</v>
      </c>
      <c r="J129" s="16">
        <v>0.0</v>
      </c>
      <c r="K129" s="27">
        <f t="shared" si="19"/>
        <v>0</v>
      </c>
      <c r="L129" s="27">
        <f t="shared" si="20"/>
        <v>0</v>
      </c>
    </row>
    <row r="130" hidden="1">
      <c r="A130" s="27">
        <f>'Revenue &amp; Demand'!A135</f>
        <v>43435</v>
      </c>
      <c r="B130" s="27">
        <f>'Revenue &amp; Demand'!B135</f>
        <v>0</v>
      </c>
      <c r="C130" s="16">
        <v>0.0</v>
      </c>
      <c r="D130" s="27">
        <f>'Workforce &amp; Expenses'!I252</f>
        <v>0</v>
      </c>
      <c r="E130" s="27">
        <f t="shared" si="17"/>
        <v>0</v>
      </c>
      <c r="F130" s="27">
        <f t="shared" si="18"/>
        <v>0</v>
      </c>
      <c r="G130" s="16">
        <v>0.08</v>
      </c>
      <c r="H130" s="16">
        <v>0.0</v>
      </c>
      <c r="I130" s="27">
        <f>ROUND('Revenue &amp; Demand'!E135*G130,0)+H130</f>
        <v>0</v>
      </c>
      <c r="J130" s="16">
        <v>0.0</v>
      </c>
      <c r="K130" s="27">
        <f t="shared" si="19"/>
        <v>0</v>
      </c>
      <c r="L130" s="27">
        <f t="shared" si="20"/>
        <v>0</v>
      </c>
    </row>
    <row r="131" hidden="1">
      <c r="A131" s="27">
        <f>'Revenue &amp; Demand'!A136</f>
        <v>43466</v>
      </c>
      <c r="B131" s="27">
        <f>'Revenue &amp; Demand'!B136</f>
        <v>0</v>
      </c>
      <c r="C131" s="16">
        <v>0.0</v>
      </c>
      <c r="D131" s="27">
        <f>'Workforce &amp; Expenses'!I253</f>
        <v>0</v>
      </c>
      <c r="E131" s="27">
        <f t="shared" si="17"/>
        <v>0</v>
      </c>
      <c r="F131" s="27">
        <f t="shared" si="18"/>
        <v>0</v>
      </c>
      <c r="G131" s="16">
        <v>0.08</v>
      </c>
      <c r="H131" s="16">
        <v>0.0</v>
      </c>
      <c r="I131" s="27">
        <f>ROUND('Revenue &amp; Demand'!E136*G131,0)+H131</f>
        <v>0</v>
      </c>
      <c r="J131" s="16">
        <v>0.0</v>
      </c>
      <c r="K131" s="27">
        <f t="shared" si="19"/>
        <v>0</v>
      </c>
      <c r="L131" s="27">
        <f t="shared" si="20"/>
        <v>0</v>
      </c>
    </row>
    <row r="132" hidden="1">
      <c r="A132" s="27">
        <f>'Revenue &amp; Demand'!A137</f>
        <v>43497</v>
      </c>
      <c r="B132" s="27">
        <f>'Revenue &amp; Demand'!B137</f>
        <v>0</v>
      </c>
      <c r="C132" s="16">
        <v>0.0</v>
      </c>
      <c r="D132" s="27">
        <f>'Workforce &amp; Expenses'!I254</f>
        <v>0</v>
      </c>
      <c r="E132" s="27">
        <f t="shared" si="17"/>
        <v>0</v>
      </c>
      <c r="F132" s="27">
        <f t="shared" si="18"/>
        <v>0</v>
      </c>
      <c r="G132" s="16">
        <v>0.08</v>
      </c>
      <c r="H132" s="16">
        <v>0.0</v>
      </c>
      <c r="I132" s="27">
        <f>ROUND('Revenue &amp; Demand'!E137*G132,0)+H132</f>
        <v>0</v>
      </c>
      <c r="J132" s="16">
        <v>0.0</v>
      </c>
      <c r="K132" s="27">
        <f t="shared" si="19"/>
        <v>0</v>
      </c>
      <c r="L132" s="27">
        <f t="shared" si="20"/>
        <v>0</v>
      </c>
    </row>
    <row r="133" hidden="1">
      <c r="A133" s="27">
        <f>'Revenue &amp; Demand'!A138</f>
        <v>43525</v>
      </c>
      <c r="B133" s="27">
        <f>'Revenue &amp; Demand'!B138</f>
        <v>0</v>
      </c>
      <c r="C133" s="16">
        <v>0.0</v>
      </c>
      <c r="D133" s="27" t="str">
        <f>'Workforce &amp; Expenses'!I255</f>
        <v/>
      </c>
      <c r="E133" s="27">
        <f t="shared" si="17"/>
        <v>0</v>
      </c>
      <c r="F133" s="27">
        <f t="shared" si="18"/>
        <v>0</v>
      </c>
      <c r="G133" s="16">
        <v>0.08</v>
      </c>
      <c r="H133" s="16">
        <v>0.0</v>
      </c>
      <c r="I133" s="27">
        <f>ROUND('Revenue &amp; Demand'!E138*G133,0)+H133</f>
        <v>0</v>
      </c>
      <c r="J133" s="16">
        <v>0.0</v>
      </c>
      <c r="K133" s="27">
        <f t="shared" si="19"/>
        <v>0</v>
      </c>
      <c r="L133" s="27">
        <f t="shared" si="20"/>
        <v>0</v>
      </c>
    </row>
    <row r="134" hidden="1">
      <c r="A134" s="27">
        <f>'Revenue &amp; Demand'!A139</f>
        <v>43556</v>
      </c>
      <c r="B134" s="27">
        <f>'Revenue &amp; Demand'!B139</f>
        <v>0</v>
      </c>
      <c r="C134" s="16">
        <v>0.0</v>
      </c>
      <c r="D134" s="27" t="str">
        <f>'Workforce &amp; Expenses'!I256</f>
        <v/>
      </c>
      <c r="E134" s="27">
        <f t="shared" si="17"/>
        <v>0</v>
      </c>
      <c r="F134" s="27">
        <f t="shared" si="18"/>
        <v>0</v>
      </c>
      <c r="G134" s="16">
        <v>0.08</v>
      </c>
      <c r="H134" s="16">
        <v>0.0</v>
      </c>
      <c r="I134" s="27">
        <f>ROUND('Revenue &amp; Demand'!E139*G134,0)+H134</f>
        <v>0</v>
      </c>
      <c r="J134" s="16">
        <v>0.0</v>
      </c>
      <c r="K134" s="27">
        <f t="shared" si="19"/>
        <v>0</v>
      </c>
      <c r="L134" s="27">
        <f t="shared" si="20"/>
        <v>0</v>
      </c>
    </row>
    <row r="135" hidden="1">
      <c r="A135" s="27">
        <f>'Revenue &amp; Demand'!A140</f>
        <v>43586</v>
      </c>
      <c r="B135" s="27">
        <f>'Revenue &amp; Demand'!B140</f>
        <v>0</v>
      </c>
      <c r="C135" s="16">
        <v>0.0</v>
      </c>
      <c r="D135" s="27">
        <f>IF(ISNUMBER('Workforce &amp; Expenses'!I257),'Workforce &amp; Expenses'!I257,0)</f>
        <v>0</v>
      </c>
      <c r="E135" s="27">
        <f t="shared" si="17"/>
        <v>0</v>
      </c>
      <c r="F135" s="27">
        <f t="shared" si="18"/>
        <v>0</v>
      </c>
      <c r="G135" s="16">
        <v>0.08</v>
      </c>
      <c r="H135" s="16">
        <v>0.0</v>
      </c>
      <c r="I135" s="27">
        <f>ROUND('Revenue &amp; Demand'!E140*G135,0)+H135</f>
        <v>0</v>
      </c>
      <c r="J135" s="16">
        <v>0.0</v>
      </c>
      <c r="K135" s="27">
        <f t="shared" si="19"/>
        <v>0</v>
      </c>
      <c r="L135" s="27">
        <f t="shared" si="20"/>
        <v>0</v>
      </c>
    </row>
    <row r="136" hidden="1">
      <c r="A136" s="27">
        <f>'Revenue &amp; Demand'!A141</f>
        <v>43617</v>
      </c>
      <c r="B136" s="27">
        <f>'Revenue &amp; Demand'!B141</f>
        <v>0</v>
      </c>
      <c r="C136" s="16">
        <v>0.0</v>
      </c>
      <c r="D136" s="84">
        <f>'Workforce &amp; Expenses'!I258</f>
        <v>19133</v>
      </c>
      <c r="E136" s="84">
        <f t="shared" si="17"/>
        <v>-19133</v>
      </c>
      <c r="F136" s="84">
        <f t="shared" si="18"/>
        <v>0</v>
      </c>
      <c r="G136" s="16">
        <v>0.08</v>
      </c>
      <c r="H136" s="16">
        <v>0.0</v>
      </c>
      <c r="I136" s="27">
        <f>ROUND('Revenue &amp; Demand'!E141*G136,0)+H136</f>
        <v>0</v>
      </c>
      <c r="J136" s="16">
        <v>0.0</v>
      </c>
      <c r="K136" s="84">
        <f t="shared" si="19"/>
        <v>0</v>
      </c>
      <c r="L136" s="27">
        <f t="shared" si="20"/>
        <v>0</v>
      </c>
    </row>
    <row r="137" hidden="1">
      <c r="A137" s="27">
        <f>'Revenue &amp; Demand'!A142</f>
        <v>43647</v>
      </c>
      <c r="B137" s="27">
        <f>'Revenue &amp; Demand'!B142</f>
        <v>0</v>
      </c>
      <c r="C137" s="16">
        <v>0.0</v>
      </c>
      <c r="D137" s="84">
        <f>'Workforce &amp; Expenses'!I259</f>
        <v>28700</v>
      </c>
      <c r="E137" s="84">
        <f t="shared" si="17"/>
        <v>-28700</v>
      </c>
      <c r="F137" s="84">
        <f t="shared" si="18"/>
        <v>0</v>
      </c>
      <c r="G137" s="16">
        <v>0.08</v>
      </c>
      <c r="H137" s="16">
        <v>0.0</v>
      </c>
      <c r="I137" s="27">
        <f>ROUND('Revenue &amp; Demand'!E142*G137,0)+H137</f>
        <v>0</v>
      </c>
      <c r="J137" s="16">
        <v>0.0</v>
      </c>
      <c r="K137" s="84">
        <f t="shared" si="19"/>
        <v>0</v>
      </c>
      <c r="L137" s="27">
        <f t="shared" si="20"/>
        <v>0</v>
      </c>
    </row>
    <row r="138" hidden="1">
      <c r="A138" s="27">
        <f>'Revenue &amp; Demand'!A143</f>
        <v>43678</v>
      </c>
      <c r="B138" s="27">
        <f>'Revenue &amp; Demand'!B143</f>
        <v>0</v>
      </c>
      <c r="C138" s="16">
        <v>0.0</v>
      </c>
      <c r="D138" s="84">
        <f>'Workforce &amp; Expenses'!I260</f>
        <v>28700</v>
      </c>
      <c r="E138" s="84">
        <f t="shared" si="17"/>
        <v>-28700</v>
      </c>
      <c r="F138" s="84">
        <f t="shared" si="18"/>
        <v>0</v>
      </c>
      <c r="G138" s="16">
        <v>0.08</v>
      </c>
      <c r="H138" s="16">
        <v>0.0</v>
      </c>
      <c r="I138" s="27">
        <f>ROUND('Revenue &amp; Demand'!E143*G138,0)+H138</f>
        <v>0</v>
      </c>
      <c r="J138" s="16">
        <v>0.0</v>
      </c>
      <c r="K138" s="84">
        <f t="shared" si="19"/>
        <v>0</v>
      </c>
      <c r="L138" s="27">
        <f t="shared" si="20"/>
        <v>0</v>
      </c>
    </row>
    <row r="139" hidden="1">
      <c r="A139" s="27">
        <f>'Revenue &amp; Demand'!A144</f>
        <v>43709</v>
      </c>
      <c r="B139" s="27">
        <f>'Revenue &amp; Demand'!B144</f>
        <v>0</v>
      </c>
      <c r="C139" s="16">
        <v>0.0</v>
      </c>
      <c r="D139" s="84">
        <f>'Workforce &amp; Expenses'!I261</f>
        <v>28700</v>
      </c>
      <c r="E139" s="84">
        <f t="shared" si="17"/>
        <v>-28700</v>
      </c>
      <c r="F139" s="84">
        <f t="shared" si="18"/>
        <v>0</v>
      </c>
      <c r="G139" s="16">
        <v>0.08</v>
      </c>
      <c r="H139" s="16">
        <v>0.0</v>
      </c>
      <c r="I139" s="27">
        <f>ROUND('Revenue &amp; Demand'!E144*G139,0)+H139</f>
        <v>0</v>
      </c>
      <c r="J139" s="16">
        <v>0.0</v>
      </c>
      <c r="K139" s="84">
        <f t="shared" si="19"/>
        <v>0</v>
      </c>
      <c r="L139" s="27">
        <f t="shared" si="20"/>
        <v>0</v>
      </c>
    </row>
    <row r="140" hidden="1">
      <c r="A140" s="27">
        <f>'Revenue &amp; Demand'!A145</f>
        <v>43739</v>
      </c>
      <c r="B140" s="27">
        <f>'Revenue &amp; Demand'!B145</f>
        <v>0</v>
      </c>
      <c r="C140" s="16">
        <v>0.0</v>
      </c>
      <c r="D140" s="84">
        <f>'Workforce &amp; Expenses'!I262</f>
        <v>38267</v>
      </c>
      <c r="E140" s="84">
        <f t="shared" si="17"/>
        <v>-38267</v>
      </c>
      <c r="F140" s="84">
        <f t="shared" si="18"/>
        <v>0</v>
      </c>
      <c r="G140" s="16">
        <v>0.08</v>
      </c>
      <c r="H140" s="16">
        <v>0.0</v>
      </c>
      <c r="I140" s="27">
        <f>ROUND('Revenue &amp; Demand'!E145*G140,0)+H140</f>
        <v>0</v>
      </c>
      <c r="J140" s="16">
        <v>0.0</v>
      </c>
      <c r="K140" s="84">
        <f t="shared" si="19"/>
        <v>0</v>
      </c>
      <c r="L140" s="27">
        <f t="shared" si="20"/>
        <v>0</v>
      </c>
    </row>
    <row r="141" hidden="1">
      <c r="A141" s="27">
        <f>'Revenue &amp; Demand'!A146</f>
        <v>43770</v>
      </c>
      <c r="B141" s="27">
        <f>'Revenue &amp; Demand'!B146</f>
        <v>0</v>
      </c>
      <c r="C141" s="16">
        <v>0.0</v>
      </c>
      <c r="D141" s="84">
        <f>'Workforce &amp; Expenses'!I263</f>
        <v>38267</v>
      </c>
      <c r="E141" s="84">
        <f t="shared" si="17"/>
        <v>-38267</v>
      </c>
      <c r="F141" s="84">
        <f t="shared" si="18"/>
        <v>0</v>
      </c>
      <c r="G141" s="16">
        <v>0.08</v>
      </c>
      <c r="H141" s="16">
        <v>0.0</v>
      </c>
      <c r="I141" s="27">
        <f>ROUND('Revenue &amp; Demand'!E146*G141,0)+H141</f>
        <v>0</v>
      </c>
      <c r="J141" s="16">
        <v>0.0</v>
      </c>
      <c r="K141" s="84">
        <f t="shared" si="19"/>
        <v>0</v>
      </c>
      <c r="L141" s="27">
        <f t="shared" si="20"/>
        <v>0</v>
      </c>
    </row>
    <row r="142" hidden="1">
      <c r="A142" s="27">
        <f>'Revenue &amp; Demand'!A147</f>
        <v>43800</v>
      </c>
      <c r="B142" s="27">
        <f>'Revenue &amp; Demand'!B147</f>
        <v>0</v>
      </c>
      <c r="C142" s="16">
        <v>0.0</v>
      </c>
      <c r="D142" s="84">
        <f>'Workforce &amp; Expenses'!I264</f>
        <v>38267</v>
      </c>
      <c r="E142" s="84">
        <f t="shared" si="17"/>
        <v>-38267</v>
      </c>
      <c r="F142" s="84">
        <f t="shared" si="18"/>
        <v>0</v>
      </c>
      <c r="G142" s="16">
        <v>0.08</v>
      </c>
      <c r="H142" s="16">
        <v>0.0</v>
      </c>
      <c r="I142" s="27">
        <f>ROUND('Revenue &amp; Demand'!E147*G142,0)+H142</f>
        <v>0</v>
      </c>
      <c r="J142" s="16">
        <v>0.0</v>
      </c>
      <c r="K142" s="84">
        <f t="shared" si="19"/>
        <v>0</v>
      </c>
      <c r="L142" s="27">
        <f t="shared" si="20"/>
        <v>0</v>
      </c>
    </row>
    <row r="143" hidden="1">
      <c r="A143" s="27">
        <f>'Revenue &amp; Demand'!A148</f>
        <v>43831</v>
      </c>
      <c r="B143" s="27">
        <f>'Revenue &amp; Demand'!B148</f>
        <v>0</v>
      </c>
      <c r="C143" s="16">
        <v>0.0</v>
      </c>
      <c r="D143" s="84">
        <f>'Workforce &amp; Expenses'!I265</f>
        <v>47833</v>
      </c>
      <c r="E143" s="84">
        <f t="shared" si="17"/>
        <v>-47833</v>
      </c>
      <c r="F143" s="84">
        <f t="shared" si="18"/>
        <v>0</v>
      </c>
      <c r="G143" s="16">
        <v>0.08</v>
      </c>
      <c r="H143" s="16">
        <v>0.0</v>
      </c>
      <c r="I143" s="27">
        <f>ROUND('Revenue &amp; Demand'!E148*G143,0)+H143</f>
        <v>0</v>
      </c>
      <c r="J143" s="16">
        <v>0.0</v>
      </c>
      <c r="K143" s="84">
        <f t="shared" si="19"/>
        <v>0</v>
      </c>
      <c r="L143" s="27">
        <f t="shared" si="20"/>
        <v>0</v>
      </c>
    </row>
    <row r="144" hidden="1">
      <c r="A144" s="27">
        <f>'Revenue &amp; Demand'!A149</f>
        <v>43862</v>
      </c>
      <c r="B144" s="27">
        <f>'Revenue &amp; Demand'!B149</f>
        <v>0</v>
      </c>
      <c r="C144" s="16">
        <v>0.0</v>
      </c>
      <c r="D144" s="84">
        <f>'Workforce &amp; Expenses'!I266</f>
        <v>47833</v>
      </c>
      <c r="E144" s="84">
        <f t="shared" si="17"/>
        <v>-47833</v>
      </c>
      <c r="F144" s="84">
        <f t="shared" si="18"/>
        <v>0</v>
      </c>
      <c r="G144" s="16">
        <v>0.08</v>
      </c>
      <c r="H144" s="16">
        <v>0.0</v>
      </c>
      <c r="I144" s="27">
        <f>ROUND('Revenue &amp; Demand'!E149*G144,0)+H144</f>
        <v>0</v>
      </c>
      <c r="J144" s="16">
        <v>0.0</v>
      </c>
      <c r="K144" s="84">
        <f t="shared" si="19"/>
        <v>0</v>
      </c>
      <c r="L144" s="27">
        <f t="shared" si="20"/>
        <v>0</v>
      </c>
    </row>
    <row r="145" hidden="1">
      <c r="A145" s="27">
        <f>'Revenue &amp; Demand'!A150</f>
        <v>43891</v>
      </c>
      <c r="B145" s="27">
        <f>'Revenue &amp; Demand'!B150</f>
        <v>0</v>
      </c>
      <c r="C145" s="16">
        <v>0.0</v>
      </c>
      <c r="D145" s="84">
        <f>'Workforce &amp; Expenses'!I267</f>
        <v>47833</v>
      </c>
      <c r="E145" s="84">
        <f t="shared" si="17"/>
        <v>-47833</v>
      </c>
      <c r="F145" s="84">
        <f t="shared" si="18"/>
        <v>0</v>
      </c>
      <c r="G145" s="16">
        <v>0.08</v>
      </c>
      <c r="H145" s="16">
        <v>0.0</v>
      </c>
      <c r="I145" s="27">
        <f>ROUND('Revenue &amp; Demand'!E150*G145,0)+H145</f>
        <v>0</v>
      </c>
      <c r="J145" s="16">
        <v>0.0</v>
      </c>
      <c r="K145" s="84">
        <f t="shared" si="19"/>
        <v>0</v>
      </c>
      <c r="L145" s="27">
        <f t="shared" si="20"/>
        <v>0</v>
      </c>
    </row>
    <row r="146" hidden="1">
      <c r="A146" s="27">
        <f>'Revenue &amp; Demand'!A151</f>
        <v>43922</v>
      </c>
      <c r="B146" s="27">
        <f>'Revenue &amp; Demand'!B151</f>
        <v>0</v>
      </c>
      <c r="C146" s="16">
        <v>0.0</v>
      </c>
      <c r="D146" s="84">
        <f>'Workforce &amp; Expenses'!I268</f>
        <v>57400</v>
      </c>
      <c r="E146" s="84">
        <f t="shared" si="17"/>
        <v>-57400</v>
      </c>
      <c r="F146" s="84">
        <f t="shared" si="18"/>
        <v>0</v>
      </c>
      <c r="G146" s="16">
        <v>0.08</v>
      </c>
      <c r="H146" s="16">
        <v>0.0</v>
      </c>
      <c r="I146" s="27">
        <f>ROUND('Revenue &amp; Demand'!E151*G146,0)+H146</f>
        <v>0</v>
      </c>
      <c r="J146" s="16">
        <v>0.0</v>
      </c>
      <c r="K146" s="84">
        <f t="shared" si="19"/>
        <v>0</v>
      </c>
      <c r="L146" s="27">
        <f t="shared" si="20"/>
        <v>0</v>
      </c>
    </row>
    <row r="147" hidden="1">
      <c r="A147" s="27">
        <f>'Revenue &amp; Demand'!A152</f>
        <v>43952</v>
      </c>
      <c r="B147" s="27">
        <f>'Revenue &amp; Demand'!B152</f>
        <v>0</v>
      </c>
      <c r="C147" s="16">
        <v>0.0</v>
      </c>
      <c r="D147" s="84">
        <f>'Workforce &amp; Expenses'!I269</f>
        <v>57400</v>
      </c>
      <c r="E147" s="84">
        <f t="shared" si="17"/>
        <v>-57400</v>
      </c>
      <c r="F147" s="84">
        <f t="shared" si="18"/>
        <v>0</v>
      </c>
      <c r="G147" s="16">
        <v>0.08</v>
      </c>
      <c r="H147" s="16">
        <v>0.0</v>
      </c>
      <c r="I147" s="27">
        <f>ROUND('Revenue &amp; Demand'!E152*G147,0)+H147</f>
        <v>0</v>
      </c>
      <c r="J147" s="16">
        <v>0.0</v>
      </c>
      <c r="K147" s="84">
        <f t="shared" si="19"/>
        <v>0</v>
      </c>
      <c r="L147" s="27">
        <f t="shared" si="20"/>
        <v>0</v>
      </c>
    </row>
    <row r="148" hidden="1">
      <c r="A148" s="27">
        <f>'Revenue &amp; Demand'!A153</f>
        <v>43983</v>
      </c>
      <c r="B148" s="27">
        <f>'Revenue &amp; Demand'!B153</f>
        <v>0</v>
      </c>
      <c r="C148" s="16">
        <v>0.0</v>
      </c>
      <c r="D148" s="84">
        <f>'Workforce &amp; Expenses'!I270</f>
        <v>68976</v>
      </c>
      <c r="E148" s="84">
        <f t="shared" si="17"/>
        <v>-68976</v>
      </c>
      <c r="F148" s="84">
        <f t="shared" si="18"/>
        <v>0</v>
      </c>
      <c r="G148" s="16">
        <v>0.08</v>
      </c>
      <c r="H148" s="16">
        <v>0.0</v>
      </c>
      <c r="I148" s="27">
        <f>ROUND('Revenue &amp; Demand'!E153*G148,0)+H148</f>
        <v>0</v>
      </c>
      <c r="J148" s="16">
        <v>0.0</v>
      </c>
      <c r="K148" s="84">
        <f t="shared" si="19"/>
        <v>0</v>
      </c>
      <c r="L148" s="27">
        <f t="shared" si="20"/>
        <v>0</v>
      </c>
    </row>
    <row r="149" hidden="1">
      <c r="A149" s="27">
        <f>'Revenue &amp; Demand'!A154</f>
        <v>44013</v>
      </c>
      <c r="B149" s="27">
        <f>'Revenue &amp; Demand'!B154</f>
        <v>0</v>
      </c>
      <c r="C149" s="16">
        <v>0.0</v>
      </c>
      <c r="D149" s="84">
        <f>'Workforce &amp; Expenses'!I271</f>
        <v>68976</v>
      </c>
      <c r="E149" s="84">
        <f t="shared" si="17"/>
        <v>-68976</v>
      </c>
      <c r="F149" s="84">
        <f t="shared" si="18"/>
        <v>0</v>
      </c>
      <c r="G149" s="16">
        <v>0.08</v>
      </c>
      <c r="H149" s="16">
        <v>0.0</v>
      </c>
      <c r="I149" s="27">
        <f>ROUND('Revenue &amp; Demand'!E154*G149,0)+H149</f>
        <v>0</v>
      </c>
      <c r="J149" s="16">
        <v>0.0</v>
      </c>
      <c r="K149" s="84">
        <f t="shared" si="19"/>
        <v>0</v>
      </c>
      <c r="L149" s="27">
        <f t="shared" si="20"/>
        <v>0</v>
      </c>
    </row>
    <row r="150" hidden="1">
      <c r="A150" s="27">
        <f>'Revenue &amp; Demand'!A155</f>
        <v>44044</v>
      </c>
      <c r="B150" s="27">
        <f>'Revenue &amp; Demand'!B155</f>
        <v>0</v>
      </c>
      <c r="C150" s="16">
        <v>0.0</v>
      </c>
      <c r="D150" s="84">
        <f>'Workforce &amp; Expenses'!I272</f>
        <v>78829</v>
      </c>
      <c r="E150" s="84">
        <f t="shared" si="17"/>
        <v>-78829</v>
      </c>
      <c r="F150" s="84">
        <f t="shared" si="18"/>
        <v>0</v>
      </c>
      <c r="G150" s="16">
        <v>0.08</v>
      </c>
      <c r="H150" s="16">
        <v>0.0</v>
      </c>
      <c r="I150" s="27">
        <f>ROUND('Revenue &amp; Demand'!E155*G150,0)+H150</f>
        <v>0</v>
      </c>
      <c r="J150" s="16">
        <v>0.0</v>
      </c>
      <c r="K150" s="84">
        <f t="shared" si="19"/>
        <v>0</v>
      </c>
      <c r="L150" s="27">
        <f t="shared" si="20"/>
        <v>0</v>
      </c>
    </row>
    <row r="151" hidden="1">
      <c r="A151" s="27">
        <f>'Revenue &amp; Demand'!A156</f>
        <v>44075</v>
      </c>
      <c r="B151" s="27">
        <f>'Revenue &amp; Demand'!B156</f>
        <v>0</v>
      </c>
      <c r="C151" s="16">
        <v>0.0</v>
      </c>
      <c r="D151" s="84">
        <f>'Workforce &amp; Expenses'!I273</f>
        <v>78829</v>
      </c>
      <c r="E151" s="84">
        <f t="shared" si="17"/>
        <v>-78829</v>
      </c>
      <c r="F151" s="84">
        <f t="shared" si="18"/>
        <v>0</v>
      </c>
      <c r="G151" s="16">
        <v>0.08</v>
      </c>
      <c r="H151" s="16">
        <v>0.0</v>
      </c>
      <c r="I151" s="27">
        <f>ROUND('Revenue &amp; Demand'!E156*G151,0)+H151</f>
        <v>0</v>
      </c>
      <c r="J151" s="16">
        <v>0.0</v>
      </c>
      <c r="K151" s="84">
        <f t="shared" si="19"/>
        <v>0</v>
      </c>
      <c r="L151" s="27">
        <f t="shared" si="20"/>
        <v>0</v>
      </c>
    </row>
    <row r="152" hidden="1">
      <c r="A152" s="27">
        <f>'Revenue &amp; Demand'!A157</f>
        <v>44105</v>
      </c>
      <c r="B152" s="27">
        <f>'Revenue &amp; Demand'!B157</f>
        <v>0</v>
      </c>
      <c r="C152" s="16">
        <v>0.0</v>
      </c>
      <c r="D152" s="84">
        <f>'Workforce &amp; Expenses'!I274</f>
        <v>88683</v>
      </c>
      <c r="E152" s="84">
        <f t="shared" si="17"/>
        <v>-88683</v>
      </c>
      <c r="F152" s="84">
        <f t="shared" si="18"/>
        <v>0</v>
      </c>
      <c r="G152" s="16">
        <v>0.08</v>
      </c>
      <c r="H152" s="16">
        <v>0.0</v>
      </c>
      <c r="I152" s="27">
        <f>ROUND('Revenue &amp; Demand'!E157*G152,0)+H152</f>
        <v>0</v>
      </c>
      <c r="J152" s="16">
        <v>0.0</v>
      </c>
      <c r="K152" s="84">
        <f t="shared" si="19"/>
        <v>0</v>
      </c>
      <c r="L152" s="27">
        <f t="shared" si="20"/>
        <v>0</v>
      </c>
    </row>
    <row r="153" hidden="1">
      <c r="A153" s="27">
        <f>'Revenue &amp; Demand'!A158</f>
        <v>44136</v>
      </c>
      <c r="B153" s="27">
        <f>'Revenue &amp; Demand'!B158</f>
        <v>0</v>
      </c>
      <c r="C153" s="16">
        <v>0.0</v>
      </c>
      <c r="D153" s="84">
        <f>'Workforce &amp; Expenses'!I275</f>
        <v>88683</v>
      </c>
      <c r="E153" s="84">
        <f t="shared" si="17"/>
        <v>-88683</v>
      </c>
      <c r="F153" s="84">
        <f t="shared" si="18"/>
        <v>0</v>
      </c>
      <c r="G153" s="16">
        <v>0.08</v>
      </c>
      <c r="H153" s="16">
        <v>0.0</v>
      </c>
      <c r="I153" s="27">
        <f>ROUND('Revenue &amp; Demand'!E158*G153,0)+H153</f>
        <v>0</v>
      </c>
      <c r="J153" s="16">
        <v>0.0</v>
      </c>
      <c r="K153" s="84">
        <f t="shared" si="19"/>
        <v>0</v>
      </c>
      <c r="L153" s="27">
        <f t="shared" si="20"/>
        <v>0</v>
      </c>
    </row>
    <row r="154" hidden="1">
      <c r="A154" s="27">
        <f>'Revenue &amp; Demand'!A159</f>
        <v>44166</v>
      </c>
      <c r="B154" s="27">
        <f>'Revenue &amp; Demand'!B159</f>
        <v>0</v>
      </c>
      <c r="C154" s="16">
        <v>0.0</v>
      </c>
      <c r="D154" s="84">
        <f>'Workforce &amp; Expenses'!I276</f>
        <v>98537</v>
      </c>
      <c r="E154" s="84">
        <f t="shared" si="17"/>
        <v>-98537</v>
      </c>
      <c r="F154" s="84">
        <f t="shared" si="18"/>
        <v>0</v>
      </c>
      <c r="G154" s="16">
        <v>0.08</v>
      </c>
      <c r="H154" s="16">
        <v>0.0</v>
      </c>
      <c r="I154" s="27">
        <f>ROUND('Revenue &amp; Demand'!E159*G154,0)+H154</f>
        <v>0</v>
      </c>
      <c r="J154" s="16">
        <v>0.0</v>
      </c>
      <c r="K154" s="84">
        <f t="shared" si="19"/>
        <v>0</v>
      </c>
      <c r="L154" s="27">
        <f t="shared" si="20"/>
        <v>0</v>
      </c>
    </row>
    <row r="155" hidden="1">
      <c r="A155" s="27">
        <f>'Revenue &amp; Demand'!A160</f>
        <v>44197</v>
      </c>
      <c r="B155" s="27">
        <f>'Revenue &amp; Demand'!B160</f>
        <v>0</v>
      </c>
      <c r="C155" s="16">
        <v>0.0</v>
      </c>
      <c r="D155" s="84">
        <f>'Workforce &amp; Expenses'!I277</f>
        <v>98537</v>
      </c>
      <c r="E155" s="84">
        <f t="shared" si="17"/>
        <v>-98537</v>
      </c>
      <c r="F155" s="84">
        <f t="shared" si="18"/>
        <v>0</v>
      </c>
      <c r="G155" s="16">
        <v>0.08</v>
      </c>
      <c r="H155" s="16">
        <v>0.0</v>
      </c>
      <c r="I155" s="27">
        <f>ROUND('Revenue &amp; Demand'!E160*G155,0)+H155</f>
        <v>0</v>
      </c>
      <c r="J155" s="16">
        <v>0.0</v>
      </c>
      <c r="K155" s="84">
        <f t="shared" si="19"/>
        <v>0</v>
      </c>
      <c r="L155" s="27">
        <f t="shared" si="20"/>
        <v>0</v>
      </c>
    </row>
    <row r="156" hidden="1">
      <c r="A156" s="27">
        <f>'Revenue &amp; Demand'!A161</f>
        <v>44228</v>
      </c>
      <c r="B156" s="27">
        <f>'Revenue &amp; Demand'!B161</f>
        <v>0</v>
      </c>
      <c r="C156" s="16">
        <v>0.0</v>
      </c>
      <c r="D156" s="84">
        <f>'Workforce &amp; Expenses'!I278</f>
        <v>108390</v>
      </c>
      <c r="E156" s="84">
        <f t="shared" si="17"/>
        <v>-108390</v>
      </c>
      <c r="F156" s="84">
        <f t="shared" si="18"/>
        <v>0</v>
      </c>
      <c r="G156" s="16">
        <v>0.08</v>
      </c>
      <c r="H156" s="16">
        <v>0.0</v>
      </c>
      <c r="I156" s="27">
        <f>ROUND('Revenue &amp; Demand'!E161*G156,0)+H156</f>
        <v>0</v>
      </c>
      <c r="J156" s="16">
        <v>0.0</v>
      </c>
      <c r="K156" s="84">
        <f t="shared" si="19"/>
        <v>0</v>
      </c>
      <c r="L156" s="27">
        <f t="shared" si="20"/>
        <v>0</v>
      </c>
    </row>
    <row r="157" hidden="1">
      <c r="A157" s="27">
        <f>'Revenue &amp; Demand'!A162</f>
        <v>44256</v>
      </c>
      <c r="B157" s="27">
        <f>'Revenue &amp; Demand'!B162</f>
        <v>0</v>
      </c>
      <c r="C157" s="16">
        <v>0.0</v>
      </c>
      <c r="D157" s="84">
        <f>'Workforce &amp; Expenses'!I279</f>
        <v>108390</v>
      </c>
      <c r="E157" s="84">
        <f t="shared" si="17"/>
        <v>-108390</v>
      </c>
      <c r="F157" s="84">
        <f t="shared" si="18"/>
        <v>0</v>
      </c>
      <c r="G157" s="16">
        <v>0.08</v>
      </c>
      <c r="H157" s="16">
        <v>0.0</v>
      </c>
      <c r="I157" s="27">
        <f>ROUND('Revenue &amp; Demand'!E162*G157,0)+H157</f>
        <v>0</v>
      </c>
      <c r="J157" s="16">
        <v>0.0</v>
      </c>
      <c r="K157" s="84">
        <f t="shared" si="19"/>
        <v>0</v>
      </c>
      <c r="L157" s="27">
        <f t="shared" si="20"/>
        <v>0</v>
      </c>
    </row>
    <row r="158" hidden="1">
      <c r="A158" s="27">
        <f>'Revenue &amp; Demand'!A163</f>
        <v>44287</v>
      </c>
      <c r="B158" s="27">
        <f>'Revenue &amp; Demand'!B163</f>
        <v>0</v>
      </c>
      <c r="C158" s="16">
        <v>0.0</v>
      </c>
      <c r="D158" s="84">
        <f>'Workforce &amp; Expenses'!I280</f>
        <v>118244</v>
      </c>
      <c r="E158" s="84">
        <f t="shared" si="17"/>
        <v>-118244</v>
      </c>
      <c r="F158" s="84">
        <f t="shared" si="18"/>
        <v>0</v>
      </c>
      <c r="G158" s="16">
        <v>0.08</v>
      </c>
      <c r="H158" s="16">
        <v>0.0</v>
      </c>
      <c r="I158" s="27">
        <f>ROUND('Revenue &amp; Demand'!E163*G158,0)+H158</f>
        <v>0</v>
      </c>
      <c r="J158" s="16">
        <v>0.0</v>
      </c>
      <c r="K158" s="84">
        <f t="shared" si="19"/>
        <v>0</v>
      </c>
      <c r="L158" s="27">
        <f t="shared" si="20"/>
        <v>0</v>
      </c>
    </row>
    <row r="159" hidden="1">
      <c r="A159" s="27" t="str">
        <f>'Revenue &amp; Demand'!A164</f>
        <v>INTEGRATED MONTHLY REVENUE</v>
      </c>
      <c r="B159" s="27" t="str">
        <f>'Revenue &amp; Demand'!B164</f>
        <v/>
      </c>
      <c r="C159" s="16">
        <v>0.0</v>
      </c>
      <c r="D159" s="84">
        <f>'Workforce &amp; Expenses'!I281</f>
        <v>118244</v>
      </c>
      <c r="E159" s="84">
        <f t="shared" si="17"/>
        <v>-118244</v>
      </c>
      <c r="F159" s="84">
        <f t="shared" si="18"/>
        <v>0</v>
      </c>
      <c r="G159" s="16">
        <v>0.08</v>
      </c>
      <c r="H159" s="16">
        <v>0.0</v>
      </c>
      <c r="I159" s="27">
        <f>ROUND('Revenue &amp; Demand'!E164*G159,0)+H159</f>
        <v>0</v>
      </c>
      <c r="J159" s="16">
        <v>0.0</v>
      </c>
      <c r="K159" s="84">
        <f t="shared" si="19"/>
        <v>0</v>
      </c>
      <c r="L159" s="27">
        <f t="shared" si="20"/>
        <v>0</v>
      </c>
    </row>
    <row r="160" hidden="1">
      <c r="A160" s="27" t="str">
        <f>'Revenue &amp; Demand'!A165</f>
        <v>Month</v>
      </c>
      <c r="B160" s="27" t="str">
        <f>'Revenue &amp; Demand'!B165</f>
        <v>Fiscal year</v>
      </c>
      <c r="C160" s="16">
        <v>0.0</v>
      </c>
      <c r="D160" s="84">
        <f>'Workforce &amp; Expenses'!I282</f>
        <v>131940</v>
      </c>
      <c r="E160" s="84">
        <f t="shared" si="17"/>
        <v>-131940</v>
      </c>
      <c r="F160" s="84">
        <f t="shared" si="18"/>
        <v>0</v>
      </c>
      <c r="G160" s="16">
        <v>0.08</v>
      </c>
      <c r="H160" s="16">
        <v>0.0</v>
      </c>
      <c r="I160" s="27">
        <f>IF(ISNUMBER('Revenue &amp; Demand'!E165),ROUND('Revenue &amp; Demand'!E165*G160,0)+H160,0)</f>
        <v>0</v>
      </c>
      <c r="J160" s="16">
        <v>0.0</v>
      </c>
      <c r="K160" s="84">
        <f t="shared" si="19"/>
        <v>0</v>
      </c>
      <c r="L160" s="27">
        <f t="shared" si="20"/>
        <v>0</v>
      </c>
    </row>
    <row r="161" hidden="1">
      <c r="A161" s="67">
        <f>'Revenue &amp; Demand'!A166</f>
        <v>43101</v>
      </c>
      <c r="B161" s="103">
        <f>'Revenue &amp; Demand'!B166</f>
        <v>2018</v>
      </c>
      <c r="C161" s="16">
        <v>0.0</v>
      </c>
      <c r="D161" s="84">
        <f>'Workforce &amp; Expenses'!I283</f>
        <v>131940</v>
      </c>
      <c r="E161" s="84">
        <f t="shared" si="17"/>
        <v>-131940</v>
      </c>
      <c r="F161" s="84">
        <f t="shared" si="18"/>
        <v>0</v>
      </c>
      <c r="G161" s="16">
        <v>0.08</v>
      </c>
      <c r="H161" s="16">
        <v>0.0</v>
      </c>
      <c r="I161" s="84">
        <f>ROUND('Revenue &amp; Demand'!E166*G161,0)+H161</f>
        <v>0</v>
      </c>
      <c r="J161" s="16">
        <v>0.0</v>
      </c>
      <c r="K161" s="84">
        <f t="shared" si="19"/>
        <v>0</v>
      </c>
      <c r="L161" s="27">
        <f t="shared" si="20"/>
        <v>0</v>
      </c>
    </row>
    <row r="162" hidden="1">
      <c r="A162" s="67">
        <f>'Revenue &amp; Demand'!A167</f>
        <v>43132</v>
      </c>
      <c r="B162" s="103">
        <f>'Revenue &amp; Demand'!B167</f>
        <v>2018</v>
      </c>
      <c r="C162" s="16">
        <v>0.0</v>
      </c>
      <c r="D162" s="84">
        <f>'Workforce &amp; Expenses'!I284</f>
        <v>142090</v>
      </c>
      <c r="E162" s="84">
        <f t="shared" si="17"/>
        <v>-142090</v>
      </c>
      <c r="F162" s="84">
        <f t="shared" si="18"/>
        <v>0</v>
      </c>
      <c r="G162" s="16">
        <v>0.08</v>
      </c>
      <c r="H162" s="16">
        <v>0.0</v>
      </c>
      <c r="I162" s="84">
        <f>ROUND('Revenue &amp; Demand'!E167*G162,0)+H162</f>
        <v>0</v>
      </c>
      <c r="J162" s="16">
        <v>0.0</v>
      </c>
      <c r="K162" s="84">
        <f t="shared" si="19"/>
        <v>0</v>
      </c>
      <c r="L162" s="27">
        <f t="shared" si="20"/>
        <v>0</v>
      </c>
    </row>
    <row r="163" hidden="1">
      <c r="A163" s="67">
        <f>'Revenue &amp; Demand'!A168</f>
        <v>43160</v>
      </c>
      <c r="B163" s="103">
        <f>'Revenue &amp; Demand'!B168</f>
        <v>2018</v>
      </c>
      <c r="C163" s="16">
        <v>0.0</v>
      </c>
      <c r="D163" s="84">
        <f>'Workforce &amp; Expenses'!I285</f>
        <v>142090</v>
      </c>
      <c r="E163" s="84">
        <f t="shared" si="17"/>
        <v>-142090</v>
      </c>
      <c r="F163" s="84">
        <f t="shared" si="18"/>
        <v>0</v>
      </c>
      <c r="G163" s="16">
        <v>0.08</v>
      </c>
      <c r="H163" s="16">
        <v>0.0</v>
      </c>
      <c r="I163" s="84">
        <f>ROUND('Revenue &amp; Demand'!E168*G163,0)+H163</f>
        <v>0</v>
      </c>
      <c r="J163" s="16">
        <v>0.0</v>
      </c>
      <c r="K163" s="84">
        <f t="shared" si="19"/>
        <v>0</v>
      </c>
      <c r="L163" s="27">
        <f t="shared" si="20"/>
        <v>0</v>
      </c>
    </row>
    <row r="164" hidden="1">
      <c r="A164" s="67">
        <f>'Revenue &amp; Demand'!A169</f>
        <v>43191</v>
      </c>
      <c r="B164" s="103">
        <f>'Revenue &amp; Demand'!B169</f>
        <v>2018</v>
      </c>
      <c r="C164" s="16">
        <v>0.0</v>
      </c>
      <c r="D164" s="84">
        <f>'Workforce &amp; Expenses'!I286</f>
        <v>152240</v>
      </c>
      <c r="E164" s="84">
        <f t="shared" si="17"/>
        <v>-152240</v>
      </c>
      <c r="F164" s="84">
        <f t="shared" si="18"/>
        <v>0</v>
      </c>
      <c r="G164" s="16">
        <v>0.08</v>
      </c>
      <c r="H164" s="16">
        <v>0.0</v>
      </c>
      <c r="I164" s="84">
        <f>ROUND('Revenue &amp; Demand'!E169*G164,0)+H164</f>
        <v>0</v>
      </c>
      <c r="J164" s="16">
        <v>0.0</v>
      </c>
      <c r="K164" s="84">
        <f t="shared" si="19"/>
        <v>0</v>
      </c>
      <c r="L164" s="27">
        <f t="shared" si="20"/>
        <v>0</v>
      </c>
    </row>
    <row r="165" hidden="1">
      <c r="A165" s="67">
        <f>'Revenue &amp; Demand'!A170</f>
        <v>43221</v>
      </c>
      <c r="B165" s="103">
        <f>'Revenue &amp; Demand'!B170</f>
        <v>2018</v>
      </c>
      <c r="C165" s="16">
        <v>0.0</v>
      </c>
      <c r="D165" s="84">
        <f>'Workforce &amp; Expenses'!I287</f>
        <v>152240</v>
      </c>
      <c r="E165" s="84">
        <f t="shared" si="17"/>
        <v>-152240</v>
      </c>
      <c r="F165" s="84">
        <f t="shared" si="18"/>
        <v>0</v>
      </c>
      <c r="G165" s="16">
        <v>0.08</v>
      </c>
      <c r="H165" s="16">
        <v>0.0</v>
      </c>
      <c r="I165" s="84">
        <f>ROUND('Revenue &amp; Demand'!E170*G165,0)+H165</f>
        <v>0</v>
      </c>
      <c r="J165" s="16">
        <v>0.0</v>
      </c>
      <c r="K165" s="84">
        <f t="shared" si="19"/>
        <v>0</v>
      </c>
      <c r="L165" s="27">
        <f t="shared" si="20"/>
        <v>0</v>
      </c>
    </row>
    <row r="166" hidden="1">
      <c r="A166" s="67">
        <f>'Revenue &amp; Demand'!A171</f>
        <v>43252</v>
      </c>
      <c r="B166" s="103">
        <f>'Revenue &amp; Demand'!B171</f>
        <v>2018</v>
      </c>
      <c r="C166" s="16">
        <v>0.0</v>
      </c>
      <c r="D166" s="84">
        <f>'Workforce &amp; Expenses'!I288</f>
        <v>162389</v>
      </c>
      <c r="E166" s="84">
        <f t="shared" si="17"/>
        <v>-162389</v>
      </c>
      <c r="F166" s="84">
        <f t="shared" si="18"/>
        <v>0</v>
      </c>
      <c r="G166" s="16">
        <v>0.08</v>
      </c>
      <c r="H166" s="16">
        <v>0.0</v>
      </c>
      <c r="I166" s="84">
        <f>ROUND('Revenue &amp; Demand'!E171*G166,0)+H166</f>
        <v>0</v>
      </c>
      <c r="J166" s="16">
        <v>0.0</v>
      </c>
      <c r="K166" s="84">
        <f t="shared" si="19"/>
        <v>0</v>
      </c>
      <c r="L166" s="27">
        <f t="shared" si="20"/>
        <v>0</v>
      </c>
    </row>
    <row r="167" hidden="1">
      <c r="A167" s="67">
        <f>'Revenue &amp; Demand'!A172</f>
        <v>43282</v>
      </c>
      <c r="B167" s="103">
        <f>'Revenue &amp; Demand'!B172</f>
        <v>2018</v>
      </c>
      <c r="C167" s="16">
        <v>0.0</v>
      </c>
      <c r="D167" s="84">
        <f>'Workforce &amp; Expenses'!I289</f>
        <v>162389</v>
      </c>
      <c r="E167" s="84">
        <f t="shared" si="17"/>
        <v>-162389</v>
      </c>
      <c r="F167" s="84">
        <f t="shared" si="18"/>
        <v>0</v>
      </c>
      <c r="G167" s="16">
        <v>0.08</v>
      </c>
      <c r="H167" s="16">
        <v>0.0</v>
      </c>
      <c r="I167" s="84">
        <f>ROUND('Revenue &amp; Demand'!E172*G167,0)+H167</f>
        <v>0</v>
      </c>
      <c r="J167" s="16">
        <v>0.0</v>
      </c>
      <c r="K167" s="84">
        <f t="shared" si="19"/>
        <v>0</v>
      </c>
      <c r="L167" s="27">
        <f t="shared" si="20"/>
        <v>0</v>
      </c>
    </row>
    <row r="168" hidden="1">
      <c r="A168" s="67">
        <f>'Revenue &amp; Demand'!A173</f>
        <v>43313</v>
      </c>
      <c r="B168" s="103">
        <f>'Revenue &amp; Demand'!B173</f>
        <v>2018</v>
      </c>
      <c r="C168" s="16">
        <v>0.0</v>
      </c>
      <c r="D168" s="84">
        <f>'Workforce &amp; Expenses'!I290</f>
        <v>172538</v>
      </c>
      <c r="E168" s="84">
        <f t="shared" si="17"/>
        <v>-172538</v>
      </c>
      <c r="F168" s="84">
        <f t="shared" si="18"/>
        <v>0</v>
      </c>
      <c r="G168" s="16">
        <v>0.08</v>
      </c>
      <c r="H168" s="16">
        <v>0.0</v>
      </c>
      <c r="I168" s="84">
        <f>ROUND('Revenue &amp; Demand'!E173*G168,0)+H168</f>
        <v>0</v>
      </c>
      <c r="J168" s="16">
        <v>0.0</v>
      </c>
      <c r="K168" s="84">
        <f t="shared" si="19"/>
        <v>0</v>
      </c>
      <c r="L168" s="27">
        <f t="shared" si="20"/>
        <v>0</v>
      </c>
    </row>
    <row r="169" hidden="1">
      <c r="A169" s="67">
        <f>'Revenue &amp; Demand'!A174</f>
        <v>43344</v>
      </c>
      <c r="B169" s="103">
        <f>'Revenue &amp; Demand'!B174</f>
        <v>2018</v>
      </c>
      <c r="C169" s="16">
        <v>0.0</v>
      </c>
      <c r="D169" s="84">
        <f>'Workforce &amp; Expenses'!I291</f>
        <v>172538</v>
      </c>
      <c r="E169" s="84">
        <f t="shared" si="17"/>
        <v>-172538</v>
      </c>
      <c r="F169" s="84">
        <f t="shared" si="18"/>
        <v>0</v>
      </c>
      <c r="G169" s="16">
        <v>0.08</v>
      </c>
      <c r="H169" s="16">
        <v>0.0</v>
      </c>
      <c r="I169" s="84">
        <f>ROUND('Revenue &amp; Demand'!E174*G169,0)+H169</f>
        <v>0</v>
      </c>
      <c r="J169" s="16">
        <v>0.0</v>
      </c>
      <c r="K169" s="84">
        <f t="shared" si="19"/>
        <v>0</v>
      </c>
      <c r="L169" s="27">
        <f t="shared" si="20"/>
        <v>0</v>
      </c>
    </row>
    <row r="170" hidden="1">
      <c r="A170" s="67">
        <f>'Revenue &amp; Demand'!A175</f>
        <v>43374</v>
      </c>
      <c r="B170" s="103">
        <f>'Revenue &amp; Demand'!B175</f>
        <v>2018</v>
      </c>
      <c r="C170" s="16">
        <v>0.0</v>
      </c>
      <c r="D170" s="84">
        <f>'Workforce &amp; Expenses'!I292</f>
        <v>182687</v>
      </c>
      <c r="E170" s="84">
        <f t="shared" si="17"/>
        <v>-182687</v>
      </c>
      <c r="F170" s="84">
        <f t="shared" si="18"/>
        <v>0</v>
      </c>
      <c r="G170" s="16">
        <v>0.08</v>
      </c>
      <c r="H170" s="16">
        <v>0.0</v>
      </c>
      <c r="I170" s="84">
        <f>ROUND('Revenue &amp; Demand'!E175*G170,0)+H170</f>
        <v>0</v>
      </c>
      <c r="J170" s="16">
        <v>0.0</v>
      </c>
      <c r="K170" s="84">
        <f t="shared" si="19"/>
        <v>0</v>
      </c>
      <c r="L170" s="27">
        <f t="shared" si="20"/>
        <v>0</v>
      </c>
    </row>
    <row r="171" hidden="1">
      <c r="A171" s="67">
        <f>'Revenue &amp; Demand'!A176</f>
        <v>43405</v>
      </c>
      <c r="B171" s="103">
        <f>'Revenue &amp; Demand'!B176</f>
        <v>2018</v>
      </c>
      <c r="C171" s="16">
        <v>0.0</v>
      </c>
      <c r="D171" s="84">
        <f>'Workforce &amp; Expenses'!I293</f>
        <v>182687</v>
      </c>
      <c r="E171" s="84">
        <f t="shared" si="17"/>
        <v>-182687</v>
      </c>
      <c r="F171" s="84">
        <f t="shared" si="18"/>
        <v>0</v>
      </c>
      <c r="G171" s="16">
        <v>0.08</v>
      </c>
      <c r="H171" s="16">
        <v>0.0</v>
      </c>
      <c r="I171" s="84">
        <f>ROUND('Revenue &amp; Demand'!E176*G171,0)+H171</f>
        <v>0</v>
      </c>
      <c r="J171" s="16">
        <v>0.0</v>
      </c>
      <c r="K171" s="84">
        <f t="shared" si="19"/>
        <v>0</v>
      </c>
      <c r="L171" s="27">
        <f t="shared" si="20"/>
        <v>0</v>
      </c>
    </row>
    <row r="172" hidden="1">
      <c r="A172" s="67">
        <f>'Revenue &amp; Demand'!A177</f>
        <v>43435</v>
      </c>
      <c r="B172" s="103">
        <f>'Revenue &amp; Demand'!B177</f>
        <v>2018</v>
      </c>
      <c r="C172" s="16">
        <v>0.0</v>
      </c>
      <c r="D172" s="84">
        <f>'Workforce &amp; Expenses'!I294</f>
        <v>198622</v>
      </c>
      <c r="E172" s="84">
        <f t="shared" si="17"/>
        <v>-198622</v>
      </c>
      <c r="F172" s="84">
        <f t="shared" si="18"/>
        <v>0</v>
      </c>
      <c r="G172" s="16">
        <v>0.08</v>
      </c>
      <c r="H172" s="16">
        <v>0.0</v>
      </c>
      <c r="I172" s="84">
        <f>ROUND('Revenue &amp; Demand'!E177*G172,0)+H172</f>
        <v>0</v>
      </c>
      <c r="J172" s="16">
        <v>0.0</v>
      </c>
      <c r="K172" s="84">
        <f t="shared" si="19"/>
        <v>0</v>
      </c>
      <c r="L172" s="27">
        <f t="shared" si="20"/>
        <v>0</v>
      </c>
    </row>
    <row r="173" hidden="1">
      <c r="A173" s="67">
        <f>'Revenue &amp; Demand'!A178</f>
        <v>43466</v>
      </c>
      <c r="B173" s="103">
        <f>'Revenue &amp; Demand'!B178</f>
        <v>2019</v>
      </c>
      <c r="C173" s="16">
        <v>0.0</v>
      </c>
      <c r="D173" s="84">
        <f>'Workforce &amp; Expenses'!I295</f>
        <v>198622</v>
      </c>
      <c r="E173" s="84">
        <f t="shared" si="17"/>
        <v>-198622</v>
      </c>
      <c r="F173" s="84">
        <f t="shared" si="18"/>
        <v>0</v>
      </c>
      <c r="G173" s="16">
        <v>0.08</v>
      </c>
      <c r="H173" s="16">
        <v>0.0</v>
      </c>
      <c r="I173" s="84">
        <f>ROUND('Revenue &amp; Demand'!E178*G173,0)+H173</f>
        <v>0</v>
      </c>
      <c r="J173" s="16">
        <v>0.0</v>
      </c>
      <c r="K173" s="84">
        <f t="shared" si="19"/>
        <v>0</v>
      </c>
      <c r="L173" s="27">
        <f t="shared" si="20"/>
        <v>0</v>
      </c>
    </row>
    <row r="174" hidden="1">
      <c r="A174" s="67">
        <f>'Revenue &amp; Demand'!A179</f>
        <v>43497</v>
      </c>
      <c r="B174" s="103">
        <f>'Revenue &amp; Demand'!B179</f>
        <v>2019</v>
      </c>
      <c r="C174" s="16">
        <v>0.0</v>
      </c>
      <c r="D174" s="84">
        <f>'Workforce &amp; Expenses'!I296</f>
        <v>209075</v>
      </c>
      <c r="E174" s="84">
        <f t="shared" si="17"/>
        <v>-209075</v>
      </c>
      <c r="F174" s="84">
        <f t="shared" si="18"/>
        <v>0</v>
      </c>
      <c r="G174" s="16">
        <v>0.08</v>
      </c>
      <c r="H174" s="16">
        <v>0.0</v>
      </c>
      <c r="I174" s="84">
        <f>ROUND('Revenue &amp; Demand'!E179*G174,0)+H174</f>
        <v>0</v>
      </c>
      <c r="J174" s="16">
        <v>0.0</v>
      </c>
      <c r="K174" s="84">
        <f t="shared" si="19"/>
        <v>0</v>
      </c>
      <c r="L174" s="27">
        <f t="shared" si="20"/>
        <v>0</v>
      </c>
    </row>
    <row r="175" hidden="1">
      <c r="A175" s="67">
        <f>'Revenue &amp; Demand'!A180</f>
        <v>43525</v>
      </c>
      <c r="B175" s="103">
        <f>'Revenue &amp; Demand'!B180</f>
        <v>2019</v>
      </c>
      <c r="C175" s="16">
        <v>0.0</v>
      </c>
      <c r="D175" s="84">
        <f>'Workforce &amp; Expenses'!I297</f>
        <v>209075</v>
      </c>
      <c r="E175" s="84">
        <f t="shared" si="17"/>
        <v>-209075</v>
      </c>
      <c r="F175" s="84">
        <f t="shared" si="18"/>
        <v>0</v>
      </c>
      <c r="G175" s="16">
        <v>0.08</v>
      </c>
      <c r="H175" s="16">
        <v>0.0</v>
      </c>
      <c r="I175" s="84">
        <f>ROUND('Revenue &amp; Demand'!E180*G175,0)+H175</f>
        <v>0</v>
      </c>
      <c r="J175" s="16">
        <v>0.0</v>
      </c>
      <c r="K175" s="84">
        <f t="shared" si="19"/>
        <v>0</v>
      </c>
      <c r="L175" s="27">
        <f t="shared" si="20"/>
        <v>0</v>
      </c>
    </row>
    <row r="176" hidden="1">
      <c r="A176" s="67">
        <f>'Revenue &amp; Demand'!A181</f>
        <v>43556</v>
      </c>
      <c r="B176" s="103">
        <f>'Revenue &amp; Demand'!B181</f>
        <v>2019</v>
      </c>
      <c r="C176" s="16">
        <v>0.0</v>
      </c>
      <c r="D176" s="84">
        <f>'Workforce &amp; Expenses'!I298</f>
        <v>219530</v>
      </c>
      <c r="E176" s="84">
        <f t="shared" si="17"/>
        <v>-219530</v>
      </c>
      <c r="F176" s="84">
        <f t="shared" si="18"/>
        <v>0</v>
      </c>
      <c r="G176" s="16">
        <v>0.08</v>
      </c>
      <c r="H176" s="16">
        <v>0.0</v>
      </c>
      <c r="I176" s="84">
        <f>ROUND('Revenue &amp; Demand'!E181*G176,0)+H176</f>
        <v>0</v>
      </c>
      <c r="J176" s="16">
        <v>0.0</v>
      </c>
      <c r="K176" s="84">
        <f t="shared" si="19"/>
        <v>0</v>
      </c>
      <c r="L176" s="27">
        <f t="shared" si="20"/>
        <v>0</v>
      </c>
    </row>
    <row r="177" hidden="1">
      <c r="A177" s="67">
        <f>'Revenue &amp; Demand'!A182</f>
        <v>43586</v>
      </c>
      <c r="B177" s="103">
        <f>'Revenue &amp; Demand'!B182</f>
        <v>2019</v>
      </c>
      <c r="C177" s="16">
        <v>0.0</v>
      </c>
      <c r="D177" s="84">
        <f>'Workforce &amp; Expenses'!I299</f>
        <v>229983</v>
      </c>
      <c r="E177" s="84">
        <f t="shared" si="17"/>
        <v>-229983</v>
      </c>
      <c r="F177" s="84">
        <f t="shared" si="18"/>
        <v>0</v>
      </c>
      <c r="G177" s="16">
        <v>0.08</v>
      </c>
      <c r="H177" s="16">
        <v>0.0</v>
      </c>
      <c r="I177" s="84">
        <f>ROUND('Revenue &amp; Demand'!E182*G177,0)+H177</f>
        <v>0</v>
      </c>
      <c r="J177" s="16">
        <v>0.0</v>
      </c>
      <c r="K177" s="84">
        <f t="shared" si="19"/>
        <v>0</v>
      </c>
      <c r="L177" s="27">
        <f t="shared" si="20"/>
        <v>0</v>
      </c>
    </row>
    <row r="178" hidden="1">
      <c r="A178" s="67">
        <f>'Revenue &amp; Demand'!A183</f>
        <v>43617</v>
      </c>
      <c r="B178" s="103">
        <f>'Revenue &amp; Demand'!B183</f>
        <v>2019</v>
      </c>
      <c r="C178" s="16">
        <v>0.0</v>
      </c>
      <c r="D178" s="84">
        <f>'Workforce &amp; Expenses'!I300</f>
        <v>229983</v>
      </c>
      <c r="E178" s="84">
        <f t="shared" si="17"/>
        <v>-229983</v>
      </c>
      <c r="F178" s="84">
        <f t="shared" si="18"/>
        <v>0</v>
      </c>
      <c r="G178" s="16">
        <v>0.08</v>
      </c>
      <c r="H178" s="16">
        <v>0.0</v>
      </c>
      <c r="I178" s="84">
        <f>ROUND('Revenue &amp; Demand'!E183*G178,0)+H178</f>
        <v>0</v>
      </c>
      <c r="J178" s="16">
        <v>0.0</v>
      </c>
      <c r="K178" s="84">
        <f t="shared" si="19"/>
        <v>0</v>
      </c>
      <c r="L178" s="27">
        <f t="shared" si="20"/>
        <v>0</v>
      </c>
    </row>
    <row r="179" hidden="1">
      <c r="A179" s="67">
        <f>'Revenue &amp; Demand'!A184</f>
        <v>43647</v>
      </c>
      <c r="B179" s="103">
        <f>'Revenue &amp; Demand'!B184</f>
        <v>2019</v>
      </c>
      <c r="C179" s="16">
        <v>0.0</v>
      </c>
      <c r="D179" s="84">
        <f>'Workforce &amp; Expenses'!I301</f>
        <v>240437</v>
      </c>
      <c r="E179" s="84">
        <f t="shared" si="17"/>
        <v>-240437</v>
      </c>
      <c r="F179" s="84">
        <f t="shared" si="18"/>
        <v>0</v>
      </c>
      <c r="G179" s="16">
        <v>0.08</v>
      </c>
      <c r="H179" s="16">
        <v>0.0</v>
      </c>
      <c r="I179" s="84">
        <f>ROUND('Revenue &amp; Demand'!E184*G179,0)+H179</f>
        <v>0</v>
      </c>
      <c r="J179" s="16">
        <v>0.0</v>
      </c>
      <c r="K179" s="84">
        <f t="shared" si="19"/>
        <v>0</v>
      </c>
      <c r="L179" s="27">
        <f t="shared" si="20"/>
        <v>0</v>
      </c>
    </row>
    <row r="180" hidden="1">
      <c r="A180" s="67">
        <f>'Revenue &amp; Demand'!A185</f>
        <v>43678</v>
      </c>
      <c r="B180" s="103">
        <f>'Revenue &amp; Demand'!B185</f>
        <v>2019</v>
      </c>
      <c r="C180" s="16">
        <v>0.0</v>
      </c>
      <c r="D180" s="84">
        <f>'Workforce &amp; Expenses'!I302</f>
        <v>240437</v>
      </c>
      <c r="E180" s="84">
        <f t="shared" si="17"/>
        <v>-240437</v>
      </c>
      <c r="F180" s="84">
        <f t="shared" si="18"/>
        <v>0</v>
      </c>
      <c r="G180" s="16">
        <v>0.08</v>
      </c>
      <c r="H180" s="16">
        <v>0.0</v>
      </c>
      <c r="I180" s="84">
        <f>ROUND('Revenue &amp; Demand'!E185*G180,0)+H180</f>
        <v>0</v>
      </c>
      <c r="J180" s="16">
        <v>0.0</v>
      </c>
      <c r="K180" s="84">
        <f t="shared" si="19"/>
        <v>0</v>
      </c>
      <c r="L180" s="27">
        <f t="shared" si="20"/>
        <v>0</v>
      </c>
    </row>
    <row r="181" hidden="1">
      <c r="A181" s="67">
        <f>'Revenue &amp; Demand'!A186</f>
        <v>43709</v>
      </c>
      <c r="B181" s="103">
        <f>'Revenue &amp; Demand'!B186</f>
        <v>2019</v>
      </c>
      <c r="C181" s="16">
        <v>0.0</v>
      </c>
      <c r="D181" s="84">
        <f>'Workforce &amp; Expenses'!I303</f>
        <v>250890</v>
      </c>
      <c r="E181" s="84">
        <f t="shared" si="17"/>
        <v>-250890</v>
      </c>
      <c r="F181" s="84">
        <f t="shared" si="18"/>
        <v>0</v>
      </c>
      <c r="G181" s="16">
        <v>0.08</v>
      </c>
      <c r="H181" s="16">
        <v>0.0</v>
      </c>
      <c r="I181" s="84">
        <f>ROUND('Revenue &amp; Demand'!E186*G181,0)+H181</f>
        <v>0</v>
      </c>
      <c r="J181" s="16">
        <v>0.0</v>
      </c>
      <c r="K181" s="84">
        <f t="shared" si="19"/>
        <v>0</v>
      </c>
      <c r="L181" s="27">
        <f t="shared" si="20"/>
        <v>0</v>
      </c>
    </row>
    <row r="182" hidden="1">
      <c r="A182" s="67">
        <f>'Revenue &amp; Demand'!A187</f>
        <v>43739</v>
      </c>
      <c r="B182" s="103">
        <f>'Revenue &amp; Demand'!B187</f>
        <v>2019</v>
      </c>
      <c r="C182" s="16">
        <v>0.0</v>
      </c>
      <c r="D182" s="84">
        <f>'Workforce &amp; Expenses'!I304</f>
        <v>250890</v>
      </c>
      <c r="E182" s="84">
        <f t="shared" si="17"/>
        <v>-250890</v>
      </c>
      <c r="F182" s="84">
        <f t="shared" si="18"/>
        <v>0</v>
      </c>
      <c r="G182" s="16">
        <v>0.08</v>
      </c>
      <c r="H182" s="16">
        <v>0.0</v>
      </c>
      <c r="I182" s="84">
        <f>ROUND('Revenue &amp; Demand'!E187*G182,0)+H182</f>
        <v>0</v>
      </c>
      <c r="J182" s="16">
        <v>0.0</v>
      </c>
      <c r="K182" s="84">
        <f t="shared" si="19"/>
        <v>0</v>
      </c>
      <c r="L182" s="27">
        <f t="shared" si="20"/>
        <v>0</v>
      </c>
    </row>
    <row r="183" hidden="1">
      <c r="A183" s="67">
        <f>'Revenue &amp; Demand'!A188</f>
        <v>43770</v>
      </c>
      <c r="B183" s="103">
        <f>'Revenue &amp; Demand'!B188</f>
        <v>2019</v>
      </c>
      <c r="C183" s="16">
        <v>0.0</v>
      </c>
      <c r="D183" s="84">
        <f>'Workforce &amp; Expenses'!I305</f>
        <v>261345</v>
      </c>
      <c r="E183" s="84">
        <f t="shared" si="17"/>
        <v>-261345</v>
      </c>
      <c r="F183" s="84">
        <f t="shared" si="18"/>
        <v>0</v>
      </c>
      <c r="G183" s="16">
        <v>0.08</v>
      </c>
      <c r="H183" s="16">
        <v>0.0</v>
      </c>
      <c r="I183" s="84">
        <f>ROUND('Revenue &amp; Demand'!E188*G183,0)+H183</f>
        <v>0</v>
      </c>
      <c r="J183" s="16">
        <v>0.0</v>
      </c>
      <c r="K183" s="84">
        <f t="shared" si="19"/>
        <v>0</v>
      </c>
      <c r="L183" s="27">
        <f t="shared" si="20"/>
        <v>0</v>
      </c>
    </row>
    <row r="184" hidden="1">
      <c r="A184" s="67">
        <f>'Revenue &amp; Demand'!A189</f>
        <v>43800</v>
      </c>
      <c r="B184" s="103">
        <f>'Revenue &amp; Demand'!B189</f>
        <v>2019</v>
      </c>
      <c r="C184" s="16">
        <v>0.0</v>
      </c>
      <c r="D184" s="84">
        <f>'Workforce &amp; Expenses'!I306</f>
        <v>193902</v>
      </c>
      <c r="E184" s="84">
        <f t="shared" si="17"/>
        <v>-193902</v>
      </c>
      <c r="F184" s="84">
        <f t="shared" si="18"/>
        <v>0</v>
      </c>
      <c r="G184" s="16">
        <v>0.08</v>
      </c>
      <c r="H184" s="16">
        <v>0.0</v>
      </c>
      <c r="I184" s="84">
        <f>ROUND('Revenue &amp; Demand'!E189*G184,0)+H184</f>
        <v>0</v>
      </c>
      <c r="J184" s="16">
        <v>0.0</v>
      </c>
      <c r="K184" s="84">
        <f t="shared" si="19"/>
        <v>0</v>
      </c>
      <c r="L184" s="27">
        <f t="shared" si="20"/>
        <v>0</v>
      </c>
    </row>
    <row r="185" hidden="1">
      <c r="A185" s="67">
        <f>'Revenue &amp; Demand'!A190</f>
        <v>43831</v>
      </c>
      <c r="B185" s="103">
        <f>'Revenue &amp; Demand'!B190</f>
        <v>2020</v>
      </c>
      <c r="C185" s="16">
        <v>0.0</v>
      </c>
      <c r="D185" s="84">
        <f>'Workforce &amp; Expenses'!I307</f>
        <v>220647</v>
      </c>
      <c r="E185" s="84">
        <f t="shared" si="17"/>
        <v>-220647</v>
      </c>
      <c r="F185" s="84">
        <f t="shared" si="18"/>
        <v>0</v>
      </c>
      <c r="G185" s="16">
        <v>0.08</v>
      </c>
      <c r="H185" s="16">
        <v>0.0</v>
      </c>
      <c r="I185" s="84">
        <f>ROUND('Revenue &amp; Demand'!E190*G185,0)+H185</f>
        <v>0</v>
      </c>
      <c r="J185" s="16">
        <v>0.0</v>
      </c>
      <c r="K185" s="84">
        <f t="shared" si="19"/>
        <v>0</v>
      </c>
      <c r="L185" s="27">
        <f t="shared" si="20"/>
        <v>0</v>
      </c>
    </row>
    <row r="186" hidden="1">
      <c r="A186" s="67">
        <f>'Revenue &amp; Demand'!A191</f>
        <v>43862</v>
      </c>
      <c r="B186" s="103">
        <f>'Revenue &amp; Demand'!B191</f>
        <v>2020</v>
      </c>
      <c r="C186" s="16">
        <v>0.0</v>
      </c>
      <c r="D186" s="84">
        <f>'Workforce &amp; Expenses'!I308</f>
        <v>254078</v>
      </c>
      <c r="E186" s="84">
        <f t="shared" si="17"/>
        <v>-254078</v>
      </c>
      <c r="F186" s="84">
        <f t="shared" si="18"/>
        <v>0</v>
      </c>
      <c r="G186" s="16">
        <v>0.08</v>
      </c>
      <c r="H186" s="16">
        <v>0.0</v>
      </c>
      <c r="I186" s="84">
        <f>ROUND('Revenue &amp; Demand'!E191*G186,0)+H186</f>
        <v>0</v>
      </c>
      <c r="J186" s="16">
        <v>0.0</v>
      </c>
      <c r="K186" s="84">
        <f t="shared" si="19"/>
        <v>0</v>
      </c>
      <c r="L186" s="27">
        <f t="shared" si="20"/>
        <v>0</v>
      </c>
    </row>
    <row r="187" hidden="1">
      <c r="A187" s="67">
        <f>'Revenue &amp; Demand'!A192</f>
        <v>43891</v>
      </c>
      <c r="B187" s="103">
        <f>'Revenue &amp; Demand'!B192</f>
        <v>2020</v>
      </c>
      <c r="C187" s="16">
        <v>0.0</v>
      </c>
      <c r="D187" s="84">
        <f>'Workforce &amp; Expenses'!I309</f>
        <v>280824</v>
      </c>
      <c r="E187" s="84">
        <f t="shared" si="17"/>
        <v>-280824</v>
      </c>
      <c r="F187" s="84">
        <f t="shared" si="18"/>
        <v>0</v>
      </c>
      <c r="G187" s="16">
        <v>0.08</v>
      </c>
      <c r="H187" s="16">
        <v>0.0</v>
      </c>
      <c r="I187" s="84">
        <f>ROUND('Revenue &amp; Demand'!E192*G187,0)+H187</f>
        <v>0</v>
      </c>
      <c r="J187" s="16">
        <v>0.0</v>
      </c>
      <c r="K187" s="84">
        <f t="shared" si="19"/>
        <v>0</v>
      </c>
      <c r="L187" s="27">
        <f t="shared" si="20"/>
        <v>0</v>
      </c>
    </row>
    <row r="188" hidden="1">
      <c r="A188" s="67">
        <f>'Revenue &amp; Demand'!A193</f>
        <v>43922</v>
      </c>
      <c r="B188" s="103">
        <f>'Revenue &amp; Demand'!B193</f>
        <v>2020</v>
      </c>
      <c r="C188" s="16">
        <v>0.0</v>
      </c>
      <c r="D188" s="84">
        <f>'Workforce &amp; Expenses'!I310</f>
        <v>307570</v>
      </c>
      <c r="E188" s="84">
        <f t="shared" si="17"/>
        <v>-307570</v>
      </c>
      <c r="F188" s="84">
        <f t="shared" si="18"/>
        <v>0</v>
      </c>
      <c r="G188" s="16">
        <v>0.08</v>
      </c>
      <c r="H188" s="16">
        <v>0.0</v>
      </c>
      <c r="I188" s="84">
        <f>ROUND('Revenue &amp; Demand'!E193*G188,0)+H188</f>
        <v>0</v>
      </c>
      <c r="J188" s="16">
        <v>0.0</v>
      </c>
      <c r="K188" s="84">
        <f t="shared" si="19"/>
        <v>0</v>
      </c>
      <c r="L188" s="27">
        <f t="shared" si="20"/>
        <v>0</v>
      </c>
    </row>
    <row r="189" hidden="1">
      <c r="A189" s="67">
        <f>'Revenue &amp; Demand'!A194</f>
        <v>43952</v>
      </c>
      <c r="B189" s="103">
        <f>'Revenue &amp; Demand'!B194</f>
        <v>2020</v>
      </c>
      <c r="C189" s="16">
        <v>0.0</v>
      </c>
      <c r="D189" s="84">
        <f>'Workforce &amp; Expenses'!I311</f>
        <v>334314</v>
      </c>
      <c r="E189" s="84">
        <f t="shared" si="17"/>
        <v>-334314</v>
      </c>
      <c r="F189" s="84">
        <f t="shared" si="18"/>
        <v>0</v>
      </c>
      <c r="G189" s="16">
        <v>0.08</v>
      </c>
      <c r="H189" s="16">
        <v>0.0</v>
      </c>
      <c r="I189" s="84">
        <f>ROUND('Revenue &amp; Demand'!E194*G189,0)+H189</f>
        <v>0</v>
      </c>
      <c r="J189" s="16">
        <v>0.0</v>
      </c>
      <c r="K189" s="84">
        <f t="shared" si="19"/>
        <v>0</v>
      </c>
      <c r="L189" s="27">
        <f t="shared" si="20"/>
        <v>0</v>
      </c>
    </row>
    <row r="190" hidden="1">
      <c r="A190" s="67">
        <f>'Revenue &amp; Demand'!A195</f>
        <v>43983</v>
      </c>
      <c r="B190" s="103">
        <f>'Revenue &amp; Demand'!B195</f>
        <v>2020</v>
      </c>
      <c r="C190" s="16">
        <v>0.0</v>
      </c>
      <c r="D190" s="84">
        <f>'Workforce &amp; Expenses'!I312</f>
        <v>361059</v>
      </c>
      <c r="E190" s="84">
        <f t="shared" si="17"/>
        <v>-361059</v>
      </c>
      <c r="F190" s="84">
        <f t="shared" si="18"/>
        <v>0</v>
      </c>
      <c r="G190" s="16">
        <v>0.08</v>
      </c>
      <c r="H190" s="16">
        <v>0.0</v>
      </c>
      <c r="I190" s="84">
        <f>ROUND('Revenue &amp; Demand'!E195*G190,0)+H190</f>
        <v>0</v>
      </c>
      <c r="J190" s="16">
        <v>0.0</v>
      </c>
      <c r="K190" s="84">
        <f t="shared" si="19"/>
        <v>0</v>
      </c>
      <c r="L190" s="27">
        <f t="shared" si="20"/>
        <v>0</v>
      </c>
    </row>
    <row r="191" hidden="1">
      <c r="A191" s="67">
        <f>'Revenue &amp; Demand'!A196</f>
        <v>44013</v>
      </c>
      <c r="B191" s="103">
        <f>'Revenue &amp; Demand'!B196</f>
        <v>2020</v>
      </c>
      <c r="C191" s="16">
        <v>187560.0</v>
      </c>
      <c r="D191" s="84">
        <f>'Workforce &amp; Expenses'!I313</f>
        <v>387804</v>
      </c>
      <c r="E191" s="84">
        <f t="shared" si="17"/>
        <v>-200244</v>
      </c>
      <c r="F191" s="84">
        <f t="shared" si="18"/>
        <v>187560</v>
      </c>
      <c r="G191" s="16">
        <v>0.08</v>
      </c>
      <c r="H191" s="16">
        <v>0.0</v>
      </c>
      <c r="I191" s="84">
        <f>ROUND('Revenue &amp; Demand'!E196*G191,0)+H191</f>
        <v>0</v>
      </c>
      <c r="J191" s="16">
        <v>0.0</v>
      </c>
      <c r="K191" s="84">
        <f t="shared" si="19"/>
        <v>187560</v>
      </c>
      <c r="L191" s="27">
        <f t="shared" si="20"/>
        <v>92.85148515</v>
      </c>
    </row>
    <row r="192" hidden="1">
      <c r="A192" s="67">
        <f>'Revenue &amp; Demand'!A197</f>
        <v>44044</v>
      </c>
      <c r="B192" s="103">
        <f>'Revenue &amp; Demand'!B197</f>
        <v>2020</v>
      </c>
      <c r="C192" s="16">
        <v>219802.0</v>
      </c>
      <c r="D192" s="84">
        <f>'Workforce &amp; Expenses'!I314</f>
        <v>421235</v>
      </c>
      <c r="E192" s="84">
        <f t="shared" si="17"/>
        <v>-201433</v>
      </c>
      <c r="F192" s="84">
        <f t="shared" si="18"/>
        <v>219802</v>
      </c>
      <c r="G192" s="16">
        <v>0.08</v>
      </c>
      <c r="H192" s="16">
        <v>0.0</v>
      </c>
      <c r="I192" s="84">
        <f>ROUND('Revenue &amp; Demand'!E197*G192,0)+H192</f>
        <v>0</v>
      </c>
      <c r="J192" s="16">
        <v>0.0</v>
      </c>
      <c r="K192" s="84">
        <f t="shared" si="19"/>
        <v>219802</v>
      </c>
      <c r="L192" s="27">
        <f t="shared" si="20"/>
        <v>108.8128713</v>
      </c>
    </row>
    <row r="193" hidden="1">
      <c r="A193" s="67">
        <f>'Revenue &amp; Demand'!A198</f>
        <v>44075</v>
      </c>
      <c r="B193" s="103">
        <f>'Revenue &amp; Demand'!B198</f>
        <v>2020</v>
      </c>
      <c r="C193" s="16">
        <v>254223.0</v>
      </c>
      <c r="D193" s="84">
        <f>'Workforce &amp; Expenses'!I315</f>
        <v>447981</v>
      </c>
      <c r="E193" s="84">
        <f t="shared" si="17"/>
        <v>-193758</v>
      </c>
      <c r="F193" s="84">
        <f t="shared" si="18"/>
        <v>254223</v>
      </c>
      <c r="G193" s="16">
        <v>0.08</v>
      </c>
      <c r="H193" s="16">
        <v>0.0</v>
      </c>
      <c r="I193" s="84">
        <f>ROUND('Revenue &amp; Demand'!E198*G193,0)+H193</f>
        <v>0</v>
      </c>
      <c r="J193" s="16">
        <v>0.0</v>
      </c>
      <c r="K193" s="84">
        <f t="shared" si="19"/>
        <v>254223</v>
      </c>
      <c r="L193" s="27">
        <f t="shared" si="20"/>
        <v>125.8529703</v>
      </c>
    </row>
    <row r="194" hidden="1">
      <c r="A194" s="67">
        <f>'Revenue &amp; Demand'!A199</f>
        <v>44105</v>
      </c>
      <c r="B194" s="103">
        <f>'Revenue &amp; Demand'!B199</f>
        <v>2020</v>
      </c>
      <c r="C194" s="16">
        <v>290833.0</v>
      </c>
      <c r="D194" s="84">
        <f>'Workforce &amp; Expenses'!I316</f>
        <v>474726</v>
      </c>
      <c r="E194" s="84">
        <f t="shared" si="17"/>
        <v>-183893</v>
      </c>
      <c r="F194" s="84">
        <f t="shared" si="18"/>
        <v>290833</v>
      </c>
      <c r="G194" s="16">
        <v>0.08</v>
      </c>
      <c r="H194" s="16">
        <v>0.0</v>
      </c>
      <c r="I194" s="84">
        <f>ROUND('Revenue &amp; Demand'!E199*G194,0)+H194</f>
        <v>0</v>
      </c>
      <c r="J194" s="16">
        <v>0.0</v>
      </c>
      <c r="K194" s="84">
        <f t="shared" si="19"/>
        <v>290833</v>
      </c>
      <c r="L194" s="27">
        <f t="shared" si="20"/>
        <v>143.9767327</v>
      </c>
    </row>
    <row r="195" hidden="1">
      <c r="A195" s="67">
        <f>'Revenue &amp; Demand'!A200</f>
        <v>44136</v>
      </c>
      <c r="B195" s="103">
        <f>'Revenue &amp; Demand'!B200</f>
        <v>2020</v>
      </c>
      <c r="C195" s="16">
        <v>329628.0</v>
      </c>
      <c r="D195" s="84">
        <f>'Workforce &amp; Expenses'!I317</f>
        <v>501471</v>
      </c>
      <c r="E195" s="84">
        <f t="shared" si="17"/>
        <v>-171843</v>
      </c>
      <c r="F195" s="84">
        <f t="shared" si="18"/>
        <v>329628</v>
      </c>
      <c r="G195" s="16">
        <v>0.08</v>
      </c>
      <c r="H195" s="16">
        <v>0.0</v>
      </c>
      <c r="I195" s="84">
        <f>ROUND('Revenue &amp; Demand'!E200*G195,0)+H195</f>
        <v>0</v>
      </c>
      <c r="J195" s="16">
        <v>0.0</v>
      </c>
      <c r="K195" s="84">
        <f t="shared" si="19"/>
        <v>329628</v>
      </c>
      <c r="L195" s="27">
        <f t="shared" si="20"/>
        <v>163.1821782</v>
      </c>
    </row>
    <row r="196" hidden="1">
      <c r="A196" s="67">
        <f>'Revenue &amp; Demand'!A201</f>
        <v>44166</v>
      </c>
      <c r="B196" s="103">
        <f>'Revenue &amp; Demand'!B201</f>
        <v>2020</v>
      </c>
      <c r="C196" s="16">
        <v>370601.0</v>
      </c>
      <c r="D196" s="84">
        <f>'Workforce &amp; Expenses'!I318</f>
        <v>557833</v>
      </c>
      <c r="E196" s="84">
        <f t="shared" si="17"/>
        <v>-187232</v>
      </c>
      <c r="F196" s="84">
        <f t="shared" si="18"/>
        <v>370601</v>
      </c>
      <c r="G196" s="16">
        <v>0.08</v>
      </c>
      <c r="H196" s="16">
        <v>0.0</v>
      </c>
      <c r="I196" s="84">
        <f>ROUND('Revenue &amp; Demand'!E201*G196,0)+H196</f>
        <v>0</v>
      </c>
      <c r="J196" s="16">
        <v>0.0</v>
      </c>
      <c r="K196" s="84">
        <f t="shared" si="19"/>
        <v>370601</v>
      </c>
      <c r="L196" s="27">
        <f t="shared" si="20"/>
        <v>183.4658416</v>
      </c>
    </row>
    <row r="197" hidden="1">
      <c r="A197" s="67">
        <f>'Revenue &amp; Demand'!A202</f>
        <v>44197</v>
      </c>
      <c r="B197" s="103">
        <f>'Revenue &amp; Demand'!B202</f>
        <v>2021</v>
      </c>
      <c r="C197" s="16">
        <v>413759.0</v>
      </c>
      <c r="D197" s="84">
        <f>'Workforce &amp; Expenses'!I319</f>
        <v>606042</v>
      </c>
      <c r="E197" s="84">
        <f t="shared" si="17"/>
        <v>-192283</v>
      </c>
      <c r="F197" s="84">
        <f t="shared" si="18"/>
        <v>413759</v>
      </c>
      <c r="G197" s="16">
        <v>0.08</v>
      </c>
      <c r="H197" s="16">
        <v>0.0</v>
      </c>
      <c r="I197" s="84">
        <f>ROUND('Revenue &amp; Demand'!E202*G197,0)+H197</f>
        <v>0</v>
      </c>
      <c r="J197" s="16">
        <v>0.0</v>
      </c>
      <c r="K197" s="84">
        <f t="shared" si="19"/>
        <v>413759</v>
      </c>
      <c r="L197" s="27">
        <f t="shared" si="20"/>
        <v>204.7298367</v>
      </c>
    </row>
    <row r="198" hidden="1">
      <c r="A198" s="67">
        <f>'Revenue &amp; Demand'!A203</f>
        <v>44228</v>
      </c>
      <c r="B198" s="103">
        <f>'Revenue &amp; Demand'!B203</f>
        <v>2021</v>
      </c>
      <c r="C198" s="16">
        <v>459105.0</v>
      </c>
      <c r="D198" s="84">
        <f>'Workforce &amp; Expenses'!I320</f>
        <v>647363</v>
      </c>
      <c r="E198" s="84">
        <f t="shared" si="17"/>
        <v>-188258</v>
      </c>
      <c r="F198" s="84">
        <f t="shared" si="18"/>
        <v>459105</v>
      </c>
      <c r="G198" s="16">
        <v>0.08</v>
      </c>
      <c r="H198" s="16">
        <v>0.0</v>
      </c>
      <c r="I198" s="84">
        <f>ROUND('Revenue &amp; Demand'!E203*G198,0)+H198</f>
        <v>0</v>
      </c>
      <c r="J198" s="16">
        <v>0.0</v>
      </c>
      <c r="K198" s="84">
        <f t="shared" si="19"/>
        <v>459105</v>
      </c>
      <c r="L198" s="27">
        <f t="shared" si="20"/>
        <v>227.1672439</v>
      </c>
    </row>
    <row r="199" hidden="1">
      <c r="A199" s="67">
        <f>'Revenue &amp; Demand'!A204</f>
        <v>44256</v>
      </c>
      <c r="B199" s="103">
        <f>'Revenue &amp; Demand'!B204</f>
        <v>2021</v>
      </c>
      <c r="C199" s="16">
        <v>506635.0</v>
      </c>
      <c r="D199" s="84">
        <f>'Workforce &amp; Expenses'!I321</f>
        <v>688684</v>
      </c>
      <c r="E199" s="84">
        <f t="shared" si="17"/>
        <v>-182049</v>
      </c>
      <c r="F199" s="84">
        <f t="shared" si="18"/>
        <v>506635</v>
      </c>
      <c r="G199" s="16">
        <v>0.08</v>
      </c>
      <c r="H199" s="16">
        <v>0.0</v>
      </c>
      <c r="I199" s="84">
        <f>ROUND('Revenue &amp; Demand'!E204*G199,0)+H199</f>
        <v>0</v>
      </c>
      <c r="J199" s="16">
        <v>0.0</v>
      </c>
      <c r="K199" s="84">
        <f t="shared" si="19"/>
        <v>506635</v>
      </c>
      <c r="L199" s="27">
        <f t="shared" si="20"/>
        <v>250.6853043</v>
      </c>
    </row>
    <row r="200" hidden="1">
      <c r="A200" s="67">
        <f>'Revenue &amp; Demand'!A205</f>
        <v>44287</v>
      </c>
      <c r="B200" s="103">
        <f>'Revenue &amp; Demand'!B205</f>
        <v>2021</v>
      </c>
      <c r="C200" s="16">
        <v>617541.0</v>
      </c>
      <c r="D200" s="84">
        <f>'Workforce &amp; Expenses'!I322</f>
        <v>730004</v>
      </c>
      <c r="E200" s="84">
        <f t="shared" si="17"/>
        <v>-112463</v>
      </c>
      <c r="F200" s="84">
        <f t="shared" si="18"/>
        <v>617541</v>
      </c>
      <c r="G200" s="16">
        <v>0.08</v>
      </c>
      <c r="H200" s="16">
        <v>0.0</v>
      </c>
      <c r="I200" s="84">
        <f>ROUND('Revenue &amp; Demand'!E205*G200,0)+H200</f>
        <v>0</v>
      </c>
      <c r="J200" s="16">
        <v>0.0</v>
      </c>
      <c r="K200" s="84">
        <f t="shared" si="19"/>
        <v>617541</v>
      </c>
      <c r="L200" s="27">
        <f t="shared" si="20"/>
        <v>305.562098</v>
      </c>
    </row>
    <row r="201" hidden="1">
      <c r="A201" s="67">
        <f>'Revenue &amp; Demand'!A206</f>
        <v>44317</v>
      </c>
      <c r="B201" s="103">
        <f>'Revenue &amp; Demand'!B206</f>
        <v>2021</v>
      </c>
      <c r="C201" s="16">
        <v>675143.0</v>
      </c>
      <c r="D201" s="84">
        <f>'Workforce &amp; Expenses'!I323</f>
        <v>778213</v>
      </c>
      <c r="E201" s="84">
        <f t="shared" si="17"/>
        <v>-103070</v>
      </c>
      <c r="F201" s="84">
        <f t="shared" si="18"/>
        <v>675143</v>
      </c>
      <c r="G201" s="16">
        <v>0.08</v>
      </c>
      <c r="H201" s="16">
        <v>0.0</v>
      </c>
      <c r="I201" s="84">
        <f>ROUND('Revenue &amp; Demand'!E206*G201,0)+H201</f>
        <v>0</v>
      </c>
      <c r="J201" s="16">
        <v>0.0</v>
      </c>
      <c r="K201" s="84">
        <f t="shared" si="19"/>
        <v>675143</v>
      </c>
      <c r="L201" s="27">
        <f t="shared" si="20"/>
        <v>334.0638298</v>
      </c>
    </row>
    <row r="202" hidden="1">
      <c r="A202" s="67">
        <f>'Revenue &amp; Demand'!A207</f>
        <v>44348</v>
      </c>
      <c r="B202" s="103">
        <f>'Revenue &amp; Demand'!B207</f>
        <v>2021</v>
      </c>
      <c r="C202" s="16">
        <v>735170.0</v>
      </c>
      <c r="D202" s="84">
        <f>'Workforce &amp; Expenses'!I324</f>
        <v>819533</v>
      </c>
      <c r="E202" s="84">
        <f t="shared" si="17"/>
        <v>-84363</v>
      </c>
      <c r="F202" s="84">
        <f t="shared" si="18"/>
        <v>735170</v>
      </c>
      <c r="G202" s="16">
        <v>0.08</v>
      </c>
      <c r="H202" s="16">
        <v>0.0</v>
      </c>
      <c r="I202" s="84">
        <f>ROUND('Revenue &amp; Demand'!E207*G202,0)+H202</f>
        <v>0</v>
      </c>
      <c r="J202" s="16">
        <v>0.0</v>
      </c>
      <c r="K202" s="84">
        <f t="shared" si="19"/>
        <v>735170</v>
      </c>
      <c r="L202" s="27">
        <f t="shared" si="20"/>
        <v>363.7654626</v>
      </c>
    </row>
    <row r="203" hidden="1">
      <c r="A203" s="104">
        <f>'Revenue &amp; Demand'!A208</f>
        <v>44378</v>
      </c>
      <c r="B203" s="103">
        <f>'Revenue &amp; Demand'!B208</f>
        <v>2021</v>
      </c>
      <c r="C203" s="16">
        <v>904242.0</v>
      </c>
      <c r="D203" s="84">
        <f>'Workforce &amp; Expenses'!I325</f>
        <v>860855</v>
      </c>
      <c r="E203" s="84">
        <f t="shared" si="17"/>
        <v>43387</v>
      </c>
      <c r="F203" s="84">
        <f t="shared" si="18"/>
        <v>904242</v>
      </c>
      <c r="G203" s="16">
        <v>0.08</v>
      </c>
      <c r="H203" s="16">
        <v>0.0</v>
      </c>
      <c r="I203" s="84">
        <f>ROUND('Revenue &amp; Demand'!E208*G203,0)+H203</f>
        <v>0</v>
      </c>
      <c r="J203" s="16">
        <v>0.0</v>
      </c>
      <c r="K203" s="84">
        <f t="shared" si="19"/>
        <v>904242</v>
      </c>
      <c r="L203" s="27">
        <f t="shared" si="20"/>
        <v>447.4230579</v>
      </c>
    </row>
    <row r="204">
      <c r="A204" s="97" t="s">
        <v>393</v>
      </c>
      <c r="B204" s="106"/>
      <c r="C204" s="108"/>
      <c r="D204" s="106"/>
      <c r="E204" s="106"/>
      <c r="F204" s="106"/>
      <c r="G204" s="108"/>
      <c r="H204" s="108"/>
      <c r="I204" s="106"/>
      <c r="J204" s="108"/>
      <c r="K204" s="106"/>
      <c r="L204" s="106"/>
      <c r="M204" s="109"/>
      <c r="N204" s="87"/>
      <c r="O204" s="87"/>
    </row>
    <row r="205" ht="42.75" customHeight="1">
      <c r="A205" s="98" t="s">
        <v>2</v>
      </c>
      <c r="B205" s="98" t="s">
        <v>235</v>
      </c>
      <c r="C205" s="98" t="s">
        <v>394</v>
      </c>
      <c r="D205" s="98" t="s">
        <v>395</v>
      </c>
      <c r="E205" s="98" t="s">
        <v>396</v>
      </c>
      <c r="F205" s="98" t="s">
        <v>397</v>
      </c>
      <c r="G205" s="98" t="s">
        <v>398</v>
      </c>
      <c r="H205" s="98" t="s">
        <v>399</v>
      </c>
      <c r="I205" s="98" t="s">
        <v>361</v>
      </c>
      <c r="J205" s="98" t="s">
        <v>400</v>
      </c>
      <c r="K205" s="98" t="s">
        <v>401</v>
      </c>
      <c r="L205" s="98" t="s">
        <v>402</v>
      </c>
      <c r="M205" s="110"/>
    </row>
    <row r="206">
      <c r="A206" s="99">
        <f t="shared" ref="A206:A301" si="21">DATE(2018+INT((ROW()-206)/12),MOD(ROW()-206,12)+1,1)</f>
        <v>43101</v>
      </c>
      <c r="B206" s="111">
        <f>'Revenue &amp; Demand'!C166</f>
        <v>0</v>
      </c>
      <c r="C206" s="101">
        <v>0.0</v>
      </c>
      <c r="D206" s="102">
        <f>'Workforce &amp; Expenses'!E258</f>
        <v>0</v>
      </c>
      <c r="E206" s="102">
        <f t="shared" ref="E206:E385" si="22">C206-D206</f>
        <v>0</v>
      </c>
      <c r="F206" s="102">
        <f t="shared" ref="F206:F385" si="23">D206+E206</f>
        <v>0</v>
      </c>
      <c r="G206" s="101">
        <v>0.0</v>
      </c>
      <c r="H206" s="101">
        <f t="shared" ref="H206:H385" si="24">F206+G206</f>
        <v>0</v>
      </c>
      <c r="I206" s="112">
        <f>IFERROR(G206/'Revenue &amp; Demand'!E166,0)</f>
        <v>0</v>
      </c>
      <c r="J206" s="101">
        <v>0.0</v>
      </c>
      <c r="K206" s="101">
        <v>0.0</v>
      </c>
      <c r="L206" s="102">
        <f t="shared" ref="L206:L385" si="25">F206-C206</f>
        <v>0</v>
      </c>
      <c r="M206" s="16"/>
    </row>
    <row r="207">
      <c r="A207" s="99">
        <f t="shared" si="21"/>
        <v>43132</v>
      </c>
      <c r="B207" s="111">
        <f>'Revenue &amp; Demand'!C167</f>
        <v>0</v>
      </c>
      <c r="C207" s="101">
        <v>0.0</v>
      </c>
      <c r="D207" s="102">
        <f>'Workforce &amp; Expenses'!E259</f>
        <v>0</v>
      </c>
      <c r="E207" s="102">
        <f t="shared" si="22"/>
        <v>0</v>
      </c>
      <c r="F207" s="102">
        <f t="shared" si="23"/>
        <v>0</v>
      </c>
      <c r="G207" s="101">
        <v>0.0</v>
      </c>
      <c r="H207" s="101">
        <f t="shared" si="24"/>
        <v>0</v>
      </c>
      <c r="I207" s="112">
        <f>IFERROR(G207/'Revenue &amp; Demand'!E167,0)</f>
        <v>0</v>
      </c>
      <c r="J207" s="101">
        <v>0.0</v>
      </c>
      <c r="K207" s="101">
        <v>0.0</v>
      </c>
      <c r="L207" s="102">
        <f t="shared" si="25"/>
        <v>0</v>
      </c>
      <c r="M207" s="16"/>
    </row>
    <row r="208">
      <c r="A208" s="99">
        <f t="shared" si="21"/>
        <v>43160</v>
      </c>
      <c r="B208" s="111">
        <f>'Revenue &amp; Demand'!C168</f>
        <v>0</v>
      </c>
      <c r="C208" s="101">
        <v>0.0</v>
      </c>
      <c r="D208" s="102">
        <f>'Workforce &amp; Expenses'!E260</f>
        <v>0</v>
      </c>
      <c r="E208" s="102">
        <f t="shared" si="22"/>
        <v>0</v>
      </c>
      <c r="F208" s="102">
        <f t="shared" si="23"/>
        <v>0</v>
      </c>
      <c r="G208" s="101">
        <v>0.0</v>
      </c>
      <c r="H208" s="101">
        <f t="shared" si="24"/>
        <v>0</v>
      </c>
      <c r="I208" s="112">
        <f>IFERROR(G208/'Revenue &amp; Demand'!E168,0)</f>
        <v>0</v>
      </c>
      <c r="J208" s="101">
        <v>0.0</v>
      </c>
      <c r="K208" s="101">
        <v>0.0</v>
      </c>
      <c r="L208" s="102">
        <f t="shared" si="25"/>
        <v>0</v>
      </c>
      <c r="M208" s="16"/>
    </row>
    <row r="209">
      <c r="A209" s="99">
        <f t="shared" si="21"/>
        <v>43191</v>
      </c>
      <c r="B209" s="111">
        <f>'Revenue &amp; Demand'!C169</f>
        <v>0</v>
      </c>
      <c r="C209" s="101">
        <v>0.0</v>
      </c>
      <c r="D209" s="102">
        <f>'Workforce &amp; Expenses'!E261</f>
        <v>0</v>
      </c>
      <c r="E209" s="102">
        <f t="shared" si="22"/>
        <v>0</v>
      </c>
      <c r="F209" s="102">
        <f t="shared" si="23"/>
        <v>0</v>
      </c>
      <c r="G209" s="101">
        <v>0.0</v>
      </c>
      <c r="H209" s="101">
        <f t="shared" si="24"/>
        <v>0</v>
      </c>
      <c r="I209" s="112">
        <f>IFERROR(G209/'Revenue &amp; Demand'!E169,0)</f>
        <v>0</v>
      </c>
      <c r="J209" s="101">
        <v>0.0</v>
      </c>
      <c r="K209" s="101">
        <v>0.0</v>
      </c>
      <c r="L209" s="102">
        <f t="shared" si="25"/>
        <v>0</v>
      </c>
      <c r="M209" s="16"/>
    </row>
    <row r="210">
      <c r="A210" s="99">
        <f t="shared" si="21"/>
        <v>43221</v>
      </c>
      <c r="B210" s="111">
        <f>'Revenue &amp; Demand'!C170</f>
        <v>0</v>
      </c>
      <c r="C210" s="101">
        <v>0.0</v>
      </c>
      <c r="D210" s="102">
        <f>'Workforce &amp; Expenses'!E262</f>
        <v>0</v>
      </c>
      <c r="E210" s="102">
        <f t="shared" si="22"/>
        <v>0</v>
      </c>
      <c r="F210" s="102">
        <f t="shared" si="23"/>
        <v>0</v>
      </c>
      <c r="G210" s="101">
        <v>0.0</v>
      </c>
      <c r="H210" s="101">
        <f t="shared" si="24"/>
        <v>0</v>
      </c>
      <c r="I210" s="112">
        <f>IFERROR(G210/'Revenue &amp; Demand'!E170,0)</f>
        <v>0</v>
      </c>
      <c r="J210" s="101">
        <v>0.0</v>
      </c>
      <c r="K210" s="101">
        <v>0.0</v>
      </c>
      <c r="L210" s="102">
        <f t="shared" si="25"/>
        <v>0</v>
      </c>
      <c r="M210" s="16"/>
    </row>
    <row r="211">
      <c r="A211" s="99">
        <f t="shared" si="21"/>
        <v>43252</v>
      </c>
      <c r="B211" s="111">
        <f>'Revenue &amp; Demand'!C171</f>
        <v>0</v>
      </c>
      <c r="C211" s="101">
        <v>0.0</v>
      </c>
      <c r="D211" s="102">
        <f>'Workforce &amp; Expenses'!E263</f>
        <v>0</v>
      </c>
      <c r="E211" s="102">
        <f t="shared" si="22"/>
        <v>0</v>
      </c>
      <c r="F211" s="102">
        <f t="shared" si="23"/>
        <v>0</v>
      </c>
      <c r="G211" s="101">
        <v>0.0</v>
      </c>
      <c r="H211" s="101">
        <f t="shared" si="24"/>
        <v>0</v>
      </c>
      <c r="I211" s="112">
        <f>IFERROR(G211/'Revenue &amp; Demand'!E171,0)</f>
        <v>0</v>
      </c>
      <c r="J211" s="101">
        <v>0.0</v>
      </c>
      <c r="K211" s="101">
        <v>0.0</v>
      </c>
      <c r="L211" s="102">
        <f t="shared" si="25"/>
        <v>0</v>
      </c>
      <c r="M211" s="16"/>
    </row>
    <row r="212">
      <c r="A212" s="99">
        <f t="shared" si="21"/>
        <v>43282</v>
      </c>
      <c r="B212" s="111">
        <f>'Revenue &amp; Demand'!C172</f>
        <v>0</v>
      </c>
      <c r="C212" s="101">
        <v>0.0</v>
      </c>
      <c r="D212" s="102">
        <f>'Workforce &amp; Expenses'!E264</f>
        <v>0</v>
      </c>
      <c r="E212" s="102">
        <f t="shared" si="22"/>
        <v>0</v>
      </c>
      <c r="F212" s="102">
        <f t="shared" si="23"/>
        <v>0</v>
      </c>
      <c r="G212" s="101">
        <v>0.0</v>
      </c>
      <c r="H212" s="101">
        <f t="shared" si="24"/>
        <v>0</v>
      </c>
      <c r="I212" s="112">
        <f>IFERROR(G212/'Revenue &amp; Demand'!E172,0)</f>
        <v>0</v>
      </c>
      <c r="J212" s="101">
        <v>0.0</v>
      </c>
      <c r="K212" s="101">
        <v>0.0</v>
      </c>
      <c r="L212" s="102">
        <f t="shared" si="25"/>
        <v>0</v>
      </c>
      <c r="M212" s="16"/>
    </row>
    <row r="213">
      <c r="A213" s="99">
        <f t="shared" si="21"/>
        <v>43313</v>
      </c>
      <c r="B213" s="111">
        <f>'Revenue &amp; Demand'!C173</f>
        <v>0</v>
      </c>
      <c r="C213" s="101">
        <v>0.0</v>
      </c>
      <c r="D213" s="102">
        <f>'Workforce &amp; Expenses'!E265</f>
        <v>0</v>
      </c>
      <c r="E213" s="102">
        <f t="shared" si="22"/>
        <v>0</v>
      </c>
      <c r="F213" s="102">
        <f t="shared" si="23"/>
        <v>0</v>
      </c>
      <c r="G213" s="101">
        <v>0.0</v>
      </c>
      <c r="H213" s="101">
        <f t="shared" si="24"/>
        <v>0</v>
      </c>
      <c r="I213" s="112">
        <f>IFERROR(G213/'Revenue &amp; Demand'!E173,0)</f>
        <v>0</v>
      </c>
      <c r="J213" s="101">
        <v>0.0</v>
      </c>
      <c r="K213" s="101">
        <v>0.0</v>
      </c>
      <c r="L213" s="102">
        <f t="shared" si="25"/>
        <v>0</v>
      </c>
      <c r="M213" s="16"/>
    </row>
    <row r="214">
      <c r="A214" s="99">
        <f t="shared" si="21"/>
        <v>43344</v>
      </c>
      <c r="B214" s="111">
        <f>'Revenue &amp; Demand'!C174</f>
        <v>0</v>
      </c>
      <c r="C214" s="101">
        <v>0.0</v>
      </c>
      <c r="D214" s="102">
        <f>'Workforce &amp; Expenses'!E266</f>
        <v>0</v>
      </c>
      <c r="E214" s="102">
        <f t="shared" si="22"/>
        <v>0</v>
      </c>
      <c r="F214" s="102">
        <f t="shared" si="23"/>
        <v>0</v>
      </c>
      <c r="G214" s="101">
        <v>0.0</v>
      </c>
      <c r="H214" s="101">
        <f t="shared" si="24"/>
        <v>0</v>
      </c>
      <c r="I214" s="112">
        <f>IFERROR(G214/'Revenue &amp; Demand'!E174,0)</f>
        <v>0</v>
      </c>
      <c r="J214" s="101">
        <v>0.0</v>
      </c>
      <c r="K214" s="101">
        <v>0.0</v>
      </c>
      <c r="L214" s="102">
        <f t="shared" si="25"/>
        <v>0</v>
      </c>
      <c r="M214" s="16"/>
    </row>
    <row r="215">
      <c r="A215" s="99">
        <f t="shared" si="21"/>
        <v>43374</v>
      </c>
      <c r="B215" s="111">
        <f>'Revenue &amp; Demand'!C175</f>
        <v>0</v>
      </c>
      <c r="C215" s="101">
        <v>0.0</v>
      </c>
      <c r="D215" s="102">
        <f>'Workforce &amp; Expenses'!E267</f>
        <v>0</v>
      </c>
      <c r="E215" s="102">
        <f t="shared" si="22"/>
        <v>0</v>
      </c>
      <c r="F215" s="102">
        <f t="shared" si="23"/>
        <v>0</v>
      </c>
      <c r="G215" s="101">
        <v>0.0</v>
      </c>
      <c r="H215" s="102">
        <f t="shared" si="24"/>
        <v>0</v>
      </c>
      <c r="I215" s="112">
        <f>IFERROR(G215/'Revenue &amp; Demand'!E175,0)</f>
        <v>0</v>
      </c>
      <c r="J215" s="101">
        <v>0.0</v>
      </c>
      <c r="K215" s="101">
        <v>0.0</v>
      </c>
      <c r="L215" s="102">
        <f t="shared" si="25"/>
        <v>0</v>
      </c>
      <c r="M215" s="16"/>
    </row>
    <row r="216">
      <c r="A216" s="99">
        <f t="shared" si="21"/>
        <v>43405</v>
      </c>
      <c r="B216" s="111">
        <f>'Revenue &amp; Demand'!C176</f>
        <v>0</v>
      </c>
      <c r="C216" s="101">
        <v>0.0</v>
      </c>
      <c r="D216" s="102">
        <f>'Workforce &amp; Expenses'!E268</f>
        <v>0</v>
      </c>
      <c r="E216" s="102">
        <f t="shared" si="22"/>
        <v>0</v>
      </c>
      <c r="F216" s="102">
        <f t="shared" si="23"/>
        <v>0</v>
      </c>
      <c r="G216" s="101">
        <v>0.0</v>
      </c>
      <c r="H216" s="102">
        <f t="shared" si="24"/>
        <v>0</v>
      </c>
      <c r="I216" s="112">
        <f>IFERROR(G216/'Revenue &amp; Demand'!E176,0)</f>
        <v>0</v>
      </c>
      <c r="J216" s="101">
        <v>0.0</v>
      </c>
      <c r="K216" s="101">
        <v>0.0</v>
      </c>
      <c r="L216" s="102">
        <f t="shared" si="25"/>
        <v>0</v>
      </c>
      <c r="M216" s="16"/>
    </row>
    <row r="217">
      <c r="A217" s="99">
        <f t="shared" si="21"/>
        <v>43435</v>
      </c>
      <c r="B217" s="111">
        <f>'Revenue &amp; Demand'!C177</f>
        <v>0</v>
      </c>
      <c r="C217" s="101">
        <v>0.0</v>
      </c>
      <c r="D217" s="102">
        <f>'Workforce &amp; Expenses'!E269</f>
        <v>0</v>
      </c>
      <c r="E217" s="102">
        <f t="shared" si="22"/>
        <v>0</v>
      </c>
      <c r="F217" s="102">
        <f t="shared" si="23"/>
        <v>0</v>
      </c>
      <c r="G217" s="101">
        <v>0.0</v>
      </c>
      <c r="H217" s="102">
        <f t="shared" si="24"/>
        <v>0</v>
      </c>
      <c r="I217" s="112">
        <f>IFERROR(G217/'Revenue &amp; Demand'!E177,0)</f>
        <v>0</v>
      </c>
      <c r="J217" s="101">
        <v>0.0</v>
      </c>
      <c r="K217" s="101">
        <v>0.0</v>
      </c>
      <c r="L217" s="102">
        <f t="shared" si="25"/>
        <v>0</v>
      </c>
      <c r="M217" s="16"/>
    </row>
    <row r="218">
      <c r="A218" s="99">
        <f t="shared" si="21"/>
        <v>43466</v>
      </c>
      <c r="B218" s="111">
        <f>'Revenue &amp; Demand'!C178</f>
        <v>0</v>
      </c>
      <c r="C218" s="101">
        <v>0.0</v>
      </c>
      <c r="D218" s="102">
        <f>'Workforce &amp; Expenses'!E270</f>
        <v>0</v>
      </c>
      <c r="E218" s="102">
        <f t="shared" si="22"/>
        <v>0</v>
      </c>
      <c r="F218" s="102">
        <f t="shared" si="23"/>
        <v>0</v>
      </c>
      <c r="G218" s="101">
        <v>0.0</v>
      </c>
      <c r="H218" s="102">
        <f t="shared" si="24"/>
        <v>0</v>
      </c>
      <c r="I218" s="112">
        <f>IFERROR(G218/'Revenue &amp; Demand'!E178,0)</f>
        <v>0</v>
      </c>
      <c r="J218" s="101">
        <v>0.0</v>
      </c>
      <c r="K218" s="101">
        <v>294.0</v>
      </c>
      <c r="L218" s="102">
        <f t="shared" si="25"/>
        <v>0</v>
      </c>
      <c r="M218" s="16"/>
    </row>
    <row r="219">
      <c r="A219" s="99">
        <f t="shared" si="21"/>
        <v>43497</v>
      </c>
      <c r="B219" s="111">
        <f>'Revenue &amp; Demand'!C179</f>
        <v>0</v>
      </c>
      <c r="C219" s="101">
        <v>0.0</v>
      </c>
      <c r="D219" s="102">
        <f>'Workforce &amp; Expenses'!E271</f>
        <v>0</v>
      </c>
      <c r="E219" s="102">
        <f t="shared" si="22"/>
        <v>0</v>
      </c>
      <c r="F219" s="102">
        <f t="shared" si="23"/>
        <v>0</v>
      </c>
      <c r="G219" s="101">
        <v>0.0</v>
      </c>
      <c r="H219" s="102">
        <f t="shared" si="24"/>
        <v>0</v>
      </c>
      <c r="I219" s="112">
        <f>IFERROR(G219/'Revenue &amp; Demand'!E179,0)</f>
        <v>0</v>
      </c>
      <c r="J219" s="101">
        <v>0.0</v>
      </c>
      <c r="K219" s="101">
        <v>294.0</v>
      </c>
      <c r="L219" s="102">
        <f t="shared" si="25"/>
        <v>0</v>
      </c>
      <c r="M219" s="16"/>
    </row>
    <row r="220">
      <c r="A220" s="99">
        <f t="shared" si="21"/>
        <v>43525</v>
      </c>
      <c r="B220" s="111">
        <f>'Revenue &amp; Demand'!C180</f>
        <v>0</v>
      </c>
      <c r="C220" s="101">
        <v>0.0</v>
      </c>
      <c r="D220" s="102">
        <f>'Workforce &amp; Expenses'!E272</f>
        <v>0</v>
      </c>
      <c r="E220" s="102">
        <f t="shared" si="22"/>
        <v>0</v>
      </c>
      <c r="F220" s="102">
        <f t="shared" si="23"/>
        <v>0</v>
      </c>
      <c r="G220" s="101">
        <v>0.0</v>
      </c>
      <c r="H220" s="102">
        <f t="shared" si="24"/>
        <v>0</v>
      </c>
      <c r="I220" s="112">
        <f>IFERROR(G220/'Revenue &amp; Demand'!E180,0)</f>
        <v>0</v>
      </c>
      <c r="J220" s="101">
        <v>0.0</v>
      </c>
      <c r="K220" s="101">
        <v>1838.0</v>
      </c>
      <c r="L220" s="102">
        <f t="shared" si="25"/>
        <v>0</v>
      </c>
      <c r="M220" s="16"/>
    </row>
    <row r="221">
      <c r="A221" s="99">
        <f t="shared" si="21"/>
        <v>43556</v>
      </c>
      <c r="B221" s="111">
        <f>'Revenue &amp; Demand'!C181</f>
        <v>0</v>
      </c>
      <c r="C221" s="101">
        <v>0.0</v>
      </c>
      <c r="D221" s="102">
        <f>'Workforce &amp; Expenses'!E273</f>
        <v>0</v>
      </c>
      <c r="E221" s="102">
        <f t="shared" si="22"/>
        <v>0</v>
      </c>
      <c r="F221" s="102">
        <f t="shared" si="23"/>
        <v>0</v>
      </c>
      <c r="G221" s="101">
        <v>0.0</v>
      </c>
      <c r="H221" s="102">
        <f t="shared" si="24"/>
        <v>0</v>
      </c>
      <c r="I221" s="112">
        <f>IFERROR(G221/'Revenue &amp; Demand'!E181,0)</f>
        <v>0</v>
      </c>
      <c r="J221" s="101">
        <v>0.0</v>
      </c>
      <c r="K221" s="101">
        <v>294.0</v>
      </c>
      <c r="L221" s="102">
        <f t="shared" si="25"/>
        <v>0</v>
      </c>
      <c r="M221" s="16"/>
    </row>
    <row r="222">
      <c r="A222" s="99">
        <f t="shared" si="21"/>
        <v>43586</v>
      </c>
      <c r="B222" s="111">
        <f>'Revenue &amp; Demand'!C182</f>
        <v>0</v>
      </c>
      <c r="C222" s="101">
        <v>0.0</v>
      </c>
      <c r="D222" s="102">
        <f>'Workforce &amp; Expenses'!E274</f>
        <v>0</v>
      </c>
      <c r="E222" s="102">
        <f t="shared" si="22"/>
        <v>0</v>
      </c>
      <c r="F222" s="102">
        <f t="shared" si="23"/>
        <v>0</v>
      </c>
      <c r="G222" s="101">
        <v>0.0</v>
      </c>
      <c r="H222" s="102">
        <f t="shared" si="24"/>
        <v>0</v>
      </c>
      <c r="I222" s="112">
        <f>IFERROR(G222/'Revenue &amp; Demand'!E182,0)</f>
        <v>0</v>
      </c>
      <c r="J222" s="101">
        <v>0.0</v>
      </c>
      <c r="K222" s="101">
        <v>294.0</v>
      </c>
      <c r="L222" s="102">
        <f t="shared" si="25"/>
        <v>0</v>
      </c>
      <c r="M222" s="16"/>
    </row>
    <row r="223">
      <c r="A223" s="99">
        <f t="shared" si="21"/>
        <v>43617</v>
      </c>
      <c r="B223" s="111">
        <f>'Revenue &amp; Demand'!C183</f>
        <v>0</v>
      </c>
      <c r="C223" s="101">
        <v>0.0</v>
      </c>
      <c r="D223" s="102">
        <f>'Workforce &amp; Expenses'!E275</f>
        <v>0</v>
      </c>
      <c r="E223" s="102">
        <f t="shared" si="22"/>
        <v>0</v>
      </c>
      <c r="F223" s="102">
        <f t="shared" si="23"/>
        <v>0</v>
      </c>
      <c r="G223" s="101">
        <v>0.0</v>
      </c>
      <c r="H223" s="102">
        <f t="shared" si="24"/>
        <v>0</v>
      </c>
      <c r="I223" s="112">
        <f>IFERROR(G223/'Revenue &amp; Demand'!E183,0)</f>
        <v>0</v>
      </c>
      <c r="J223" s="101">
        <v>0.0</v>
      </c>
      <c r="K223" s="101">
        <v>1838.0</v>
      </c>
      <c r="L223" s="102">
        <f t="shared" si="25"/>
        <v>0</v>
      </c>
      <c r="M223" s="16"/>
    </row>
    <row r="224">
      <c r="A224" s="99">
        <f t="shared" si="21"/>
        <v>43647</v>
      </c>
      <c r="B224" s="111">
        <f>'Revenue &amp; Demand'!C184</f>
        <v>0</v>
      </c>
      <c r="C224" s="101">
        <v>0.0</v>
      </c>
      <c r="D224" s="102">
        <f>'Workforce &amp; Expenses'!E276</f>
        <v>0</v>
      </c>
      <c r="E224" s="102">
        <f t="shared" si="22"/>
        <v>0</v>
      </c>
      <c r="F224" s="102">
        <f t="shared" si="23"/>
        <v>0</v>
      </c>
      <c r="G224" s="101">
        <v>0.0</v>
      </c>
      <c r="H224" s="102">
        <f t="shared" si="24"/>
        <v>0</v>
      </c>
      <c r="I224" s="112">
        <f>IFERROR(G224/'Revenue &amp; Demand'!E184,0)</f>
        <v>0</v>
      </c>
      <c r="J224" s="101">
        <v>0.0</v>
      </c>
      <c r="K224" s="101">
        <v>294.0</v>
      </c>
      <c r="L224" s="102">
        <f t="shared" si="25"/>
        <v>0</v>
      </c>
      <c r="M224" s="16"/>
    </row>
    <row r="225">
      <c r="A225" s="99">
        <f t="shared" si="21"/>
        <v>43678</v>
      </c>
      <c r="B225" s="111">
        <f>'Revenue &amp; Demand'!C185</f>
        <v>0</v>
      </c>
      <c r="C225" s="101">
        <v>0.0</v>
      </c>
      <c r="D225" s="102">
        <f>'Workforce &amp; Expenses'!E277</f>
        <v>0</v>
      </c>
      <c r="E225" s="102">
        <f t="shared" si="22"/>
        <v>0</v>
      </c>
      <c r="F225" s="102">
        <f t="shared" si="23"/>
        <v>0</v>
      </c>
      <c r="G225" s="101">
        <v>0.0</v>
      </c>
      <c r="H225" s="102">
        <f t="shared" si="24"/>
        <v>0</v>
      </c>
      <c r="I225" s="112">
        <f>IFERROR(G225/'Revenue &amp; Demand'!E185,0)</f>
        <v>0</v>
      </c>
      <c r="J225" s="101">
        <v>0.0</v>
      </c>
      <c r="K225" s="101">
        <v>294.0</v>
      </c>
      <c r="L225" s="102">
        <f t="shared" si="25"/>
        <v>0</v>
      </c>
      <c r="M225" s="16"/>
    </row>
    <row r="226">
      <c r="A226" s="99">
        <f t="shared" si="21"/>
        <v>43709</v>
      </c>
      <c r="B226" s="111">
        <f>'Revenue &amp; Demand'!C186</f>
        <v>0</v>
      </c>
      <c r="C226" s="101">
        <v>0.0</v>
      </c>
      <c r="D226" s="102">
        <f>'Workforce &amp; Expenses'!E278</f>
        <v>0</v>
      </c>
      <c r="E226" s="102">
        <f t="shared" si="22"/>
        <v>0</v>
      </c>
      <c r="F226" s="102">
        <f t="shared" si="23"/>
        <v>0</v>
      </c>
      <c r="G226" s="101">
        <v>0.0</v>
      </c>
      <c r="H226" s="102">
        <f t="shared" si="24"/>
        <v>0</v>
      </c>
      <c r="I226" s="112">
        <f>IFERROR(G226/'Revenue &amp; Demand'!E186,0)</f>
        <v>0</v>
      </c>
      <c r="J226" s="101">
        <v>0.0</v>
      </c>
      <c r="K226" s="101">
        <v>1838.0</v>
      </c>
      <c r="L226" s="102">
        <f t="shared" si="25"/>
        <v>0</v>
      </c>
      <c r="M226" s="16"/>
    </row>
    <row r="227">
      <c r="A227" s="99">
        <f t="shared" si="21"/>
        <v>43739</v>
      </c>
      <c r="B227" s="111">
        <f>'Revenue &amp; Demand'!C187</f>
        <v>0</v>
      </c>
      <c r="C227" s="101">
        <v>0.0</v>
      </c>
      <c r="D227" s="102">
        <f>'Workforce &amp; Expenses'!E279</f>
        <v>0</v>
      </c>
      <c r="E227" s="102">
        <f t="shared" si="22"/>
        <v>0</v>
      </c>
      <c r="F227" s="102">
        <f t="shared" si="23"/>
        <v>0</v>
      </c>
      <c r="G227" s="101">
        <v>0.0</v>
      </c>
      <c r="H227" s="102">
        <f t="shared" si="24"/>
        <v>0</v>
      </c>
      <c r="I227" s="112">
        <f>IFERROR(G227/'Revenue &amp; Demand'!E187,0)</f>
        <v>0</v>
      </c>
      <c r="J227" s="101">
        <v>0.0</v>
      </c>
      <c r="K227" s="101">
        <v>294.0</v>
      </c>
      <c r="L227" s="102">
        <f t="shared" si="25"/>
        <v>0</v>
      </c>
      <c r="M227" s="16"/>
    </row>
    <row r="228">
      <c r="A228" s="99">
        <f t="shared" si="21"/>
        <v>43770</v>
      </c>
      <c r="B228" s="111">
        <f>'Revenue &amp; Demand'!C188</f>
        <v>0</v>
      </c>
      <c r="C228" s="101">
        <v>0.0</v>
      </c>
      <c r="D228" s="102">
        <f>'Workforce &amp; Expenses'!E280</f>
        <v>0</v>
      </c>
      <c r="E228" s="102">
        <f t="shared" si="22"/>
        <v>0</v>
      </c>
      <c r="F228" s="102">
        <f t="shared" si="23"/>
        <v>0</v>
      </c>
      <c r="G228" s="101">
        <v>0.0</v>
      </c>
      <c r="H228" s="102">
        <f t="shared" si="24"/>
        <v>0</v>
      </c>
      <c r="I228" s="112">
        <f>IFERROR(G228/'Revenue &amp; Demand'!E188,0)</f>
        <v>0</v>
      </c>
      <c r="J228" s="101">
        <v>0.0</v>
      </c>
      <c r="K228" s="101">
        <v>294.0</v>
      </c>
      <c r="L228" s="102">
        <f t="shared" si="25"/>
        <v>0</v>
      </c>
      <c r="M228" s="16"/>
    </row>
    <row r="229">
      <c r="A229" s="99">
        <f t="shared" si="21"/>
        <v>43800</v>
      </c>
      <c r="B229" s="111">
        <f>'Revenue &amp; Demand'!C189</f>
        <v>0</v>
      </c>
      <c r="C229" s="101">
        <v>0.0</v>
      </c>
      <c r="D229" s="102">
        <f>'Workforce &amp; Expenses'!E281</f>
        <v>0</v>
      </c>
      <c r="E229" s="102">
        <f t="shared" si="22"/>
        <v>0</v>
      </c>
      <c r="F229" s="102">
        <f t="shared" si="23"/>
        <v>0</v>
      </c>
      <c r="G229" s="101">
        <v>0.0</v>
      </c>
      <c r="H229" s="102">
        <f t="shared" si="24"/>
        <v>0</v>
      </c>
      <c r="I229" s="112">
        <f>IFERROR(G229/'Revenue &amp; Demand'!E189,0)</f>
        <v>0</v>
      </c>
      <c r="J229" s="101">
        <v>0.0</v>
      </c>
      <c r="K229" s="101">
        <v>2134.0</v>
      </c>
      <c r="L229" s="102">
        <f t="shared" si="25"/>
        <v>0</v>
      </c>
      <c r="M229" s="16"/>
    </row>
    <row r="230">
      <c r="A230" s="99">
        <f t="shared" si="21"/>
        <v>43831</v>
      </c>
      <c r="B230" s="111">
        <f>'Revenue &amp; Demand'!C190</f>
        <v>0</v>
      </c>
      <c r="C230" s="101">
        <v>0.0</v>
      </c>
      <c r="D230" s="102">
        <f>'Workforce &amp; Expenses'!E282</f>
        <v>0</v>
      </c>
      <c r="E230" s="102">
        <f t="shared" si="22"/>
        <v>0</v>
      </c>
      <c r="F230" s="102">
        <f t="shared" si="23"/>
        <v>0</v>
      </c>
      <c r="G230" s="101">
        <v>0.0</v>
      </c>
      <c r="H230" s="102">
        <f t="shared" si="24"/>
        <v>0</v>
      </c>
      <c r="I230" s="112">
        <f>IFERROR(G230/'Revenue &amp; Demand'!E190,0)</f>
        <v>0</v>
      </c>
      <c r="J230" s="101">
        <v>0.0</v>
      </c>
      <c r="K230" s="101">
        <v>882.0</v>
      </c>
      <c r="L230" s="102">
        <f t="shared" si="25"/>
        <v>0</v>
      </c>
      <c r="M230" s="16"/>
    </row>
    <row r="231">
      <c r="A231" s="99">
        <f t="shared" si="21"/>
        <v>43862</v>
      </c>
      <c r="B231" s="111">
        <f>'Revenue &amp; Demand'!C191</f>
        <v>0</v>
      </c>
      <c r="C231" s="101">
        <v>0.0</v>
      </c>
      <c r="D231" s="102">
        <f>'Workforce &amp; Expenses'!E283</f>
        <v>0</v>
      </c>
      <c r="E231" s="102">
        <f t="shared" si="22"/>
        <v>0</v>
      </c>
      <c r="F231" s="102">
        <f t="shared" si="23"/>
        <v>0</v>
      </c>
      <c r="G231" s="101">
        <v>0.0</v>
      </c>
      <c r="H231" s="102">
        <f t="shared" si="24"/>
        <v>0</v>
      </c>
      <c r="I231" s="112">
        <f>IFERROR(G231/'Revenue &amp; Demand'!E191,0)</f>
        <v>0</v>
      </c>
      <c r="J231" s="101">
        <v>0.0</v>
      </c>
      <c r="K231" s="101">
        <v>882.0</v>
      </c>
      <c r="L231" s="102">
        <f t="shared" si="25"/>
        <v>0</v>
      </c>
      <c r="M231" s="16"/>
    </row>
    <row r="232">
      <c r="A232" s="99">
        <f t="shared" si="21"/>
        <v>43891</v>
      </c>
      <c r="B232" s="111">
        <f>'Revenue &amp; Demand'!C192</f>
        <v>0</v>
      </c>
      <c r="C232" s="101">
        <v>0.0</v>
      </c>
      <c r="D232" s="102">
        <f>'Workforce &amp; Expenses'!E284</f>
        <v>0</v>
      </c>
      <c r="E232" s="102">
        <f t="shared" si="22"/>
        <v>0</v>
      </c>
      <c r="F232" s="102">
        <f t="shared" si="23"/>
        <v>0</v>
      </c>
      <c r="G232" s="101">
        <v>0.0</v>
      </c>
      <c r="H232" s="102">
        <f t="shared" si="24"/>
        <v>0</v>
      </c>
      <c r="I232" s="112">
        <f>IFERROR(G232/'Revenue &amp; Demand'!E192,0)</f>
        <v>0</v>
      </c>
      <c r="J232" s="101">
        <v>0.0</v>
      </c>
      <c r="K232" s="101">
        <v>5515.0</v>
      </c>
      <c r="L232" s="102">
        <f t="shared" si="25"/>
        <v>0</v>
      </c>
      <c r="M232" s="16"/>
    </row>
    <row r="233">
      <c r="A233" s="99">
        <f t="shared" si="21"/>
        <v>43922</v>
      </c>
      <c r="B233" s="111">
        <f>'Revenue &amp; Demand'!C193</f>
        <v>0</v>
      </c>
      <c r="C233" s="101">
        <v>0.0</v>
      </c>
      <c r="D233" s="102">
        <f>'Workforce &amp; Expenses'!E285</f>
        <v>0</v>
      </c>
      <c r="E233" s="102">
        <f t="shared" si="22"/>
        <v>0</v>
      </c>
      <c r="F233" s="102">
        <f t="shared" si="23"/>
        <v>0</v>
      </c>
      <c r="G233" s="101">
        <v>0.0</v>
      </c>
      <c r="H233" s="102">
        <f t="shared" si="24"/>
        <v>0</v>
      </c>
      <c r="I233" s="112">
        <f>IFERROR(G233/'Revenue &amp; Demand'!E193,0)</f>
        <v>0</v>
      </c>
      <c r="J233" s="101">
        <v>0.0</v>
      </c>
      <c r="K233" s="101">
        <v>882.0</v>
      </c>
      <c r="L233" s="102">
        <f t="shared" si="25"/>
        <v>0</v>
      </c>
      <c r="M233" s="16"/>
    </row>
    <row r="234">
      <c r="A234" s="99">
        <f t="shared" si="21"/>
        <v>43952</v>
      </c>
      <c r="B234" s="111">
        <f>'Revenue &amp; Demand'!C194</f>
        <v>0</v>
      </c>
      <c r="C234" s="101">
        <v>0.0</v>
      </c>
      <c r="D234" s="102">
        <f>'Workforce &amp; Expenses'!E286</f>
        <v>0</v>
      </c>
      <c r="E234" s="102">
        <f t="shared" si="22"/>
        <v>0</v>
      </c>
      <c r="F234" s="102">
        <f t="shared" si="23"/>
        <v>0</v>
      </c>
      <c r="G234" s="101">
        <v>0.0</v>
      </c>
      <c r="H234" s="102">
        <f t="shared" si="24"/>
        <v>0</v>
      </c>
      <c r="I234" s="112">
        <f>IFERROR(G234/'Revenue &amp; Demand'!E194,0)</f>
        <v>0</v>
      </c>
      <c r="J234" s="101">
        <v>0.0</v>
      </c>
      <c r="K234" s="101">
        <v>882.0</v>
      </c>
      <c r="L234" s="102">
        <f t="shared" si="25"/>
        <v>0</v>
      </c>
      <c r="M234" s="16"/>
    </row>
    <row r="235">
      <c r="A235" s="99">
        <f t="shared" si="21"/>
        <v>43983</v>
      </c>
      <c r="B235" s="111">
        <f>'Revenue &amp; Demand'!C195</f>
        <v>0</v>
      </c>
      <c r="C235" s="101">
        <v>0.0</v>
      </c>
      <c r="D235" s="102">
        <f>'Workforce &amp; Expenses'!E287</f>
        <v>0</v>
      </c>
      <c r="E235" s="102">
        <f t="shared" si="22"/>
        <v>0</v>
      </c>
      <c r="F235" s="102">
        <f t="shared" si="23"/>
        <v>0</v>
      </c>
      <c r="G235" s="101">
        <v>0.0</v>
      </c>
      <c r="H235" s="102">
        <f t="shared" si="24"/>
        <v>0</v>
      </c>
      <c r="I235" s="112">
        <f>IFERROR(G235/'Revenue &amp; Demand'!E195,0)</f>
        <v>0</v>
      </c>
      <c r="J235" s="101">
        <v>0.0</v>
      </c>
      <c r="K235" s="101">
        <v>5515.0</v>
      </c>
      <c r="L235" s="102">
        <f t="shared" si="25"/>
        <v>0</v>
      </c>
      <c r="M235" s="16"/>
    </row>
    <row r="236">
      <c r="A236" s="99">
        <f t="shared" si="21"/>
        <v>44013</v>
      </c>
      <c r="B236" s="111">
        <f>'Revenue &amp; Demand'!C196</f>
        <v>0</v>
      </c>
      <c r="C236" s="101">
        <v>0.0</v>
      </c>
      <c r="D236" s="102">
        <f>'Workforce &amp; Expenses'!E288</f>
        <v>0</v>
      </c>
      <c r="E236" s="102">
        <f t="shared" si="22"/>
        <v>0</v>
      </c>
      <c r="F236" s="102">
        <f t="shared" si="23"/>
        <v>0</v>
      </c>
      <c r="G236" s="101">
        <v>0.0</v>
      </c>
      <c r="H236" s="102">
        <f t="shared" si="24"/>
        <v>0</v>
      </c>
      <c r="I236" s="112">
        <f>IFERROR(G236/'Revenue &amp; Demand'!E196,0)</f>
        <v>0</v>
      </c>
      <c r="J236" s="101">
        <v>0.0</v>
      </c>
      <c r="K236" s="101">
        <v>882.0</v>
      </c>
      <c r="L236" s="102">
        <f t="shared" si="25"/>
        <v>0</v>
      </c>
      <c r="M236" s="16"/>
    </row>
    <row r="237">
      <c r="A237" s="99">
        <f t="shared" si="21"/>
        <v>44044</v>
      </c>
      <c r="B237" s="111">
        <f>'Revenue &amp; Demand'!C197</f>
        <v>0</v>
      </c>
      <c r="C237" s="101">
        <v>0.0</v>
      </c>
      <c r="D237" s="102">
        <f>'Workforce &amp; Expenses'!E289</f>
        <v>0</v>
      </c>
      <c r="E237" s="102">
        <f t="shared" si="22"/>
        <v>0</v>
      </c>
      <c r="F237" s="102">
        <f t="shared" si="23"/>
        <v>0</v>
      </c>
      <c r="G237" s="101">
        <v>0.0</v>
      </c>
      <c r="H237" s="102">
        <f t="shared" si="24"/>
        <v>0</v>
      </c>
      <c r="I237" s="112">
        <f>IFERROR(G237/'Revenue &amp; Demand'!E197,0)</f>
        <v>0</v>
      </c>
      <c r="J237" s="101">
        <v>0.0</v>
      </c>
      <c r="K237" s="101">
        <v>882.0</v>
      </c>
      <c r="L237" s="102">
        <f t="shared" si="25"/>
        <v>0</v>
      </c>
      <c r="M237" s="16"/>
    </row>
    <row r="238">
      <c r="A238" s="99">
        <f t="shared" si="21"/>
        <v>44075</v>
      </c>
      <c r="B238" s="111">
        <f>'Revenue &amp; Demand'!C198</f>
        <v>0</v>
      </c>
      <c r="C238" s="101">
        <v>0.0</v>
      </c>
      <c r="D238" s="102">
        <f>'Workforce &amp; Expenses'!E290</f>
        <v>0</v>
      </c>
      <c r="E238" s="102">
        <f t="shared" si="22"/>
        <v>0</v>
      </c>
      <c r="F238" s="102">
        <f t="shared" si="23"/>
        <v>0</v>
      </c>
      <c r="G238" s="101">
        <v>0.0</v>
      </c>
      <c r="H238" s="102">
        <f t="shared" si="24"/>
        <v>0</v>
      </c>
      <c r="I238" s="112">
        <f>IFERROR(G238/'Revenue &amp; Demand'!E198,0)</f>
        <v>0</v>
      </c>
      <c r="J238" s="101">
        <v>0.0</v>
      </c>
      <c r="K238" s="101">
        <v>5515.0</v>
      </c>
      <c r="L238" s="102">
        <f t="shared" si="25"/>
        <v>0</v>
      </c>
      <c r="M238" s="16"/>
    </row>
    <row r="239">
      <c r="A239" s="99">
        <f t="shared" si="21"/>
        <v>44105</v>
      </c>
      <c r="B239" s="111">
        <f>'Revenue &amp; Demand'!C199</f>
        <v>0</v>
      </c>
      <c r="C239" s="101">
        <v>0.0</v>
      </c>
      <c r="D239" s="102">
        <f>'Workforce &amp; Expenses'!E291</f>
        <v>0</v>
      </c>
      <c r="E239" s="102">
        <f t="shared" si="22"/>
        <v>0</v>
      </c>
      <c r="F239" s="102">
        <f t="shared" si="23"/>
        <v>0</v>
      </c>
      <c r="G239" s="101">
        <v>0.0</v>
      </c>
      <c r="H239" s="102">
        <f t="shared" si="24"/>
        <v>0</v>
      </c>
      <c r="I239" s="112">
        <f>IFERROR(G239/'Revenue &amp; Demand'!E199,0)</f>
        <v>0</v>
      </c>
      <c r="J239" s="101">
        <v>0.0</v>
      </c>
      <c r="K239" s="101">
        <v>882.0</v>
      </c>
      <c r="L239" s="102">
        <f t="shared" si="25"/>
        <v>0</v>
      </c>
      <c r="M239" s="16"/>
    </row>
    <row r="240">
      <c r="A240" s="99">
        <f t="shared" si="21"/>
        <v>44136</v>
      </c>
      <c r="B240" s="111">
        <f>'Revenue &amp; Demand'!C200</f>
        <v>0</v>
      </c>
      <c r="C240" s="101">
        <v>0.0</v>
      </c>
      <c r="D240" s="102">
        <f>'Workforce &amp; Expenses'!E292</f>
        <v>0</v>
      </c>
      <c r="E240" s="102">
        <f t="shared" si="22"/>
        <v>0</v>
      </c>
      <c r="F240" s="102">
        <f t="shared" si="23"/>
        <v>0</v>
      </c>
      <c r="G240" s="101">
        <v>0.0</v>
      </c>
      <c r="H240" s="102">
        <f t="shared" si="24"/>
        <v>0</v>
      </c>
      <c r="I240" s="112">
        <f>IFERROR(G240/'Revenue &amp; Demand'!E200,0)</f>
        <v>0</v>
      </c>
      <c r="J240" s="101">
        <v>0.0</v>
      </c>
      <c r="K240" s="101">
        <v>882.0</v>
      </c>
      <c r="L240" s="102">
        <f t="shared" si="25"/>
        <v>0</v>
      </c>
      <c r="M240" s="16"/>
    </row>
    <row r="241">
      <c r="A241" s="99">
        <f t="shared" si="21"/>
        <v>44166</v>
      </c>
      <c r="B241" s="111">
        <f>'Revenue &amp; Demand'!C201</f>
        <v>0</v>
      </c>
      <c r="C241" s="101">
        <v>0.0</v>
      </c>
      <c r="D241" s="102">
        <f>'Workforce &amp; Expenses'!E293</f>
        <v>0</v>
      </c>
      <c r="E241" s="102">
        <f t="shared" si="22"/>
        <v>0</v>
      </c>
      <c r="F241" s="102">
        <f t="shared" si="23"/>
        <v>0</v>
      </c>
      <c r="G241" s="101">
        <v>0.0</v>
      </c>
      <c r="H241" s="102">
        <f t="shared" si="24"/>
        <v>0</v>
      </c>
      <c r="I241" s="112">
        <f>IFERROR(G241/'Revenue &amp; Demand'!E201,0)</f>
        <v>0</v>
      </c>
      <c r="J241" s="101">
        <v>0.0</v>
      </c>
      <c r="K241" s="101">
        <v>6399.0</v>
      </c>
      <c r="L241" s="102">
        <f t="shared" si="25"/>
        <v>0</v>
      </c>
      <c r="M241" s="16"/>
    </row>
    <row r="242">
      <c r="A242" s="99">
        <f t="shared" si="21"/>
        <v>44197</v>
      </c>
      <c r="B242" s="111">
        <f>'Revenue &amp; Demand'!C202</f>
        <v>0</v>
      </c>
      <c r="C242" s="101">
        <v>0.0</v>
      </c>
      <c r="D242" s="102">
        <f>'Workforce &amp; Expenses'!E294</f>
        <v>0</v>
      </c>
      <c r="E242" s="102">
        <f t="shared" si="22"/>
        <v>0</v>
      </c>
      <c r="F242" s="102">
        <f t="shared" si="23"/>
        <v>0</v>
      </c>
      <c r="G242" s="101">
        <v>0.0</v>
      </c>
      <c r="H242" s="102">
        <f t="shared" si="24"/>
        <v>0</v>
      </c>
      <c r="I242" s="112">
        <f>IFERROR(G242/'Revenue &amp; Demand'!E202,0)</f>
        <v>0</v>
      </c>
      <c r="J242" s="101">
        <v>0.0</v>
      </c>
      <c r="K242" s="101">
        <v>2059.0</v>
      </c>
      <c r="L242" s="102">
        <f t="shared" si="25"/>
        <v>0</v>
      </c>
      <c r="M242" s="16"/>
    </row>
    <row r="243">
      <c r="A243" s="99">
        <f t="shared" si="21"/>
        <v>44228</v>
      </c>
      <c r="B243" s="111">
        <f>'Revenue &amp; Demand'!C203</f>
        <v>0</v>
      </c>
      <c r="C243" s="101">
        <v>0.0</v>
      </c>
      <c r="D243" s="102">
        <f>'Workforce &amp; Expenses'!E295</f>
        <v>0</v>
      </c>
      <c r="E243" s="102">
        <f t="shared" si="22"/>
        <v>0</v>
      </c>
      <c r="F243" s="102">
        <f t="shared" si="23"/>
        <v>0</v>
      </c>
      <c r="G243" s="101">
        <v>0.0</v>
      </c>
      <c r="H243" s="102">
        <f t="shared" si="24"/>
        <v>0</v>
      </c>
      <c r="I243" s="112">
        <f>IFERROR(G243/'Revenue &amp; Demand'!E203,0)</f>
        <v>0</v>
      </c>
      <c r="J243" s="101">
        <v>0.0</v>
      </c>
      <c r="K243" s="101">
        <v>2059.0</v>
      </c>
      <c r="L243" s="102">
        <f t="shared" si="25"/>
        <v>0</v>
      </c>
      <c r="M243" s="16"/>
    </row>
    <row r="244">
      <c r="A244" s="99">
        <f t="shared" si="21"/>
        <v>44256</v>
      </c>
      <c r="B244" s="111">
        <f>'Revenue &amp; Demand'!C204</f>
        <v>0</v>
      </c>
      <c r="C244" s="101">
        <v>0.0</v>
      </c>
      <c r="D244" s="102">
        <f>'Workforce &amp; Expenses'!E296</f>
        <v>0</v>
      </c>
      <c r="E244" s="102">
        <f t="shared" si="22"/>
        <v>0</v>
      </c>
      <c r="F244" s="102">
        <f t="shared" si="23"/>
        <v>0</v>
      </c>
      <c r="G244" s="101">
        <v>0.0</v>
      </c>
      <c r="H244" s="102">
        <f t="shared" si="24"/>
        <v>0</v>
      </c>
      <c r="I244" s="112">
        <f>IFERROR(G244/'Revenue &amp; Demand'!E204,0)</f>
        <v>0</v>
      </c>
      <c r="J244" s="101">
        <v>0.0</v>
      </c>
      <c r="K244" s="101">
        <v>12868.0</v>
      </c>
      <c r="L244" s="102">
        <f t="shared" si="25"/>
        <v>0</v>
      </c>
      <c r="M244" s="16"/>
    </row>
    <row r="245">
      <c r="A245" s="99">
        <f t="shared" si="21"/>
        <v>44287</v>
      </c>
      <c r="B245" s="111">
        <f>'Revenue &amp; Demand'!C205</f>
        <v>0</v>
      </c>
      <c r="C245" s="101">
        <v>0.0</v>
      </c>
      <c r="D245" s="102">
        <f>'Workforce &amp; Expenses'!E297</f>
        <v>0</v>
      </c>
      <c r="E245" s="102">
        <f t="shared" si="22"/>
        <v>0</v>
      </c>
      <c r="F245" s="102">
        <f t="shared" si="23"/>
        <v>0</v>
      </c>
      <c r="G245" s="101">
        <v>0.0</v>
      </c>
      <c r="H245" s="102">
        <f t="shared" si="24"/>
        <v>0</v>
      </c>
      <c r="I245" s="112">
        <f>IFERROR(G245/'Revenue &amp; Demand'!E205,0)</f>
        <v>0</v>
      </c>
      <c r="J245" s="101">
        <v>0.0</v>
      </c>
      <c r="K245" s="101">
        <v>2059.0</v>
      </c>
      <c r="L245" s="102">
        <f t="shared" si="25"/>
        <v>0</v>
      </c>
      <c r="M245" s="16"/>
    </row>
    <row r="246">
      <c r="A246" s="99">
        <f t="shared" si="21"/>
        <v>44317</v>
      </c>
      <c r="B246" s="111">
        <f>'Revenue &amp; Demand'!C206</f>
        <v>0</v>
      </c>
      <c r="C246" s="101">
        <v>0.0</v>
      </c>
      <c r="D246" s="102">
        <f>'Workforce &amp; Expenses'!E298</f>
        <v>0</v>
      </c>
      <c r="E246" s="102">
        <f t="shared" si="22"/>
        <v>0</v>
      </c>
      <c r="F246" s="102">
        <f t="shared" si="23"/>
        <v>0</v>
      </c>
      <c r="G246" s="101">
        <v>0.0</v>
      </c>
      <c r="H246" s="102">
        <f t="shared" si="24"/>
        <v>0</v>
      </c>
      <c r="I246" s="112">
        <f>IFERROR(G246/'Revenue &amp; Demand'!E206,0)</f>
        <v>0</v>
      </c>
      <c r="J246" s="101">
        <v>0.0</v>
      </c>
      <c r="K246" s="101">
        <v>2059.0</v>
      </c>
      <c r="L246" s="102">
        <f t="shared" si="25"/>
        <v>0</v>
      </c>
      <c r="M246" s="16"/>
    </row>
    <row r="247">
      <c r="A247" s="99">
        <f t="shared" si="21"/>
        <v>44348</v>
      </c>
      <c r="B247" s="111">
        <f>'Revenue &amp; Demand'!C207</f>
        <v>0</v>
      </c>
      <c r="C247" s="101">
        <v>0.0</v>
      </c>
      <c r="D247" s="102">
        <f>'Workforce &amp; Expenses'!E299</f>
        <v>0</v>
      </c>
      <c r="E247" s="102">
        <f t="shared" si="22"/>
        <v>0</v>
      </c>
      <c r="F247" s="102">
        <f t="shared" si="23"/>
        <v>0</v>
      </c>
      <c r="G247" s="101">
        <v>0.0</v>
      </c>
      <c r="H247" s="102">
        <f t="shared" si="24"/>
        <v>0</v>
      </c>
      <c r="I247" s="112">
        <f>IFERROR(G247/'Revenue &amp; Demand'!E207,0)</f>
        <v>0</v>
      </c>
      <c r="J247" s="101">
        <v>0.0</v>
      </c>
      <c r="K247" s="101">
        <v>12868.0</v>
      </c>
      <c r="L247" s="102">
        <f t="shared" si="25"/>
        <v>0</v>
      </c>
      <c r="M247" s="16"/>
    </row>
    <row r="248">
      <c r="A248" s="99">
        <f t="shared" si="21"/>
        <v>44378</v>
      </c>
      <c r="B248" s="111">
        <f>'Revenue &amp; Demand'!C208</f>
        <v>0</v>
      </c>
      <c r="C248" s="101">
        <v>0.0</v>
      </c>
      <c r="D248" s="102">
        <f>'Workforce &amp; Expenses'!E300</f>
        <v>0</v>
      </c>
      <c r="E248" s="102">
        <f t="shared" si="22"/>
        <v>0</v>
      </c>
      <c r="F248" s="102">
        <f t="shared" si="23"/>
        <v>0</v>
      </c>
      <c r="G248" s="101">
        <v>0.0</v>
      </c>
      <c r="H248" s="102">
        <f t="shared" si="24"/>
        <v>0</v>
      </c>
      <c r="I248" s="112">
        <f>IFERROR(G248/'Revenue &amp; Demand'!E208,0)</f>
        <v>0</v>
      </c>
      <c r="J248" s="101">
        <v>0.0</v>
      </c>
      <c r="K248" s="101">
        <v>2059.0</v>
      </c>
      <c r="L248" s="102">
        <f t="shared" si="25"/>
        <v>0</v>
      </c>
      <c r="M248" s="16"/>
    </row>
    <row r="249">
      <c r="A249" s="99">
        <f t="shared" si="21"/>
        <v>44409</v>
      </c>
      <c r="B249" s="111">
        <f>'Revenue &amp; Demand'!C209</f>
        <v>0</v>
      </c>
      <c r="C249" s="101">
        <v>0.0</v>
      </c>
      <c r="D249" s="102">
        <f>'Workforce &amp; Expenses'!E301</f>
        <v>0</v>
      </c>
      <c r="E249" s="102">
        <f t="shared" si="22"/>
        <v>0</v>
      </c>
      <c r="F249" s="102">
        <f t="shared" si="23"/>
        <v>0</v>
      </c>
      <c r="G249" s="101">
        <v>0.0</v>
      </c>
      <c r="H249" s="102">
        <f t="shared" si="24"/>
        <v>0</v>
      </c>
      <c r="I249" s="112">
        <f>IFERROR(G249/'Revenue &amp; Demand'!E209,0)</f>
        <v>0</v>
      </c>
      <c r="J249" s="101">
        <v>0.0</v>
      </c>
      <c r="K249" s="101">
        <v>2059.0</v>
      </c>
      <c r="L249" s="102">
        <f t="shared" si="25"/>
        <v>0</v>
      </c>
      <c r="M249" s="16"/>
    </row>
    <row r="250">
      <c r="A250" s="99">
        <f t="shared" si="21"/>
        <v>44440</v>
      </c>
      <c r="B250" s="111">
        <f>'Revenue &amp; Demand'!C210</f>
        <v>0</v>
      </c>
      <c r="C250" s="101">
        <v>0.0</v>
      </c>
      <c r="D250" s="102">
        <f>'Workforce &amp; Expenses'!E302</f>
        <v>0</v>
      </c>
      <c r="E250" s="102">
        <f t="shared" si="22"/>
        <v>0</v>
      </c>
      <c r="F250" s="102">
        <f t="shared" si="23"/>
        <v>0</v>
      </c>
      <c r="G250" s="101">
        <v>0.0</v>
      </c>
      <c r="H250" s="102">
        <f t="shared" si="24"/>
        <v>0</v>
      </c>
      <c r="I250" s="112">
        <f>IFERROR(G250/'Revenue &amp; Demand'!E210,0)</f>
        <v>0</v>
      </c>
      <c r="J250" s="101">
        <v>0.0</v>
      </c>
      <c r="K250" s="101">
        <v>12868.0</v>
      </c>
      <c r="L250" s="102">
        <f t="shared" si="25"/>
        <v>0</v>
      </c>
      <c r="M250" s="16"/>
    </row>
    <row r="251">
      <c r="A251" s="99">
        <f t="shared" si="21"/>
        <v>44470</v>
      </c>
      <c r="B251" s="111">
        <f>'Revenue &amp; Demand'!C211</f>
        <v>0</v>
      </c>
      <c r="C251" s="101">
        <v>0.0</v>
      </c>
      <c r="D251" s="102">
        <f>'Workforce &amp; Expenses'!E303</f>
        <v>0</v>
      </c>
      <c r="E251" s="102">
        <f t="shared" si="22"/>
        <v>0</v>
      </c>
      <c r="F251" s="102">
        <f t="shared" si="23"/>
        <v>0</v>
      </c>
      <c r="G251" s="101">
        <v>0.0</v>
      </c>
      <c r="H251" s="102">
        <f t="shared" si="24"/>
        <v>0</v>
      </c>
      <c r="I251" s="112">
        <f>IFERROR(G251/'Revenue &amp; Demand'!E211,0)</f>
        <v>0</v>
      </c>
      <c r="J251" s="101">
        <v>0.0</v>
      </c>
      <c r="K251" s="101">
        <v>2059.0</v>
      </c>
      <c r="L251" s="102">
        <f t="shared" si="25"/>
        <v>0</v>
      </c>
      <c r="M251" s="16"/>
    </row>
    <row r="252">
      <c r="A252" s="99">
        <f t="shared" si="21"/>
        <v>44501</v>
      </c>
      <c r="B252" s="111">
        <f>'Revenue &amp; Demand'!C212</f>
        <v>0</v>
      </c>
      <c r="C252" s="101">
        <v>0.0</v>
      </c>
      <c r="D252" s="102">
        <f>'Workforce &amp; Expenses'!E304</f>
        <v>0</v>
      </c>
      <c r="E252" s="102">
        <f t="shared" si="22"/>
        <v>0</v>
      </c>
      <c r="F252" s="102">
        <f t="shared" si="23"/>
        <v>0</v>
      </c>
      <c r="G252" s="101">
        <v>0.0</v>
      </c>
      <c r="H252" s="102">
        <f t="shared" si="24"/>
        <v>0</v>
      </c>
      <c r="I252" s="112">
        <f>IFERROR(G252/'Revenue &amp; Demand'!E212,0)</f>
        <v>0</v>
      </c>
      <c r="J252" s="101">
        <v>0.0</v>
      </c>
      <c r="K252" s="101">
        <v>2059.0</v>
      </c>
      <c r="L252" s="102">
        <f t="shared" si="25"/>
        <v>0</v>
      </c>
      <c r="M252" s="16"/>
    </row>
    <row r="253">
      <c r="A253" s="99">
        <f t="shared" si="21"/>
        <v>44531</v>
      </c>
      <c r="B253" s="111">
        <f>'Revenue &amp; Demand'!C213</f>
        <v>0</v>
      </c>
      <c r="C253" s="101">
        <v>0.0</v>
      </c>
      <c r="D253" s="102">
        <f>'Workforce &amp; Expenses'!E305</f>
        <v>0</v>
      </c>
      <c r="E253" s="102">
        <f t="shared" si="22"/>
        <v>0</v>
      </c>
      <c r="F253" s="102">
        <f t="shared" si="23"/>
        <v>0</v>
      </c>
      <c r="G253" s="101">
        <v>0.0</v>
      </c>
      <c r="H253" s="102">
        <f t="shared" si="24"/>
        <v>0</v>
      </c>
      <c r="I253" s="112">
        <f>IFERROR(G253/'Revenue &amp; Demand'!E213,0)</f>
        <v>0</v>
      </c>
      <c r="J253" s="101">
        <v>0.0</v>
      </c>
      <c r="K253" s="101">
        <v>14924.0</v>
      </c>
      <c r="L253" s="102">
        <f t="shared" si="25"/>
        <v>0</v>
      </c>
      <c r="M253" s="16"/>
    </row>
    <row r="254">
      <c r="A254" s="99">
        <f t="shared" si="21"/>
        <v>44562</v>
      </c>
      <c r="B254" s="111">
        <f>'Revenue &amp; Demand'!C214</f>
        <v>0</v>
      </c>
      <c r="C254" s="101">
        <v>0.0</v>
      </c>
      <c r="D254" s="102">
        <f>'Workforce &amp; Expenses'!E306</f>
        <v>0</v>
      </c>
      <c r="E254" s="102">
        <f t="shared" si="22"/>
        <v>0</v>
      </c>
      <c r="F254" s="102">
        <f t="shared" si="23"/>
        <v>0</v>
      </c>
      <c r="G254" s="101">
        <v>0.0</v>
      </c>
      <c r="H254" s="102">
        <f t="shared" si="24"/>
        <v>0</v>
      </c>
      <c r="I254" s="112">
        <f>IFERROR(G254/'Revenue &amp; Demand'!E214,0)</f>
        <v>0</v>
      </c>
      <c r="J254" s="101">
        <v>0.0</v>
      </c>
      <c r="K254" s="101">
        <v>2941.0</v>
      </c>
      <c r="L254" s="102">
        <f t="shared" si="25"/>
        <v>0</v>
      </c>
      <c r="M254" s="16"/>
    </row>
    <row r="255">
      <c r="A255" s="99">
        <f t="shared" si="21"/>
        <v>44593</v>
      </c>
      <c r="B255" s="111">
        <f>'Revenue &amp; Demand'!C215</f>
        <v>0</v>
      </c>
      <c r="C255" s="101">
        <v>0.0</v>
      </c>
      <c r="D255" s="102">
        <f>'Workforce &amp; Expenses'!E307</f>
        <v>0</v>
      </c>
      <c r="E255" s="102">
        <f t="shared" si="22"/>
        <v>0</v>
      </c>
      <c r="F255" s="102">
        <f t="shared" si="23"/>
        <v>0</v>
      </c>
      <c r="G255" s="101">
        <v>0.0</v>
      </c>
      <c r="H255" s="102">
        <f t="shared" si="24"/>
        <v>0</v>
      </c>
      <c r="I255" s="112">
        <f>IFERROR(G255/'Revenue &amp; Demand'!E215,0)</f>
        <v>0</v>
      </c>
      <c r="J255" s="101">
        <v>0.0</v>
      </c>
      <c r="K255" s="101">
        <v>2941.0</v>
      </c>
      <c r="L255" s="102">
        <f t="shared" si="25"/>
        <v>0</v>
      </c>
      <c r="M255" s="16"/>
    </row>
    <row r="256">
      <c r="A256" s="99">
        <f t="shared" si="21"/>
        <v>44621</v>
      </c>
      <c r="B256" s="111">
        <f>'Revenue &amp; Demand'!C216</f>
        <v>0</v>
      </c>
      <c r="C256" s="101">
        <v>0.0</v>
      </c>
      <c r="D256" s="102">
        <f>'Workforce &amp; Expenses'!E308</f>
        <v>0</v>
      </c>
      <c r="E256" s="102">
        <f t="shared" si="22"/>
        <v>0</v>
      </c>
      <c r="F256" s="102">
        <f t="shared" si="23"/>
        <v>0</v>
      </c>
      <c r="G256" s="101">
        <v>0.0</v>
      </c>
      <c r="H256" s="102">
        <f t="shared" si="24"/>
        <v>0</v>
      </c>
      <c r="I256" s="112">
        <f>IFERROR(G256/'Revenue &amp; Demand'!E216,0)</f>
        <v>0</v>
      </c>
      <c r="J256" s="101">
        <v>0.0</v>
      </c>
      <c r="K256" s="101">
        <v>18382.0</v>
      </c>
      <c r="L256" s="102">
        <f t="shared" si="25"/>
        <v>0</v>
      </c>
      <c r="M256" s="16"/>
    </row>
    <row r="257">
      <c r="A257" s="99">
        <f t="shared" si="21"/>
        <v>44652</v>
      </c>
      <c r="B257" s="111">
        <f>'Revenue &amp; Demand'!C217</f>
        <v>0</v>
      </c>
      <c r="C257" s="101">
        <v>0.0</v>
      </c>
      <c r="D257" s="102">
        <f>'Workforce &amp; Expenses'!E309</f>
        <v>0</v>
      </c>
      <c r="E257" s="102">
        <f t="shared" si="22"/>
        <v>0</v>
      </c>
      <c r="F257" s="102">
        <f t="shared" si="23"/>
        <v>0</v>
      </c>
      <c r="G257" s="101">
        <v>0.0</v>
      </c>
      <c r="H257" s="102">
        <f t="shared" si="24"/>
        <v>0</v>
      </c>
      <c r="I257" s="112">
        <f>IFERROR(G257/'Revenue &amp; Demand'!E217,0)</f>
        <v>0</v>
      </c>
      <c r="J257" s="101">
        <v>0.0</v>
      </c>
      <c r="K257" s="101">
        <v>2941.0</v>
      </c>
      <c r="L257" s="102">
        <f t="shared" si="25"/>
        <v>0</v>
      </c>
      <c r="M257" s="16"/>
    </row>
    <row r="258">
      <c r="A258" s="99">
        <f t="shared" si="21"/>
        <v>44682</v>
      </c>
      <c r="B258" s="111">
        <f>'Revenue &amp; Demand'!C218</f>
        <v>0</v>
      </c>
      <c r="C258" s="101">
        <v>0.0</v>
      </c>
      <c r="D258" s="102">
        <f>'Workforce &amp; Expenses'!E310</f>
        <v>0</v>
      </c>
      <c r="E258" s="102">
        <f t="shared" si="22"/>
        <v>0</v>
      </c>
      <c r="F258" s="102">
        <f t="shared" si="23"/>
        <v>0</v>
      </c>
      <c r="G258" s="101">
        <v>0.0</v>
      </c>
      <c r="H258" s="102">
        <f t="shared" si="24"/>
        <v>0</v>
      </c>
      <c r="I258" s="112">
        <f>IFERROR(G258/'Revenue &amp; Demand'!E218,0)</f>
        <v>0</v>
      </c>
      <c r="J258" s="101">
        <v>0.0</v>
      </c>
      <c r="K258" s="101">
        <v>2941.0</v>
      </c>
      <c r="L258" s="102">
        <f t="shared" si="25"/>
        <v>0</v>
      </c>
      <c r="M258" s="16"/>
    </row>
    <row r="259">
      <c r="A259" s="99">
        <f t="shared" si="21"/>
        <v>44713</v>
      </c>
      <c r="B259" s="111">
        <f>'Revenue &amp; Demand'!C219</f>
        <v>0</v>
      </c>
      <c r="C259" s="101">
        <v>0.0</v>
      </c>
      <c r="D259" s="102">
        <f>'Workforce &amp; Expenses'!E311</f>
        <v>0</v>
      </c>
      <c r="E259" s="102">
        <f t="shared" si="22"/>
        <v>0</v>
      </c>
      <c r="F259" s="102">
        <f t="shared" si="23"/>
        <v>0</v>
      </c>
      <c r="G259" s="101">
        <v>0.0</v>
      </c>
      <c r="H259" s="102">
        <f t="shared" si="24"/>
        <v>0</v>
      </c>
      <c r="I259" s="112">
        <f>IFERROR(G259/'Revenue &amp; Demand'!E219,0)</f>
        <v>0</v>
      </c>
      <c r="J259" s="101">
        <v>0.0</v>
      </c>
      <c r="K259" s="101">
        <v>18382.0</v>
      </c>
      <c r="L259" s="102">
        <f t="shared" si="25"/>
        <v>0</v>
      </c>
      <c r="M259" s="16"/>
    </row>
    <row r="260">
      <c r="A260" s="99">
        <f t="shared" si="21"/>
        <v>44743</v>
      </c>
      <c r="B260" s="111">
        <f>'Revenue &amp; Demand'!C220</f>
        <v>0</v>
      </c>
      <c r="C260" s="101">
        <v>0.0</v>
      </c>
      <c r="D260" s="102">
        <f>'Workforce &amp; Expenses'!E312</f>
        <v>0</v>
      </c>
      <c r="E260" s="102">
        <f t="shared" si="22"/>
        <v>0</v>
      </c>
      <c r="F260" s="102">
        <f t="shared" si="23"/>
        <v>0</v>
      </c>
      <c r="G260" s="101">
        <v>0.0</v>
      </c>
      <c r="H260" s="102">
        <f t="shared" si="24"/>
        <v>0</v>
      </c>
      <c r="I260" s="112">
        <f>IFERROR(G260/'Revenue &amp; Demand'!E220,0)</f>
        <v>0</v>
      </c>
      <c r="J260" s="101">
        <v>0.0</v>
      </c>
      <c r="K260" s="101">
        <v>2941.0</v>
      </c>
      <c r="L260" s="102">
        <f t="shared" si="25"/>
        <v>0</v>
      </c>
      <c r="M260" s="16"/>
    </row>
    <row r="261">
      <c r="A261" s="99">
        <f t="shared" si="21"/>
        <v>44774</v>
      </c>
      <c r="B261" s="111">
        <f>'Revenue &amp; Demand'!C221</f>
        <v>0</v>
      </c>
      <c r="C261" s="101">
        <v>0.0</v>
      </c>
      <c r="D261" s="102">
        <f>'Workforce &amp; Expenses'!E313</f>
        <v>0</v>
      </c>
      <c r="E261" s="102">
        <f t="shared" si="22"/>
        <v>0</v>
      </c>
      <c r="F261" s="102">
        <f t="shared" si="23"/>
        <v>0</v>
      </c>
      <c r="G261" s="101">
        <v>0.0</v>
      </c>
      <c r="H261" s="102">
        <f t="shared" si="24"/>
        <v>0</v>
      </c>
      <c r="I261" s="112">
        <f>IFERROR(G261/'Revenue &amp; Demand'!E221,0)</f>
        <v>0</v>
      </c>
      <c r="J261" s="101">
        <v>0.0</v>
      </c>
      <c r="K261" s="101">
        <v>2941.0</v>
      </c>
      <c r="L261" s="102">
        <f t="shared" si="25"/>
        <v>0</v>
      </c>
      <c r="M261" s="16"/>
    </row>
    <row r="262">
      <c r="A262" s="99">
        <f t="shared" si="21"/>
        <v>44805</v>
      </c>
      <c r="B262" s="111">
        <f>'Revenue &amp; Demand'!C222</f>
        <v>0</v>
      </c>
      <c r="C262" s="101">
        <v>0.0</v>
      </c>
      <c r="D262" s="102">
        <f>'Workforce &amp; Expenses'!E314</f>
        <v>0</v>
      </c>
      <c r="E262" s="102">
        <f t="shared" si="22"/>
        <v>0</v>
      </c>
      <c r="F262" s="102">
        <f t="shared" si="23"/>
        <v>0</v>
      </c>
      <c r="G262" s="101">
        <v>0.0</v>
      </c>
      <c r="H262" s="102">
        <f t="shared" si="24"/>
        <v>0</v>
      </c>
      <c r="I262" s="112">
        <f>IFERROR(G262/'Revenue &amp; Demand'!E222,0)</f>
        <v>0</v>
      </c>
      <c r="J262" s="101">
        <v>0.0</v>
      </c>
      <c r="K262" s="101">
        <v>18382.0</v>
      </c>
      <c r="L262" s="102">
        <f t="shared" si="25"/>
        <v>0</v>
      </c>
      <c r="M262" s="16"/>
    </row>
    <row r="263">
      <c r="A263" s="99">
        <f t="shared" si="21"/>
        <v>44835</v>
      </c>
      <c r="B263" s="111">
        <f>'Revenue &amp; Demand'!C223</f>
        <v>0</v>
      </c>
      <c r="C263" s="101">
        <v>0.0</v>
      </c>
      <c r="D263" s="102">
        <f>'Workforce &amp; Expenses'!E315</f>
        <v>0</v>
      </c>
      <c r="E263" s="102">
        <f t="shared" si="22"/>
        <v>0</v>
      </c>
      <c r="F263" s="102">
        <f t="shared" si="23"/>
        <v>0</v>
      </c>
      <c r="G263" s="101">
        <v>0.0</v>
      </c>
      <c r="H263" s="102">
        <f t="shared" si="24"/>
        <v>0</v>
      </c>
      <c r="I263" s="112">
        <f>IFERROR(G263/'Revenue &amp; Demand'!E223,0)</f>
        <v>0</v>
      </c>
      <c r="J263" s="101">
        <v>0.0</v>
      </c>
      <c r="K263" s="101">
        <v>2941.0</v>
      </c>
      <c r="L263" s="102">
        <f t="shared" si="25"/>
        <v>0</v>
      </c>
      <c r="M263" s="16"/>
    </row>
    <row r="264">
      <c r="A264" s="99">
        <f t="shared" si="21"/>
        <v>44866</v>
      </c>
      <c r="B264" s="111">
        <f>'Revenue &amp; Demand'!C224</f>
        <v>0</v>
      </c>
      <c r="C264" s="101">
        <v>0.0</v>
      </c>
      <c r="D264" s="102">
        <f>'Workforce &amp; Expenses'!E316</f>
        <v>0</v>
      </c>
      <c r="E264" s="102">
        <f t="shared" si="22"/>
        <v>0</v>
      </c>
      <c r="F264" s="102">
        <f t="shared" si="23"/>
        <v>0</v>
      </c>
      <c r="G264" s="101">
        <v>0.0</v>
      </c>
      <c r="H264" s="102">
        <f t="shared" si="24"/>
        <v>0</v>
      </c>
      <c r="I264" s="112">
        <f>IFERROR(G264/'Revenue &amp; Demand'!E224,0)</f>
        <v>0</v>
      </c>
      <c r="J264" s="101">
        <v>0.0</v>
      </c>
      <c r="K264" s="101">
        <v>2941.0</v>
      </c>
      <c r="L264" s="102">
        <f t="shared" si="25"/>
        <v>0</v>
      </c>
      <c r="M264" s="16"/>
    </row>
    <row r="265">
      <c r="A265" s="99">
        <f t="shared" si="21"/>
        <v>44896</v>
      </c>
      <c r="B265" s="111">
        <f>'Revenue &amp; Demand'!C225</f>
        <v>0</v>
      </c>
      <c r="C265" s="101">
        <v>0.0</v>
      </c>
      <c r="D265" s="102">
        <f>'Workforce &amp; Expenses'!E317</f>
        <v>0</v>
      </c>
      <c r="E265" s="102">
        <f t="shared" si="22"/>
        <v>0</v>
      </c>
      <c r="F265" s="102">
        <f t="shared" si="23"/>
        <v>0</v>
      </c>
      <c r="G265" s="101">
        <v>0.0</v>
      </c>
      <c r="H265" s="102">
        <f t="shared" si="24"/>
        <v>0</v>
      </c>
      <c r="I265" s="112">
        <f>IFERROR(G265/'Revenue &amp; Demand'!E225,0)</f>
        <v>0</v>
      </c>
      <c r="J265" s="101">
        <v>0.0</v>
      </c>
      <c r="K265" s="101">
        <v>21326.0</v>
      </c>
      <c r="L265" s="102">
        <f t="shared" si="25"/>
        <v>0</v>
      </c>
      <c r="M265" s="16"/>
    </row>
    <row r="266">
      <c r="A266" s="99">
        <f t="shared" si="21"/>
        <v>44927</v>
      </c>
      <c r="B266" s="111">
        <f>'Revenue &amp; Demand'!C226</f>
        <v>0</v>
      </c>
      <c r="C266" s="101">
        <v>0.0</v>
      </c>
      <c r="D266" s="102">
        <f>'Workforce &amp; Expenses'!E318</f>
        <v>0</v>
      </c>
      <c r="E266" s="102">
        <f t="shared" si="22"/>
        <v>0</v>
      </c>
      <c r="F266" s="102">
        <f t="shared" si="23"/>
        <v>0</v>
      </c>
      <c r="G266" s="101">
        <v>0.0</v>
      </c>
      <c r="H266" s="102">
        <f t="shared" si="24"/>
        <v>0</v>
      </c>
      <c r="I266" s="112">
        <f>IFERROR(G266/'Revenue &amp; Demand'!E226,0)</f>
        <v>0</v>
      </c>
      <c r="J266" s="101">
        <v>0.0</v>
      </c>
      <c r="K266" s="101">
        <v>14118.0</v>
      </c>
      <c r="L266" s="102">
        <f t="shared" si="25"/>
        <v>0</v>
      </c>
      <c r="M266" s="16"/>
    </row>
    <row r="267">
      <c r="A267" s="99">
        <f t="shared" si="21"/>
        <v>44958</v>
      </c>
      <c r="B267" s="111">
        <f>'Revenue &amp; Demand'!C227</f>
        <v>0</v>
      </c>
      <c r="C267" s="101">
        <v>0.0</v>
      </c>
      <c r="D267" s="102">
        <f>'Workforce &amp; Expenses'!E319</f>
        <v>0</v>
      </c>
      <c r="E267" s="102">
        <f t="shared" si="22"/>
        <v>0</v>
      </c>
      <c r="F267" s="102">
        <f t="shared" si="23"/>
        <v>0</v>
      </c>
      <c r="G267" s="101">
        <v>0.0</v>
      </c>
      <c r="H267" s="102">
        <f t="shared" si="24"/>
        <v>0</v>
      </c>
      <c r="I267" s="112">
        <f>IFERROR(G267/'Revenue &amp; Demand'!E227,0)</f>
        <v>0</v>
      </c>
      <c r="J267" s="101">
        <v>0.0</v>
      </c>
      <c r="K267" s="101">
        <v>14118.0</v>
      </c>
      <c r="L267" s="102">
        <f t="shared" si="25"/>
        <v>0</v>
      </c>
      <c r="M267" s="16"/>
    </row>
    <row r="268">
      <c r="A268" s="99">
        <f t="shared" si="21"/>
        <v>44986</v>
      </c>
      <c r="B268" s="111">
        <f>'Revenue &amp; Demand'!C228</f>
        <v>0</v>
      </c>
      <c r="C268" s="101">
        <v>0.0</v>
      </c>
      <c r="D268" s="102">
        <f>'Workforce &amp; Expenses'!E320</f>
        <v>0</v>
      </c>
      <c r="E268" s="102">
        <f t="shared" si="22"/>
        <v>0</v>
      </c>
      <c r="F268" s="102">
        <f t="shared" si="23"/>
        <v>0</v>
      </c>
      <c r="G268" s="101">
        <v>0.0</v>
      </c>
      <c r="H268" s="102">
        <f t="shared" si="24"/>
        <v>0</v>
      </c>
      <c r="I268" s="112">
        <f>IFERROR(G268/'Revenue &amp; Demand'!E228,0)</f>
        <v>0</v>
      </c>
      <c r="J268" s="101">
        <v>0.0</v>
      </c>
      <c r="K268" s="101">
        <v>88235.0</v>
      </c>
      <c r="L268" s="102">
        <f t="shared" si="25"/>
        <v>0</v>
      </c>
      <c r="M268" s="16"/>
    </row>
    <row r="269">
      <c r="A269" s="99">
        <f t="shared" si="21"/>
        <v>45017</v>
      </c>
      <c r="B269" s="111">
        <f>'Revenue &amp; Demand'!C229</f>
        <v>0</v>
      </c>
      <c r="C269" s="101">
        <v>0.0</v>
      </c>
      <c r="D269" s="102">
        <f>'Workforce &amp; Expenses'!E321</f>
        <v>0</v>
      </c>
      <c r="E269" s="102">
        <f t="shared" si="22"/>
        <v>0</v>
      </c>
      <c r="F269" s="102">
        <f t="shared" si="23"/>
        <v>0</v>
      </c>
      <c r="G269" s="101">
        <v>0.0</v>
      </c>
      <c r="H269" s="102">
        <f t="shared" si="24"/>
        <v>0</v>
      </c>
      <c r="I269" s="112">
        <f>IFERROR(G269/'Revenue &amp; Demand'!E229,0)</f>
        <v>0</v>
      </c>
      <c r="J269" s="101">
        <v>0.0</v>
      </c>
      <c r="K269" s="101">
        <v>14118.0</v>
      </c>
      <c r="L269" s="102">
        <f t="shared" si="25"/>
        <v>0</v>
      </c>
      <c r="M269" s="16"/>
    </row>
    <row r="270">
      <c r="A270" s="99">
        <f t="shared" si="21"/>
        <v>45047</v>
      </c>
      <c r="B270" s="111">
        <f>'Revenue &amp; Demand'!C230</f>
        <v>0</v>
      </c>
      <c r="C270" s="101">
        <v>0.0</v>
      </c>
      <c r="D270" s="102">
        <f>'Workforce &amp; Expenses'!E322</f>
        <v>0</v>
      </c>
      <c r="E270" s="102">
        <f t="shared" si="22"/>
        <v>0</v>
      </c>
      <c r="F270" s="102">
        <f t="shared" si="23"/>
        <v>0</v>
      </c>
      <c r="G270" s="101">
        <v>0.0</v>
      </c>
      <c r="H270" s="102">
        <f t="shared" si="24"/>
        <v>0</v>
      </c>
      <c r="I270" s="112">
        <f>IFERROR(G270/'Revenue &amp; Demand'!E230,0)</f>
        <v>0</v>
      </c>
      <c r="J270" s="101">
        <v>0.0</v>
      </c>
      <c r="K270" s="101">
        <v>14118.0</v>
      </c>
      <c r="L270" s="102">
        <f t="shared" si="25"/>
        <v>0</v>
      </c>
      <c r="M270" s="16"/>
    </row>
    <row r="271">
      <c r="A271" s="99">
        <f t="shared" si="21"/>
        <v>45078</v>
      </c>
      <c r="B271" s="111">
        <f>'Revenue &amp; Demand'!C231</f>
        <v>0</v>
      </c>
      <c r="C271" s="101">
        <v>0.0</v>
      </c>
      <c r="D271" s="102">
        <f>'Workforce &amp; Expenses'!E323</f>
        <v>0</v>
      </c>
      <c r="E271" s="102">
        <f t="shared" si="22"/>
        <v>0</v>
      </c>
      <c r="F271" s="102">
        <f t="shared" si="23"/>
        <v>0</v>
      </c>
      <c r="G271" s="101">
        <v>0.0</v>
      </c>
      <c r="H271" s="102">
        <f t="shared" si="24"/>
        <v>0</v>
      </c>
      <c r="I271" s="112">
        <f>IFERROR(G271/'Revenue &amp; Demand'!E231,0)</f>
        <v>0</v>
      </c>
      <c r="J271" s="101">
        <v>0.0</v>
      </c>
      <c r="K271" s="101">
        <v>88235.0</v>
      </c>
      <c r="L271" s="102">
        <f t="shared" si="25"/>
        <v>0</v>
      </c>
      <c r="M271" s="16"/>
    </row>
    <row r="272">
      <c r="A272" s="99">
        <f t="shared" si="21"/>
        <v>45108</v>
      </c>
      <c r="B272" s="111">
        <f>'Revenue &amp; Demand'!C232</f>
        <v>0</v>
      </c>
      <c r="C272" s="101">
        <v>0.0</v>
      </c>
      <c r="D272" s="102">
        <f>'Workforce &amp; Expenses'!E324</f>
        <v>0</v>
      </c>
      <c r="E272" s="102">
        <f t="shared" si="22"/>
        <v>0</v>
      </c>
      <c r="F272" s="102">
        <f t="shared" si="23"/>
        <v>0</v>
      </c>
      <c r="G272" s="101">
        <v>0.0</v>
      </c>
      <c r="H272" s="102">
        <f t="shared" si="24"/>
        <v>0</v>
      </c>
      <c r="I272" s="112">
        <f>IFERROR(G272/'Revenue &amp; Demand'!E232,0)</f>
        <v>0</v>
      </c>
      <c r="J272" s="101">
        <v>0.0</v>
      </c>
      <c r="K272" s="101">
        <v>14118.0</v>
      </c>
      <c r="L272" s="102">
        <f t="shared" si="25"/>
        <v>0</v>
      </c>
      <c r="M272" s="16"/>
    </row>
    <row r="273">
      <c r="A273" s="99">
        <f t="shared" si="21"/>
        <v>45139</v>
      </c>
      <c r="B273" s="111">
        <f>'Revenue &amp; Demand'!C233</f>
        <v>0</v>
      </c>
      <c r="C273" s="101">
        <v>0.0</v>
      </c>
      <c r="D273" s="102">
        <f>'Workforce &amp; Expenses'!E325</f>
        <v>0</v>
      </c>
      <c r="E273" s="102">
        <f t="shared" si="22"/>
        <v>0</v>
      </c>
      <c r="F273" s="102">
        <f t="shared" si="23"/>
        <v>0</v>
      </c>
      <c r="G273" s="101">
        <v>0.0</v>
      </c>
      <c r="H273" s="102">
        <f t="shared" si="24"/>
        <v>0</v>
      </c>
      <c r="I273" s="112">
        <f>IFERROR(G273/'Revenue &amp; Demand'!E233,0)</f>
        <v>0</v>
      </c>
      <c r="J273" s="101">
        <v>0.0</v>
      </c>
      <c r="K273" s="101">
        <v>14118.0</v>
      </c>
      <c r="L273" s="102">
        <f t="shared" si="25"/>
        <v>0</v>
      </c>
      <c r="M273" s="16"/>
    </row>
    <row r="274">
      <c r="A274" s="99">
        <f t="shared" si="21"/>
        <v>45170</v>
      </c>
      <c r="B274" s="111">
        <f>'Revenue &amp; Demand'!C234</f>
        <v>0</v>
      </c>
      <c r="C274" s="101">
        <v>0.0</v>
      </c>
      <c r="D274" s="102">
        <f>'Workforce &amp; Expenses'!E326</f>
        <v>0</v>
      </c>
      <c r="E274" s="102">
        <f t="shared" si="22"/>
        <v>0</v>
      </c>
      <c r="F274" s="102">
        <f t="shared" si="23"/>
        <v>0</v>
      </c>
      <c r="G274" s="101">
        <v>0.0</v>
      </c>
      <c r="H274" s="102">
        <f t="shared" si="24"/>
        <v>0</v>
      </c>
      <c r="I274" s="112">
        <f>IFERROR(G274/'Revenue &amp; Demand'!E234,0)</f>
        <v>0</v>
      </c>
      <c r="J274" s="101">
        <v>0.0</v>
      </c>
      <c r="K274" s="101">
        <v>88235.0</v>
      </c>
      <c r="L274" s="102">
        <f t="shared" si="25"/>
        <v>0</v>
      </c>
      <c r="M274" s="16"/>
    </row>
    <row r="275">
      <c r="A275" s="99">
        <f t="shared" si="21"/>
        <v>45200</v>
      </c>
      <c r="B275" s="111">
        <f>'Revenue &amp; Demand'!C235</f>
        <v>0</v>
      </c>
      <c r="C275" s="101">
        <v>0.0</v>
      </c>
      <c r="D275" s="102">
        <f>'Workforce &amp; Expenses'!E327</f>
        <v>0</v>
      </c>
      <c r="E275" s="102">
        <f t="shared" si="22"/>
        <v>0</v>
      </c>
      <c r="F275" s="102">
        <f t="shared" si="23"/>
        <v>0</v>
      </c>
      <c r="G275" s="101">
        <v>0.0</v>
      </c>
      <c r="H275" s="102">
        <f t="shared" si="24"/>
        <v>0</v>
      </c>
      <c r="I275" s="112">
        <f>IFERROR(G275/'Revenue &amp; Demand'!E235,0)</f>
        <v>0</v>
      </c>
      <c r="J275" s="101">
        <v>0.0</v>
      </c>
      <c r="K275" s="101">
        <v>14118.0</v>
      </c>
      <c r="L275" s="102">
        <f t="shared" si="25"/>
        <v>0</v>
      </c>
      <c r="M275" s="16"/>
    </row>
    <row r="276">
      <c r="A276" s="99">
        <f t="shared" si="21"/>
        <v>45231</v>
      </c>
      <c r="B276" s="111">
        <f>'Revenue &amp; Demand'!C236</f>
        <v>0</v>
      </c>
      <c r="C276" s="101">
        <v>0.0</v>
      </c>
      <c r="D276" s="102">
        <f>'Workforce &amp; Expenses'!E328</f>
        <v>0</v>
      </c>
      <c r="E276" s="102">
        <f t="shared" si="22"/>
        <v>0</v>
      </c>
      <c r="F276" s="102">
        <f t="shared" si="23"/>
        <v>0</v>
      </c>
      <c r="G276" s="101">
        <v>0.0</v>
      </c>
      <c r="H276" s="102">
        <f t="shared" si="24"/>
        <v>0</v>
      </c>
      <c r="I276" s="112">
        <f>IFERROR(G276/'Revenue &amp; Demand'!E236,0)</f>
        <v>0</v>
      </c>
      <c r="J276" s="101">
        <v>0.0</v>
      </c>
      <c r="K276" s="101">
        <v>14118.0</v>
      </c>
      <c r="L276" s="102">
        <f t="shared" si="25"/>
        <v>0</v>
      </c>
      <c r="M276" s="16"/>
    </row>
    <row r="277">
      <c r="A277" s="99">
        <f t="shared" si="21"/>
        <v>45261</v>
      </c>
      <c r="B277" s="111">
        <f>'Revenue &amp; Demand'!C237</f>
        <v>0</v>
      </c>
      <c r="C277" s="101">
        <v>0.0</v>
      </c>
      <c r="D277" s="102">
        <f>'Workforce &amp; Expenses'!E329</f>
        <v>0</v>
      </c>
      <c r="E277" s="102">
        <f t="shared" si="22"/>
        <v>0</v>
      </c>
      <c r="F277" s="102">
        <f t="shared" si="23"/>
        <v>0</v>
      </c>
      <c r="G277" s="101">
        <v>0.0</v>
      </c>
      <c r="H277" s="102">
        <f t="shared" si="24"/>
        <v>0</v>
      </c>
      <c r="I277" s="112">
        <f>IFERROR(G277/'Revenue &amp; Demand'!E237,0)</f>
        <v>0</v>
      </c>
      <c r="J277" s="101">
        <v>0.0</v>
      </c>
      <c r="K277" s="101">
        <v>102351.0</v>
      </c>
      <c r="L277" s="102">
        <f t="shared" si="25"/>
        <v>0</v>
      </c>
      <c r="M277" s="16"/>
    </row>
    <row r="278">
      <c r="A278" s="99">
        <f t="shared" si="21"/>
        <v>45292</v>
      </c>
      <c r="B278" s="111">
        <f>'Revenue &amp; Demand'!C238</f>
        <v>510</v>
      </c>
      <c r="C278" s="101">
        <v>187560.0</v>
      </c>
      <c r="D278" s="102">
        <f>'Workforce &amp; Expenses'!E330</f>
        <v>140670</v>
      </c>
      <c r="E278" s="102">
        <f t="shared" si="22"/>
        <v>46890</v>
      </c>
      <c r="F278" s="102">
        <f t="shared" si="23"/>
        <v>187560</v>
      </c>
      <c r="G278" s="101">
        <v>65238.0</v>
      </c>
      <c r="H278" s="102">
        <f t="shared" si="24"/>
        <v>252798</v>
      </c>
      <c r="I278" s="112">
        <f>IFERROR(G278/'Revenue &amp; Demand'!E238,0)</f>
        <v>0.0799999019</v>
      </c>
      <c r="J278" s="101">
        <v>0.0</v>
      </c>
      <c r="K278" s="101">
        <v>16471.0</v>
      </c>
      <c r="L278" s="102">
        <f t="shared" si="25"/>
        <v>0</v>
      </c>
      <c r="M278" s="16"/>
    </row>
    <row r="279">
      <c r="A279" s="99">
        <f t="shared" si="21"/>
        <v>45323</v>
      </c>
      <c r="B279" s="111">
        <f>'Revenue &amp; Demand'!C239</f>
        <v>597</v>
      </c>
      <c r="C279" s="101">
        <v>219802.0</v>
      </c>
      <c r="D279" s="102">
        <f>'Workforce &amp; Expenses'!E331</f>
        <v>164852</v>
      </c>
      <c r="E279" s="102">
        <f t="shared" si="22"/>
        <v>54950</v>
      </c>
      <c r="F279" s="102">
        <f t="shared" si="23"/>
        <v>219802</v>
      </c>
      <c r="G279" s="101">
        <v>76453.0</v>
      </c>
      <c r="H279" s="102">
        <f t="shared" si="24"/>
        <v>296255</v>
      </c>
      <c r="I279" s="112">
        <f>IFERROR(G279/'Revenue &amp; Demand'!E239,0)</f>
        <v>0.08000020928</v>
      </c>
      <c r="J279" s="101">
        <v>0.0</v>
      </c>
      <c r="K279" s="101">
        <v>16471.0</v>
      </c>
      <c r="L279" s="102">
        <f t="shared" si="25"/>
        <v>0</v>
      </c>
      <c r="M279" s="16"/>
    </row>
    <row r="280">
      <c r="A280" s="99">
        <f t="shared" si="21"/>
        <v>45352</v>
      </c>
      <c r="B280" s="111">
        <f>'Revenue &amp; Demand'!C240</f>
        <v>691</v>
      </c>
      <c r="C280" s="101">
        <v>254223.0</v>
      </c>
      <c r="D280" s="102">
        <f>'Workforce &amp; Expenses'!E332</f>
        <v>190667</v>
      </c>
      <c r="E280" s="102">
        <f t="shared" si="22"/>
        <v>63556</v>
      </c>
      <c r="F280" s="102">
        <f t="shared" si="23"/>
        <v>254223</v>
      </c>
      <c r="G280" s="101">
        <v>88426.0</v>
      </c>
      <c r="H280" s="102">
        <f t="shared" si="24"/>
        <v>342649</v>
      </c>
      <c r="I280" s="112">
        <f>IFERROR(G280/'Revenue &amp; Demand'!E240,0)</f>
        <v>0.08000036189</v>
      </c>
      <c r="J280" s="101">
        <v>0.0</v>
      </c>
      <c r="K280" s="101">
        <v>102941.0</v>
      </c>
      <c r="L280" s="102">
        <f t="shared" si="25"/>
        <v>0</v>
      </c>
      <c r="M280" s="16"/>
    </row>
    <row r="281">
      <c r="A281" s="99">
        <f t="shared" si="21"/>
        <v>45383</v>
      </c>
      <c r="B281" s="111">
        <f>'Revenue &amp; Demand'!C241</f>
        <v>790</v>
      </c>
      <c r="C281" s="101">
        <v>290833.0</v>
      </c>
      <c r="D281" s="102">
        <f>'Workforce &amp; Expenses'!E333</f>
        <v>218125</v>
      </c>
      <c r="E281" s="102">
        <f t="shared" si="22"/>
        <v>72708</v>
      </c>
      <c r="F281" s="102">
        <f t="shared" si="23"/>
        <v>290833</v>
      </c>
      <c r="G281" s="101">
        <v>101160.0</v>
      </c>
      <c r="H281" s="102">
        <f t="shared" si="24"/>
        <v>391993</v>
      </c>
      <c r="I281" s="112">
        <f>IFERROR(G281/'Revenue &amp; Demand'!E241,0)</f>
        <v>0.08000031633</v>
      </c>
      <c r="J281" s="101">
        <v>0.0</v>
      </c>
      <c r="K281" s="101">
        <v>16471.0</v>
      </c>
      <c r="L281" s="102">
        <f t="shared" si="25"/>
        <v>0</v>
      </c>
      <c r="M281" s="16"/>
    </row>
    <row r="282">
      <c r="A282" s="99">
        <f t="shared" si="21"/>
        <v>45413</v>
      </c>
      <c r="B282" s="111">
        <f>'Revenue &amp; Demand'!C242</f>
        <v>896</v>
      </c>
      <c r="C282" s="101">
        <v>329628.0</v>
      </c>
      <c r="D282" s="102">
        <f>'Workforce &amp; Expenses'!E334</f>
        <v>247221</v>
      </c>
      <c r="E282" s="102">
        <f t="shared" si="22"/>
        <v>82407</v>
      </c>
      <c r="F282" s="102">
        <f t="shared" si="23"/>
        <v>329628</v>
      </c>
      <c r="G282" s="101">
        <v>114653.0</v>
      </c>
      <c r="H282" s="102">
        <f t="shared" si="24"/>
        <v>444281</v>
      </c>
      <c r="I282" s="112">
        <f>IFERROR(G282/'Revenue &amp; Demand'!E242,0)</f>
        <v>0.07999991627</v>
      </c>
      <c r="J282" s="101">
        <v>0.0</v>
      </c>
      <c r="K282" s="101">
        <v>16471.0</v>
      </c>
      <c r="L282" s="102">
        <f t="shared" si="25"/>
        <v>0</v>
      </c>
      <c r="M282" s="16"/>
    </row>
    <row r="283">
      <c r="A283" s="99">
        <f t="shared" si="21"/>
        <v>45444</v>
      </c>
      <c r="B283" s="111">
        <f>'Revenue &amp; Demand'!C243</f>
        <v>1007</v>
      </c>
      <c r="C283" s="101">
        <v>370601.0</v>
      </c>
      <c r="D283" s="102">
        <f>'Workforce &amp; Expenses'!E335</f>
        <v>269557</v>
      </c>
      <c r="E283" s="102">
        <f t="shared" si="22"/>
        <v>101044</v>
      </c>
      <c r="F283" s="102">
        <f t="shared" si="23"/>
        <v>370601</v>
      </c>
      <c r="G283" s="101">
        <v>128905.0</v>
      </c>
      <c r="H283" s="102">
        <f t="shared" si="24"/>
        <v>499506</v>
      </c>
      <c r="I283" s="112">
        <f>IFERROR(G283/'Revenue &amp; Demand'!E243,0)</f>
        <v>0.08000012412</v>
      </c>
      <c r="J283" s="101">
        <v>0.0</v>
      </c>
      <c r="K283" s="101">
        <v>102941.0</v>
      </c>
      <c r="L283" s="102">
        <f t="shared" si="25"/>
        <v>0</v>
      </c>
      <c r="M283" s="16"/>
    </row>
    <row r="284">
      <c r="A284" s="99">
        <f t="shared" si="21"/>
        <v>45474</v>
      </c>
      <c r="B284" s="111">
        <f>'Revenue &amp; Demand'!C244</f>
        <v>1124</v>
      </c>
      <c r="C284" s="101">
        <v>413759.0</v>
      </c>
      <c r="D284" s="102">
        <f>'Workforce &amp; Expenses'!E336</f>
        <v>283348</v>
      </c>
      <c r="E284" s="102">
        <f t="shared" si="22"/>
        <v>130411</v>
      </c>
      <c r="F284" s="102">
        <f t="shared" si="23"/>
        <v>413759</v>
      </c>
      <c r="G284" s="101">
        <v>143916.0</v>
      </c>
      <c r="H284" s="102">
        <f t="shared" si="24"/>
        <v>557675</v>
      </c>
      <c r="I284" s="112">
        <f>IFERROR(G284/'Revenue &amp; Demand'!E244,0)</f>
        <v>0.07999995553</v>
      </c>
      <c r="J284" s="101">
        <v>0.0</v>
      </c>
      <c r="K284" s="101">
        <v>16471.0</v>
      </c>
      <c r="L284" s="102">
        <f t="shared" si="25"/>
        <v>0</v>
      </c>
      <c r="M284" s="16"/>
    </row>
    <row r="285">
      <c r="A285" s="99">
        <f t="shared" si="21"/>
        <v>45505</v>
      </c>
      <c r="B285" s="111">
        <f>'Revenue &amp; Demand'!C245</f>
        <v>1248</v>
      </c>
      <c r="C285" s="101">
        <v>459105.0</v>
      </c>
      <c r="D285" s="102">
        <f>'Workforce &amp; Expenses'!E337</f>
        <v>297139</v>
      </c>
      <c r="E285" s="102">
        <f t="shared" si="22"/>
        <v>161966</v>
      </c>
      <c r="F285" s="102">
        <f t="shared" si="23"/>
        <v>459105</v>
      </c>
      <c r="G285" s="101">
        <v>159688.0</v>
      </c>
      <c r="H285" s="102">
        <f t="shared" si="24"/>
        <v>618793</v>
      </c>
      <c r="I285" s="112">
        <f>IFERROR(G285/'Revenue &amp; Demand'!E245,0)</f>
        <v>0.07999975953</v>
      </c>
      <c r="J285" s="101">
        <v>0.0</v>
      </c>
      <c r="K285" s="101">
        <v>16471.0</v>
      </c>
      <c r="L285" s="102">
        <f t="shared" si="25"/>
        <v>0</v>
      </c>
      <c r="M285" s="16"/>
    </row>
    <row r="286">
      <c r="A286" s="99">
        <f t="shared" si="21"/>
        <v>45536</v>
      </c>
      <c r="B286" s="111">
        <f>'Revenue &amp; Demand'!C246</f>
        <v>1377</v>
      </c>
      <c r="C286" s="101">
        <v>506635.0</v>
      </c>
      <c r="D286" s="102">
        <f>'Workforce &amp; Expenses'!E338</f>
        <v>310931</v>
      </c>
      <c r="E286" s="102">
        <f t="shared" si="22"/>
        <v>195704</v>
      </c>
      <c r="F286" s="102">
        <f t="shared" si="23"/>
        <v>506635</v>
      </c>
      <c r="G286" s="101">
        <v>176220.0</v>
      </c>
      <c r="H286" s="102">
        <f t="shared" si="24"/>
        <v>682855</v>
      </c>
      <c r="I286" s="112">
        <f>IFERROR(G286/'Revenue &amp; Demand'!E246,0)</f>
        <v>0.07999978209</v>
      </c>
      <c r="J286" s="101">
        <v>0.0</v>
      </c>
      <c r="K286" s="101">
        <v>102941.0</v>
      </c>
      <c r="L286" s="102">
        <f t="shared" si="25"/>
        <v>0</v>
      </c>
      <c r="M286" s="16"/>
    </row>
    <row r="287">
      <c r="A287" s="99">
        <f t="shared" si="21"/>
        <v>45566</v>
      </c>
      <c r="B287" s="111">
        <f>'Revenue &amp; Demand'!C247</f>
        <v>1678</v>
      </c>
      <c r="C287" s="101">
        <v>617541.0</v>
      </c>
      <c r="D287" s="102">
        <f>'Workforce &amp; Expenses'!E339</f>
        <v>323468</v>
      </c>
      <c r="E287" s="102">
        <f t="shared" si="22"/>
        <v>294073</v>
      </c>
      <c r="F287" s="102">
        <f t="shared" si="23"/>
        <v>617541</v>
      </c>
      <c r="G287" s="101">
        <v>214797.0</v>
      </c>
      <c r="H287" s="102">
        <f t="shared" si="24"/>
        <v>832338</v>
      </c>
      <c r="I287" s="112">
        <f>IFERROR(G287/'Revenue &amp; Demand'!E247,0)</f>
        <v>0.08000007449</v>
      </c>
      <c r="J287" s="101">
        <v>0.0</v>
      </c>
      <c r="K287" s="101">
        <v>16471.0</v>
      </c>
      <c r="L287" s="102">
        <f t="shared" si="25"/>
        <v>0</v>
      </c>
      <c r="M287" s="16"/>
    </row>
    <row r="288">
      <c r="A288" s="99">
        <f t="shared" si="21"/>
        <v>45597</v>
      </c>
      <c r="B288" s="111">
        <f>'Revenue &amp; Demand'!C248</f>
        <v>1835</v>
      </c>
      <c r="C288" s="101">
        <v>675143.0</v>
      </c>
      <c r="D288" s="102">
        <f>'Workforce &amp; Expenses'!E340</f>
        <v>337259</v>
      </c>
      <c r="E288" s="102">
        <f t="shared" si="22"/>
        <v>337884</v>
      </c>
      <c r="F288" s="102">
        <f t="shared" si="23"/>
        <v>675143</v>
      </c>
      <c r="G288" s="101">
        <v>234832.0</v>
      </c>
      <c r="H288" s="102">
        <f t="shared" si="24"/>
        <v>909975</v>
      </c>
      <c r="I288" s="112">
        <f>IFERROR(G288/'Revenue &amp; Demand'!E248,0)</f>
        <v>0.07999989099</v>
      </c>
      <c r="J288" s="101">
        <v>0.0</v>
      </c>
      <c r="K288" s="101">
        <v>16471.0</v>
      </c>
      <c r="L288" s="102">
        <f t="shared" si="25"/>
        <v>0</v>
      </c>
      <c r="M288" s="16"/>
    </row>
    <row r="289">
      <c r="A289" s="99">
        <f t="shared" si="21"/>
        <v>45627</v>
      </c>
      <c r="B289" s="111">
        <f>'Revenue &amp; Demand'!C249</f>
        <v>1998</v>
      </c>
      <c r="C289" s="101">
        <v>735170.0</v>
      </c>
      <c r="D289" s="102">
        <f>'Workforce &amp; Expenses'!E341</f>
        <v>351051</v>
      </c>
      <c r="E289" s="102">
        <f t="shared" si="22"/>
        <v>384119</v>
      </c>
      <c r="F289" s="102">
        <f t="shared" si="23"/>
        <v>735170</v>
      </c>
      <c r="G289" s="101">
        <v>255712.0</v>
      </c>
      <c r="H289" s="102">
        <f t="shared" si="24"/>
        <v>990882</v>
      </c>
      <c r="I289" s="112">
        <f>IFERROR(G289/'Revenue &amp; Demand'!E249,0)</f>
        <v>0.08000005006</v>
      </c>
      <c r="J289" s="101">
        <v>0.0</v>
      </c>
      <c r="K289" s="101">
        <v>119409.0</v>
      </c>
      <c r="L289" s="102">
        <f t="shared" si="25"/>
        <v>0</v>
      </c>
      <c r="M289" s="16"/>
    </row>
    <row r="290">
      <c r="A290" s="99">
        <f t="shared" si="21"/>
        <v>45658</v>
      </c>
      <c r="B290" s="111">
        <f>'Revenue &amp; Demand'!C250</f>
        <v>2740</v>
      </c>
      <c r="C290" s="101">
        <v>904242.0</v>
      </c>
      <c r="D290" s="102">
        <f>'Workforce &amp; Expenses'!E342</f>
        <v>374495</v>
      </c>
      <c r="E290" s="102">
        <f t="shared" si="22"/>
        <v>529747</v>
      </c>
      <c r="F290" s="102">
        <f t="shared" si="23"/>
        <v>904242</v>
      </c>
      <c r="G290" s="101">
        <v>328815.0</v>
      </c>
      <c r="H290" s="102">
        <f t="shared" si="24"/>
        <v>1233057</v>
      </c>
      <c r="I290" s="112">
        <f>IFERROR(G290/'Revenue &amp; Demand'!E250,0)</f>
        <v>0.0799999708</v>
      </c>
      <c r="J290" s="101">
        <v>0.0</v>
      </c>
      <c r="K290" s="101">
        <v>16471.0</v>
      </c>
      <c r="L290" s="102">
        <f t="shared" si="25"/>
        <v>0</v>
      </c>
      <c r="M290" s="16"/>
    </row>
    <row r="291">
      <c r="A291" s="99">
        <f t="shared" si="21"/>
        <v>45689</v>
      </c>
      <c r="B291" s="111">
        <f>'Revenue &amp; Demand'!C251</f>
        <v>2878</v>
      </c>
      <c r="C291" s="101">
        <v>949706.0</v>
      </c>
      <c r="D291" s="102">
        <f>'Workforce &amp; Expenses'!E343</f>
        <v>387409</v>
      </c>
      <c r="E291" s="102">
        <f t="shared" si="22"/>
        <v>562297</v>
      </c>
      <c r="F291" s="102">
        <f t="shared" si="23"/>
        <v>949706</v>
      </c>
      <c r="G291" s="101">
        <v>345348.0</v>
      </c>
      <c r="H291" s="102">
        <f t="shared" si="24"/>
        <v>1295054</v>
      </c>
      <c r="I291" s="112">
        <f>IFERROR(G291/'Revenue &amp; Demand'!E251,0)</f>
        <v>0.0800000556</v>
      </c>
      <c r="J291" s="101">
        <v>0.0</v>
      </c>
      <c r="K291" s="101">
        <v>16471.0</v>
      </c>
      <c r="L291" s="102">
        <f t="shared" si="25"/>
        <v>0</v>
      </c>
      <c r="M291" s="16"/>
    </row>
    <row r="292">
      <c r="A292" s="99">
        <f t="shared" si="21"/>
        <v>45717</v>
      </c>
      <c r="B292" s="111">
        <f>'Revenue &amp; Demand'!C252</f>
        <v>3016</v>
      </c>
      <c r="C292" s="101">
        <v>995171.0</v>
      </c>
      <c r="D292" s="102">
        <f>'Workforce &amp; Expenses'!E344</f>
        <v>400323</v>
      </c>
      <c r="E292" s="102">
        <f t="shared" si="22"/>
        <v>594848</v>
      </c>
      <c r="F292" s="102">
        <f t="shared" si="23"/>
        <v>995171</v>
      </c>
      <c r="G292" s="101">
        <v>361880.0</v>
      </c>
      <c r="H292" s="102">
        <f t="shared" si="24"/>
        <v>1357051</v>
      </c>
      <c r="I292" s="112">
        <f>IFERROR(G292/'Revenue &amp; Demand'!E252,0)</f>
        <v>0.07999992926</v>
      </c>
      <c r="J292" s="101">
        <v>0.0</v>
      </c>
      <c r="K292" s="101">
        <v>102941.0</v>
      </c>
      <c r="L292" s="102">
        <f t="shared" si="25"/>
        <v>0</v>
      </c>
      <c r="M292" s="16"/>
    </row>
    <row r="293">
      <c r="A293" s="99">
        <f t="shared" si="21"/>
        <v>45748</v>
      </c>
      <c r="B293" s="111">
        <f>'Revenue &amp; Demand'!C253</f>
        <v>3153</v>
      </c>
      <c r="C293" s="101">
        <v>1040636.0</v>
      </c>
      <c r="D293" s="102">
        <f>'Workforce &amp; Expenses'!E345</f>
        <v>413236</v>
      </c>
      <c r="E293" s="102">
        <f t="shared" si="22"/>
        <v>627400</v>
      </c>
      <c r="F293" s="102">
        <f t="shared" si="23"/>
        <v>1040636</v>
      </c>
      <c r="G293" s="101">
        <v>378413.0</v>
      </c>
      <c r="H293" s="102">
        <f t="shared" si="24"/>
        <v>1419049</v>
      </c>
      <c r="I293" s="112">
        <f>IFERROR(G293/'Revenue &amp; Demand'!E253,0)</f>
        <v>0.08000000846</v>
      </c>
      <c r="J293" s="101">
        <v>0.0</v>
      </c>
      <c r="K293" s="101">
        <v>16471.0</v>
      </c>
      <c r="L293" s="102">
        <f t="shared" si="25"/>
        <v>0</v>
      </c>
      <c r="M293" s="16"/>
    </row>
    <row r="294">
      <c r="A294" s="99">
        <f t="shared" si="21"/>
        <v>45778</v>
      </c>
      <c r="B294" s="111">
        <f>'Revenue &amp; Demand'!C254</f>
        <v>3291</v>
      </c>
      <c r="C294" s="101">
        <v>1086100.0</v>
      </c>
      <c r="D294" s="102">
        <f>'Workforce &amp; Expenses'!E346</f>
        <v>426150</v>
      </c>
      <c r="E294" s="102">
        <f t="shared" si="22"/>
        <v>659950</v>
      </c>
      <c r="F294" s="102">
        <f t="shared" si="23"/>
        <v>1086100</v>
      </c>
      <c r="G294" s="101">
        <v>394946.0</v>
      </c>
      <c r="H294" s="102">
        <f t="shared" si="24"/>
        <v>1481046</v>
      </c>
      <c r="I294" s="112">
        <f>IFERROR(G294/'Revenue &amp; Demand'!E254,0)</f>
        <v>0.08000009723</v>
      </c>
      <c r="J294" s="101">
        <v>0.0</v>
      </c>
      <c r="K294" s="101">
        <v>16471.0</v>
      </c>
      <c r="L294" s="102">
        <f t="shared" si="25"/>
        <v>0</v>
      </c>
      <c r="M294" s="16"/>
    </row>
    <row r="295">
      <c r="A295" s="99">
        <f t="shared" si="21"/>
        <v>45809</v>
      </c>
      <c r="B295" s="111">
        <f>'Revenue &amp; Demand'!C255</f>
        <v>3429</v>
      </c>
      <c r="C295" s="101">
        <v>1131565.0</v>
      </c>
      <c r="D295" s="102">
        <f>'Workforce &amp; Expenses'!E347</f>
        <v>439064</v>
      </c>
      <c r="E295" s="102">
        <f t="shared" si="22"/>
        <v>692501</v>
      </c>
      <c r="F295" s="102">
        <f t="shared" si="23"/>
        <v>1131565</v>
      </c>
      <c r="G295" s="101">
        <v>411478.0</v>
      </c>
      <c r="H295" s="102">
        <f t="shared" si="24"/>
        <v>1543043</v>
      </c>
      <c r="I295" s="112">
        <f>IFERROR(G295/'Revenue &amp; Demand'!E255,0)</f>
        <v>0.07999996889</v>
      </c>
      <c r="J295" s="101">
        <v>0.0</v>
      </c>
      <c r="K295" s="101">
        <v>102941.0</v>
      </c>
      <c r="L295" s="102">
        <f t="shared" si="25"/>
        <v>0</v>
      </c>
      <c r="M295" s="16"/>
    </row>
    <row r="296">
      <c r="A296" s="99">
        <f t="shared" si="21"/>
        <v>45839</v>
      </c>
      <c r="B296" s="111">
        <f>'Revenue &amp; Demand'!C256</f>
        <v>3567</v>
      </c>
      <c r="C296" s="101">
        <v>1177029.0</v>
      </c>
      <c r="D296" s="102">
        <f>'Workforce &amp; Expenses'!E348</f>
        <v>451977</v>
      </c>
      <c r="E296" s="102">
        <f t="shared" si="22"/>
        <v>725052</v>
      </c>
      <c r="F296" s="102">
        <f t="shared" si="23"/>
        <v>1177029</v>
      </c>
      <c r="G296" s="101">
        <v>428011.0</v>
      </c>
      <c r="H296" s="102">
        <f t="shared" si="24"/>
        <v>1605040</v>
      </c>
      <c r="I296" s="112">
        <f>IFERROR(G296/'Revenue &amp; Demand'!E256,0)</f>
        <v>0.08000005234</v>
      </c>
      <c r="J296" s="101">
        <v>0.0</v>
      </c>
      <c r="K296" s="101">
        <v>16471.0</v>
      </c>
      <c r="L296" s="102">
        <f t="shared" si="25"/>
        <v>0</v>
      </c>
      <c r="M296" s="16"/>
    </row>
    <row r="297">
      <c r="A297" s="99">
        <f t="shared" si="21"/>
        <v>45870</v>
      </c>
      <c r="B297" s="111">
        <f>'Revenue &amp; Demand'!C257</f>
        <v>3705</v>
      </c>
      <c r="C297" s="101">
        <v>1222495.0</v>
      </c>
      <c r="D297" s="102">
        <f>'Workforce &amp; Expenses'!E349</f>
        <v>464891</v>
      </c>
      <c r="E297" s="102">
        <f t="shared" si="22"/>
        <v>757604</v>
      </c>
      <c r="F297" s="102">
        <f t="shared" si="23"/>
        <v>1222495</v>
      </c>
      <c r="G297" s="101">
        <v>444543.0</v>
      </c>
      <c r="H297" s="102">
        <f t="shared" si="24"/>
        <v>1667038</v>
      </c>
      <c r="I297" s="112">
        <f>IFERROR(G297/'Revenue &amp; Demand'!E257,0)</f>
        <v>0.07999993521</v>
      </c>
      <c r="J297" s="101">
        <v>0.0</v>
      </c>
      <c r="K297" s="101">
        <v>16471.0</v>
      </c>
      <c r="L297" s="102">
        <f t="shared" si="25"/>
        <v>0</v>
      </c>
      <c r="M297" s="16"/>
    </row>
    <row r="298">
      <c r="A298" s="99">
        <f t="shared" si="21"/>
        <v>45901</v>
      </c>
      <c r="B298" s="111">
        <f>'Revenue &amp; Demand'!C258</f>
        <v>3842</v>
      </c>
      <c r="C298" s="101">
        <v>1267959.0</v>
      </c>
      <c r="D298" s="102">
        <f>'Workforce &amp; Expenses'!E350</f>
        <v>477805</v>
      </c>
      <c r="E298" s="102">
        <f t="shared" si="22"/>
        <v>790154</v>
      </c>
      <c r="F298" s="102">
        <f t="shared" si="23"/>
        <v>1267959</v>
      </c>
      <c r="G298" s="101">
        <v>461076.0</v>
      </c>
      <c r="H298" s="102">
        <f t="shared" si="24"/>
        <v>1729035</v>
      </c>
      <c r="I298" s="112">
        <f>IFERROR(G298/'Revenue &amp; Demand'!E258,0)</f>
        <v>0.08</v>
      </c>
      <c r="J298" s="101">
        <v>0.0</v>
      </c>
      <c r="K298" s="101">
        <v>102941.0</v>
      </c>
      <c r="L298" s="102">
        <f t="shared" si="25"/>
        <v>0</v>
      </c>
      <c r="M298" s="16"/>
    </row>
    <row r="299">
      <c r="A299" s="99">
        <f t="shared" si="21"/>
        <v>45931</v>
      </c>
      <c r="B299" s="111">
        <f>'Revenue &amp; Demand'!C259</f>
        <v>4418</v>
      </c>
      <c r="C299" s="101">
        <v>1457900.0</v>
      </c>
      <c r="D299" s="102">
        <f>'Workforce &amp; Expenses'!E351</f>
        <v>490718</v>
      </c>
      <c r="E299" s="102">
        <f t="shared" si="22"/>
        <v>967182</v>
      </c>
      <c r="F299" s="102">
        <f t="shared" si="23"/>
        <v>1457900</v>
      </c>
      <c r="G299" s="101">
        <v>530146.0</v>
      </c>
      <c r="H299" s="102">
        <f t="shared" si="24"/>
        <v>1988046</v>
      </c>
      <c r="I299" s="112">
        <f>IFERROR(G299/'Revenue &amp; Demand'!E259,0)</f>
        <v>0.08000007243</v>
      </c>
      <c r="J299" s="101">
        <v>0.0</v>
      </c>
      <c r="K299" s="101">
        <v>16471.0</v>
      </c>
      <c r="L299" s="102">
        <f t="shared" si="25"/>
        <v>0</v>
      </c>
      <c r="M299" s="16"/>
    </row>
    <row r="300">
      <c r="A300" s="99">
        <f t="shared" si="21"/>
        <v>45962</v>
      </c>
      <c r="B300" s="111">
        <f>'Revenue &amp; Demand'!C260</f>
        <v>4571</v>
      </c>
      <c r="C300" s="101">
        <v>1508366.0</v>
      </c>
      <c r="D300" s="102">
        <f>'Workforce &amp; Expenses'!E352</f>
        <v>503632</v>
      </c>
      <c r="E300" s="102">
        <f t="shared" si="22"/>
        <v>1004734</v>
      </c>
      <c r="F300" s="102">
        <f t="shared" si="23"/>
        <v>1508366</v>
      </c>
      <c r="G300" s="101">
        <v>548497.0</v>
      </c>
      <c r="H300" s="102">
        <f t="shared" si="24"/>
        <v>2056863</v>
      </c>
      <c r="I300" s="112">
        <f>IFERROR(G300/'Revenue &amp; Demand'!E260,0)</f>
        <v>0.08000004084</v>
      </c>
      <c r="J300" s="101">
        <v>0.0</v>
      </c>
      <c r="K300" s="101">
        <v>16471.0</v>
      </c>
      <c r="L300" s="102">
        <f t="shared" si="25"/>
        <v>0</v>
      </c>
      <c r="M300" s="16"/>
    </row>
    <row r="301">
      <c r="A301" s="99">
        <f t="shared" si="21"/>
        <v>45992</v>
      </c>
      <c r="B301" s="111">
        <f>'Revenue &amp; Demand'!C261</f>
        <v>4724</v>
      </c>
      <c r="C301" s="101">
        <v>1558830.0</v>
      </c>
      <c r="D301" s="102">
        <f>'Workforce &amp; Expenses'!E353</f>
        <v>516545</v>
      </c>
      <c r="E301" s="102">
        <f t="shared" si="22"/>
        <v>1042285</v>
      </c>
      <c r="F301" s="102">
        <f t="shared" si="23"/>
        <v>1558830</v>
      </c>
      <c r="G301" s="101">
        <v>566848.0</v>
      </c>
      <c r="H301" s="102">
        <f t="shared" si="24"/>
        <v>2125678</v>
      </c>
      <c r="I301" s="112">
        <f>IFERROR(G301/'Revenue &amp; Demand'!E261,0)</f>
        <v>0.08000002258</v>
      </c>
      <c r="J301" s="101">
        <v>0.0</v>
      </c>
      <c r="K301" s="101">
        <v>119409.0</v>
      </c>
      <c r="L301" s="102">
        <f t="shared" si="25"/>
        <v>0</v>
      </c>
      <c r="M301" s="16"/>
    </row>
    <row r="302">
      <c r="A302" s="113">
        <v>46023.0</v>
      </c>
      <c r="B302" s="128">
        <f>'Revenue &amp; Demand'!C262</f>
        <v>4754</v>
      </c>
      <c r="C302" s="116">
        <v>1966713.0</v>
      </c>
      <c r="D302" s="115">
        <f>'Workforce &amp; Expenses'!E354</f>
        <v>1475035</v>
      </c>
      <c r="E302" s="115">
        <f t="shared" si="22"/>
        <v>491678</v>
      </c>
      <c r="F302" s="115">
        <f t="shared" si="23"/>
        <v>1966713</v>
      </c>
      <c r="G302" s="116">
        <v>570480.0</v>
      </c>
      <c r="H302" s="115">
        <f t="shared" si="24"/>
        <v>2537193</v>
      </c>
      <c r="I302" s="129">
        <f>IFERROR(G302/'Revenue &amp; Demand'!E262,0)</f>
        <v>0.08</v>
      </c>
      <c r="J302" s="116">
        <v>0.0</v>
      </c>
      <c r="K302" s="115">
        <f>'Workforce &amp; Expenses'!X354</f>
        <v>16471</v>
      </c>
      <c r="L302" s="115">
        <f t="shared" si="25"/>
        <v>0</v>
      </c>
      <c r="M302" s="130"/>
    </row>
    <row r="303">
      <c r="A303" s="131">
        <v>46054.0</v>
      </c>
      <c r="B303" s="132">
        <f>'Revenue &amp; Demand'!C263</f>
        <v>4882</v>
      </c>
      <c r="C303" s="121">
        <v>1964464.0</v>
      </c>
      <c r="D303" s="120">
        <f>'Workforce &amp; Expenses'!E355</f>
        <v>1468106</v>
      </c>
      <c r="E303" s="120">
        <f t="shared" si="22"/>
        <v>496358</v>
      </c>
      <c r="F303" s="120">
        <f t="shared" si="23"/>
        <v>1964464</v>
      </c>
      <c r="G303" s="121">
        <v>585840.0</v>
      </c>
      <c r="H303" s="120">
        <f t="shared" si="24"/>
        <v>2550304</v>
      </c>
      <c r="I303" s="133">
        <f>IFERROR(G303/'Revenue &amp; Demand'!E263,0)</f>
        <v>0.08</v>
      </c>
      <c r="J303" s="121">
        <v>0.0</v>
      </c>
      <c r="K303" s="120">
        <f>'Workforce &amp; Expenses'!X355</f>
        <v>16471</v>
      </c>
      <c r="L303" s="120">
        <f t="shared" si="25"/>
        <v>0</v>
      </c>
      <c r="M303" s="134"/>
      <c r="N303" s="135"/>
      <c r="O303" s="135"/>
      <c r="P303" s="135"/>
      <c r="Q303" s="135"/>
      <c r="R303" s="135"/>
      <c r="S303" s="135"/>
      <c r="T303" s="135"/>
      <c r="U303" s="135"/>
      <c r="V303" s="135"/>
      <c r="W303" s="135"/>
      <c r="X303" s="135"/>
      <c r="Y303" s="135"/>
      <c r="Z303" s="135"/>
    </row>
    <row r="304" ht="17.25" customHeight="1">
      <c r="A304" s="117">
        <v>46082.0</v>
      </c>
      <c r="B304" s="118">
        <f>'Revenue &amp; Demand'!C264</f>
        <v>5134</v>
      </c>
      <c r="C304" s="119">
        <v>2027731.0</v>
      </c>
      <c r="D304" s="119">
        <f>'Workforce &amp; Expenses'!E356</f>
        <v>1504898</v>
      </c>
      <c r="E304" s="119">
        <f t="shared" si="22"/>
        <v>522833</v>
      </c>
      <c r="F304" s="119">
        <f t="shared" si="23"/>
        <v>2027731</v>
      </c>
      <c r="G304" s="119">
        <v>616080.0</v>
      </c>
      <c r="H304" s="119">
        <f t="shared" si="24"/>
        <v>2643811</v>
      </c>
      <c r="I304" s="136">
        <f>IFERROR(G304/'Revenue &amp; Demand'!E264,0)</f>
        <v>0.08</v>
      </c>
      <c r="J304" s="119">
        <v>0.0</v>
      </c>
      <c r="K304" s="120">
        <f>'Workforce &amp; Expenses'!X356</f>
        <v>102941</v>
      </c>
      <c r="L304" s="120">
        <f t="shared" si="25"/>
        <v>0</v>
      </c>
      <c r="M304" s="134"/>
      <c r="N304" s="135"/>
      <c r="O304" s="135"/>
      <c r="P304" s="135"/>
      <c r="Q304" s="135"/>
      <c r="R304" s="135"/>
      <c r="S304" s="135"/>
      <c r="T304" s="135"/>
      <c r="U304" s="135"/>
      <c r="V304" s="135"/>
      <c r="W304" s="135"/>
      <c r="X304" s="135"/>
      <c r="Y304" s="135"/>
      <c r="Z304" s="135"/>
    </row>
    <row r="305">
      <c r="A305" s="113">
        <v>46113.0</v>
      </c>
      <c r="B305" s="128">
        <f>'Revenue &amp; Demand'!C265</f>
        <v>5365</v>
      </c>
      <c r="C305" s="116">
        <v>2033516.0</v>
      </c>
      <c r="D305" s="115">
        <f>'Workforce &amp; Expenses'!E357</f>
        <v>1498461</v>
      </c>
      <c r="E305" s="115">
        <f t="shared" si="22"/>
        <v>535055</v>
      </c>
      <c r="F305" s="115">
        <f t="shared" si="23"/>
        <v>2033516</v>
      </c>
      <c r="G305" s="116">
        <v>643800.0</v>
      </c>
      <c r="H305" s="116">
        <f t="shared" si="24"/>
        <v>2677316</v>
      </c>
      <c r="I305" s="129">
        <f>IFERROR(G305/'Revenue &amp; Demand'!E265,0)</f>
        <v>0.08</v>
      </c>
      <c r="J305" s="116">
        <v>0.0</v>
      </c>
      <c r="K305" s="115">
        <f>'Workforce &amp; Expenses'!X357</f>
        <v>16471</v>
      </c>
      <c r="L305" s="115">
        <f t="shared" si="25"/>
        <v>0</v>
      </c>
      <c r="M305" s="130"/>
    </row>
    <row r="306">
      <c r="A306" s="113">
        <v>46143.0</v>
      </c>
      <c r="B306" s="128">
        <f>'Revenue &amp; Demand'!C266</f>
        <v>5643</v>
      </c>
      <c r="C306" s="116">
        <v>2081804.0</v>
      </c>
      <c r="D306" s="115">
        <f>'Workforce &amp; Expenses'!E358</f>
        <v>1522915</v>
      </c>
      <c r="E306" s="115">
        <f t="shared" si="22"/>
        <v>558889</v>
      </c>
      <c r="F306" s="115">
        <f t="shared" si="23"/>
        <v>2081804</v>
      </c>
      <c r="G306" s="116">
        <v>677160.0</v>
      </c>
      <c r="H306" s="116">
        <f t="shared" si="24"/>
        <v>2758964</v>
      </c>
      <c r="I306" s="129">
        <f>IFERROR(G306/'Revenue &amp; Demand'!E266,0)</f>
        <v>0.08</v>
      </c>
      <c r="J306" s="116">
        <v>0.0</v>
      </c>
      <c r="K306" s="115">
        <f>'Workforce &amp; Expenses'!X358</f>
        <v>16471</v>
      </c>
      <c r="L306" s="115">
        <f t="shared" si="25"/>
        <v>0</v>
      </c>
      <c r="M306" s="130"/>
    </row>
    <row r="307">
      <c r="A307" s="113">
        <v>46174.0</v>
      </c>
      <c r="B307" s="128">
        <f>'Revenue &amp; Demand'!C267</f>
        <v>5711</v>
      </c>
      <c r="C307" s="116">
        <v>2100917.0</v>
      </c>
      <c r="D307" s="115">
        <f>'Workforce &amp; Expenses'!E359</f>
        <v>1525352</v>
      </c>
      <c r="E307" s="115">
        <f t="shared" si="22"/>
        <v>575565</v>
      </c>
      <c r="F307" s="115">
        <f t="shared" si="23"/>
        <v>2100917</v>
      </c>
      <c r="G307" s="116">
        <v>685320.0</v>
      </c>
      <c r="H307" s="116">
        <f t="shared" si="24"/>
        <v>2786237</v>
      </c>
      <c r="I307" s="129">
        <f>IFERROR(G307/'Revenue &amp; Demand'!E267,0)</f>
        <v>0.08</v>
      </c>
      <c r="J307" s="116">
        <v>0.0</v>
      </c>
      <c r="K307" s="115">
        <f>'Workforce &amp; Expenses'!X359</f>
        <v>102941</v>
      </c>
      <c r="L307" s="115">
        <f t="shared" si="25"/>
        <v>0</v>
      </c>
      <c r="M307" s="130"/>
    </row>
    <row r="308">
      <c r="A308" s="113">
        <v>46204.0</v>
      </c>
      <c r="B308" s="128">
        <f>'Revenue &amp; Demand'!C268</f>
        <v>6081</v>
      </c>
      <c r="C308" s="116">
        <v>2115766.0</v>
      </c>
      <c r="D308" s="115">
        <f>'Workforce &amp; Expenses'!E360</f>
        <v>1524327</v>
      </c>
      <c r="E308" s="115">
        <f t="shared" si="22"/>
        <v>591439</v>
      </c>
      <c r="F308" s="115">
        <f t="shared" si="23"/>
        <v>2115766</v>
      </c>
      <c r="G308" s="116">
        <v>729720.0</v>
      </c>
      <c r="H308" s="116">
        <f t="shared" si="24"/>
        <v>2845486</v>
      </c>
      <c r="I308" s="129">
        <f>IFERROR(G308/'Revenue &amp; Demand'!E268,0)</f>
        <v>0.08</v>
      </c>
      <c r="J308" s="116">
        <v>0.0</v>
      </c>
      <c r="K308" s="115">
        <f>'Workforce &amp; Expenses'!X360</f>
        <v>16471</v>
      </c>
      <c r="L308" s="115">
        <f t="shared" si="25"/>
        <v>0</v>
      </c>
      <c r="M308" s="130"/>
    </row>
    <row r="309">
      <c r="A309" s="113">
        <v>46235.0</v>
      </c>
      <c r="B309" s="128">
        <f>'Revenue &amp; Demand'!C269</f>
        <v>6301</v>
      </c>
      <c r="C309" s="116">
        <v>2157852.0</v>
      </c>
      <c r="D309" s="115">
        <f>'Workforce &amp; Expenses'!E361</f>
        <v>1542437</v>
      </c>
      <c r="E309" s="115">
        <f t="shared" si="22"/>
        <v>615415</v>
      </c>
      <c r="F309" s="115">
        <f t="shared" si="23"/>
        <v>2157852</v>
      </c>
      <c r="G309" s="116">
        <v>756120.0</v>
      </c>
      <c r="H309" s="116">
        <f t="shared" si="24"/>
        <v>2913972</v>
      </c>
      <c r="I309" s="129">
        <f>IFERROR(G309/'Revenue &amp; Demand'!E269,0)</f>
        <v>0.08</v>
      </c>
      <c r="J309" s="116">
        <v>0.0</v>
      </c>
      <c r="K309" s="115">
        <f>'Workforce &amp; Expenses'!X361</f>
        <v>16471</v>
      </c>
      <c r="L309" s="115">
        <f t="shared" si="25"/>
        <v>0</v>
      </c>
      <c r="M309" s="130"/>
    </row>
    <row r="310">
      <c r="A310" s="113">
        <v>46266.0</v>
      </c>
      <c r="B310" s="128">
        <f>'Revenue &amp; Demand'!C270</f>
        <v>6576</v>
      </c>
      <c r="C310" s="116">
        <v>2167051.0</v>
      </c>
      <c r="D310" s="115">
        <f>'Workforce &amp; Expenses'!E362</f>
        <v>1536472</v>
      </c>
      <c r="E310" s="115">
        <f t="shared" si="22"/>
        <v>630579</v>
      </c>
      <c r="F310" s="115">
        <f t="shared" si="23"/>
        <v>2167051</v>
      </c>
      <c r="G310" s="116">
        <v>789120.0</v>
      </c>
      <c r="H310" s="116">
        <f t="shared" si="24"/>
        <v>2956171</v>
      </c>
      <c r="I310" s="129">
        <f>IFERROR(G310/'Revenue &amp; Demand'!E270,0)</f>
        <v>0.08</v>
      </c>
      <c r="J310" s="116">
        <v>0.0</v>
      </c>
      <c r="K310" s="115">
        <f>'Workforce &amp; Expenses'!X362</f>
        <v>102941</v>
      </c>
      <c r="L310" s="115">
        <f t="shared" si="25"/>
        <v>0</v>
      </c>
      <c r="M310" s="130"/>
    </row>
    <row r="311">
      <c r="A311" s="122">
        <f>'Monthly Data'!A107</f>
        <v>46296</v>
      </c>
      <c r="B311" s="127">
        <f>'Revenue &amp; Demand'!C271</f>
        <v>6612</v>
      </c>
      <c r="C311" s="125">
        <f>'Manufacturing &amp; Production'!J34</f>
        <v>2116305</v>
      </c>
      <c r="D311" s="124">
        <f>'Workforce &amp; Expenses'!E363</f>
        <v>1488667</v>
      </c>
      <c r="E311" s="124">
        <f t="shared" si="22"/>
        <v>627638</v>
      </c>
      <c r="F311" s="124">
        <f t="shared" si="23"/>
        <v>2116305</v>
      </c>
      <c r="G311" s="125">
        <f>'Manufacturing &amp; Production'!K34</f>
        <v>793440</v>
      </c>
      <c r="H311" s="125">
        <f t="shared" si="24"/>
        <v>2909745</v>
      </c>
      <c r="I311" s="137">
        <f>IFERROR(G311/'Revenue &amp; Demand'!E271,0)</f>
        <v>0.08</v>
      </c>
      <c r="J311" s="124">
        <f>'Manufacturing &amp; Production'!S34</f>
        <v>0</v>
      </c>
      <c r="K311" s="124">
        <f>ROUND('Revenue &amp; Demand'!J271*IFERROR(SUM('Monthly Data'!$K$86:$K$97)/SUM('Monthly Data'!$G$86:$G$97),0),0)</f>
        <v>16471</v>
      </c>
      <c r="L311" s="124">
        <f t="shared" si="25"/>
        <v>0</v>
      </c>
      <c r="M311" s="138"/>
    </row>
    <row r="312">
      <c r="A312" s="122">
        <f>'Monthly Data'!A108</f>
        <v>46327</v>
      </c>
      <c r="B312" s="127">
        <f>'Revenue &amp; Demand'!C272</f>
        <v>6839</v>
      </c>
      <c r="C312" s="125">
        <f>'Manufacturing &amp; Production'!J35</f>
        <v>2134419</v>
      </c>
      <c r="D312" s="124">
        <f>'Workforce &amp; Expenses'!E364</f>
        <v>1488667</v>
      </c>
      <c r="E312" s="124">
        <f t="shared" si="22"/>
        <v>645752</v>
      </c>
      <c r="F312" s="124">
        <f t="shared" si="23"/>
        <v>2134419</v>
      </c>
      <c r="G312" s="125">
        <f>'Manufacturing &amp; Production'!K35</f>
        <v>820680</v>
      </c>
      <c r="H312" s="125">
        <f t="shared" si="24"/>
        <v>2955099</v>
      </c>
      <c r="I312" s="137">
        <f>IFERROR(G312/'Revenue &amp; Demand'!E272,0)</f>
        <v>0.08</v>
      </c>
      <c r="J312" s="124">
        <f>'Manufacturing &amp; Production'!S35</f>
        <v>0</v>
      </c>
      <c r="K312" s="124">
        <f>ROUND('Revenue &amp; Demand'!J272*IFERROR(SUM('Monthly Data'!$K$86:$K$97)/SUM('Monthly Data'!$G$86:$G$97),0),0)</f>
        <v>16471</v>
      </c>
      <c r="L312" s="124">
        <f t="shared" si="25"/>
        <v>0</v>
      </c>
      <c r="M312" s="138"/>
    </row>
    <row r="313">
      <c r="A313" s="122">
        <f>'Monthly Data'!A109</f>
        <v>46357</v>
      </c>
      <c r="B313" s="127">
        <f>'Revenue &amp; Demand'!C273</f>
        <v>7074</v>
      </c>
      <c r="C313" s="125">
        <f>'Manufacturing &amp; Production'!J36</f>
        <v>2153172</v>
      </c>
      <c r="D313" s="124">
        <f>'Workforce &amp; Expenses'!E365</f>
        <v>1488667</v>
      </c>
      <c r="E313" s="124">
        <f t="shared" si="22"/>
        <v>664505</v>
      </c>
      <c r="F313" s="124">
        <f t="shared" si="23"/>
        <v>2153172</v>
      </c>
      <c r="G313" s="125">
        <f>'Manufacturing &amp; Production'!K36</f>
        <v>848880</v>
      </c>
      <c r="H313" s="125">
        <f t="shared" si="24"/>
        <v>3002052</v>
      </c>
      <c r="I313" s="137">
        <f>IFERROR(G313/'Revenue &amp; Demand'!E273,0)</f>
        <v>0.08</v>
      </c>
      <c r="J313" s="124">
        <f>'Manufacturing &amp; Production'!S36</f>
        <v>0</v>
      </c>
      <c r="K313" s="124">
        <f>ROUND('Revenue &amp; Demand'!J273*IFERROR(SUM('Monthly Data'!$K$86:$K$97)/SUM('Monthly Data'!$G$86:$G$97),0),0)</f>
        <v>119412</v>
      </c>
      <c r="L313" s="124">
        <f t="shared" si="25"/>
        <v>0</v>
      </c>
      <c r="M313" s="138"/>
    </row>
    <row r="314">
      <c r="A314" s="126">
        <f>'Monthly Data'!A110</f>
        <v>46388</v>
      </c>
      <c r="B314" s="127">
        <f>'Revenue &amp; Demand'!C274</f>
        <v>7230</v>
      </c>
      <c r="C314" s="124">
        <f>'Manufacturing &amp; Production'!J37</f>
        <v>2241644</v>
      </c>
      <c r="D314" s="124">
        <f>'Workforce &amp; Expenses'!E366</f>
        <v>1544382</v>
      </c>
      <c r="E314" s="124">
        <f t="shared" si="22"/>
        <v>697262</v>
      </c>
      <c r="F314" s="124">
        <f t="shared" si="23"/>
        <v>2241644</v>
      </c>
      <c r="G314" s="124">
        <f>'Manufacturing &amp; Production'!K37</f>
        <v>867600</v>
      </c>
      <c r="H314" s="124">
        <f t="shared" si="24"/>
        <v>3109244</v>
      </c>
      <c r="I314" s="137">
        <f>IFERROR(G314/'Revenue &amp; Demand'!E274,0)</f>
        <v>0.08</v>
      </c>
      <c r="J314" s="124">
        <f>'Manufacturing &amp; Production'!S37</f>
        <v>0</v>
      </c>
      <c r="K314" s="124">
        <f>ROUND('Revenue &amp; Demand'!J274*IFERROR(SUM('Monthly Data'!$K$86:$K$97)/SUM('Monthly Data'!$G$86:$G$97),0),0)</f>
        <v>16471</v>
      </c>
      <c r="L314" s="124">
        <f t="shared" si="25"/>
        <v>0</v>
      </c>
      <c r="M314" s="138"/>
    </row>
    <row r="315">
      <c r="A315" s="126">
        <f>'Monthly Data'!A111</f>
        <v>46419</v>
      </c>
      <c r="B315" s="127">
        <f>'Revenue &amp; Demand'!C275</f>
        <v>7390</v>
      </c>
      <c r="C315" s="124">
        <f>'Manufacturing &amp; Production'!J38</f>
        <v>2281954</v>
      </c>
      <c r="D315" s="124">
        <f>'Workforce &amp; Expenses'!E367</f>
        <v>1571539</v>
      </c>
      <c r="E315" s="124">
        <f t="shared" si="22"/>
        <v>710415</v>
      </c>
      <c r="F315" s="124">
        <f t="shared" si="23"/>
        <v>2281954</v>
      </c>
      <c r="G315" s="124">
        <f>'Manufacturing &amp; Production'!K38</f>
        <v>886800</v>
      </c>
      <c r="H315" s="124">
        <f t="shared" si="24"/>
        <v>3168754</v>
      </c>
      <c r="I315" s="137">
        <f>IFERROR(G315/'Revenue &amp; Demand'!E275,0)</f>
        <v>0.08</v>
      </c>
      <c r="J315" s="124">
        <f>'Manufacturing &amp; Production'!S38</f>
        <v>0</v>
      </c>
      <c r="K315" s="124">
        <f>ROUND('Revenue &amp; Demand'!J275*IFERROR(SUM('Monthly Data'!$K$86:$K$97)/SUM('Monthly Data'!$G$86:$G$97),0),0)</f>
        <v>16471</v>
      </c>
      <c r="L315" s="124">
        <f t="shared" si="25"/>
        <v>0</v>
      </c>
      <c r="M315" s="138"/>
    </row>
    <row r="316">
      <c r="A316" s="126">
        <f>'Monthly Data'!A112</f>
        <v>46447</v>
      </c>
      <c r="B316" s="127">
        <f>'Revenue &amp; Demand'!C276</f>
        <v>7554</v>
      </c>
      <c r="C316" s="124">
        <f>'Manufacturing &amp; Production'!J39</f>
        <v>2306488</v>
      </c>
      <c r="D316" s="124">
        <f>'Workforce &amp; Expenses'!E368</f>
        <v>1582595</v>
      </c>
      <c r="E316" s="124">
        <f t="shared" si="22"/>
        <v>723893</v>
      </c>
      <c r="F316" s="124">
        <f t="shared" si="23"/>
        <v>2306488</v>
      </c>
      <c r="G316" s="124">
        <f>'Manufacturing &amp; Production'!K39</f>
        <v>906480</v>
      </c>
      <c r="H316" s="124">
        <f t="shared" si="24"/>
        <v>3212968</v>
      </c>
      <c r="I316" s="137">
        <f>IFERROR(G316/'Revenue &amp; Demand'!E276,0)</f>
        <v>0.08</v>
      </c>
      <c r="J316" s="124">
        <f>'Manufacturing &amp; Production'!S39</f>
        <v>0</v>
      </c>
      <c r="K316" s="124">
        <f>ROUND('Revenue &amp; Demand'!J276*IFERROR(SUM('Monthly Data'!$K$86:$K$97)/SUM('Monthly Data'!$G$86:$G$97),0),0)</f>
        <v>102941</v>
      </c>
      <c r="L316" s="124">
        <f t="shared" si="25"/>
        <v>0</v>
      </c>
      <c r="M316" s="138"/>
    </row>
    <row r="317">
      <c r="A317" s="126">
        <f>'Monthly Data'!A113</f>
        <v>46478</v>
      </c>
      <c r="B317" s="127">
        <f>'Revenue &amp; Demand'!C277</f>
        <v>7721</v>
      </c>
      <c r="C317" s="124">
        <f>'Manufacturing &amp; Production'!J40</f>
        <v>2320215</v>
      </c>
      <c r="D317" s="124">
        <f>'Workforce &amp; Expenses'!E369</f>
        <v>1582595</v>
      </c>
      <c r="E317" s="124">
        <f t="shared" si="22"/>
        <v>737620</v>
      </c>
      <c r="F317" s="124">
        <f t="shared" si="23"/>
        <v>2320215</v>
      </c>
      <c r="G317" s="124">
        <f>'Manufacturing &amp; Production'!K40</f>
        <v>926520</v>
      </c>
      <c r="H317" s="124">
        <f t="shared" si="24"/>
        <v>3246735</v>
      </c>
      <c r="I317" s="137">
        <f>IFERROR(G317/'Revenue &amp; Demand'!E277,0)</f>
        <v>0.08</v>
      </c>
      <c r="J317" s="124">
        <f>'Manufacturing &amp; Production'!S40</f>
        <v>0</v>
      </c>
      <c r="K317" s="124">
        <f>ROUND('Revenue &amp; Demand'!J277*IFERROR(SUM('Monthly Data'!$K$86:$K$97)/SUM('Monthly Data'!$G$86:$G$97),0),0)</f>
        <v>16471</v>
      </c>
      <c r="L317" s="124">
        <f t="shared" si="25"/>
        <v>0</v>
      </c>
      <c r="M317" s="138"/>
    </row>
    <row r="318">
      <c r="A318" s="126">
        <f>'Monthly Data'!A114</f>
        <v>46508</v>
      </c>
      <c r="B318" s="127">
        <f>'Revenue &amp; Demand'!C278</f>
        <v>7891</v>
      </c>
      <c r="C318" s="124">
        <f>'Manufacturing &amp; Production'!J41</f>
        <v>2345243</v>
      </c>
      <c r="D318" s="124">
        <f>'Workforce &amp; Expenses'!E370</f>
        <v>1593650</v>
      </c>
      <c r="E318" s="124">
        <f t="shared" si="22"/>
        <v>751593</v>
      </c>
      <c r="F318" s="124">
        <f t="shared" si="23"/>
        <v>2345243</v>
      </c>
      <c r="G318" s="124">
        <f>'Manufacturing &amp; Production'!K41</f>
        <v>946920</v>
      </c>
      <c r="H318" s="124">
        <f t="shared" si="24"/>
        <v>3292163</v>
      </c>
      <c r="I318" s="137">
        <f>IFERROR(G318/'Revenue &amp; Demand'!E278,0)</f>
        <v>0.08</v>
      </c>
      <c r="J318" s="124">
        <f>'Manufacturing &amp; Production'!S41</f>
        <v>0</v>
      </c>
      <c r="K318" s="124">
        <f>ROUND('Revenue &amp; Demand'!J278*IFERROR(SUM('Monthly Data'!$K$86:$K$97)/SUM('Monthly Data'!$G$86:$G$97),0),0)</f>
        <v>16471</v>
      </c>
      <c r="L318" s="124">
        <f t="shared" si="25"/>
        <v>0</v>
      </c>
      <c r="M318" s="138"/>
    </row>
    <row r="319">
      <c r="A319" s="126">
        <f>'Monthly Data'!A115</f>
        <v>46539</v>
      </c>
      <c r="B319" s="127">
        <f>'Revenue &amp; Demand'!C279</f>
        <v>8066</v>
      </c>
      <c r="C319" s="124">
        <f>'Manufacturing &amp; Production'!J42</f>
        <v>2386785</v>
      </c>
      <c r="D319" s="124">
        <f>'Workforce &amp; Expenses'!E371</f>
        <v>1620808</v>
      </c>
      <c r="E319" s="124">
        <f t="shared" si="22"/>
        <v>765977</v>
      </c>
      <c r="F319" s="124">
        <f t="shared" si="23"/>
        <v>2386785</v>
      </c>
      <c r="G319" s="124">
        <f>'Manufacturing &amp; Production'!K42</f>
        <v>967920</v>
      </c>
      <c r="H319" s="124">
        <f t="shared" si="24"/>
        <v>3354705</v>
      </c>
      <c r="I319" s="137">
        <f>IFERROR(G319/'Revenue &amp; Demand'!E279,0)</f>
        <v>0.08</v>
      </c>
      <c r="J319" s="124">
        <f>'Manufacturing &amp; Production'!S42</f>
        <v>0</v>
      </c>
      <c r="K319" s="124">
        <f>ROUND('Revenue &amp; Demand'!J279*IFERROR(SUM('Monthly Data'!$K$86:$K$97)/SUM('Monthly Data'!$G$86:$G$97),0),0)</f>
        <v>102941</v>
      </c>
      <c r="L319" s="124">
        <f t="shared" si="25"/>
        <v>0</v>
      </c>
      <c r="M319" s="138"/>
    </row>
    <row r="320">
      <c r="A320" s="126">
        <f>'Monthly Data'!A116</f>
        <v>46569</v>
      </c>
      <c r="B320" s="127">
        <f>'Revenue &amp; Demand'!C280</f>
        <v>8244</v>
      </c>
      <c r="C320" s="124">
        <f>'Manufacturing &amp; Production'!J43</f>
        <v>2412472</v>
      </c>
      <c r="D320" s="124">
        <f>'Workforce &amp; Expenses'!E372</f>
        <v>1631864</v>
      </c>
      <c r="E320" s="124">
        <f t="shared" si="22"/>
        <v>780608</v>
      </c>
      <c r="F320" s="124">
        <f t="shared" si="23"/>
        <v>2412472</v>
      </c>
      <c r="G320" s="124">
        <f>'Manufacturing &amp; Production'!K43</f>
        <v>989280</v>
      </c>
      <c r="H320" s="124">
        <f t="shared" si="24"/>
        <v>3401752</v>
      </c>
      <c r="I320" s="137">
        <f>IFERROR(G320/'Revenue &amp; Demand'!E280,0)</f>
        <v>0.08</v>
      </c>
      <c r="J320" s="124">
        <f>'Manufacturing &amp; Production'!S43</f>
        <v>1841640</v>
      </c>
      <c r="K320" s="124">
        <f>ROUND('Revenue &amp; Demand'!J280*IFERROR(SUM('Monthly Data'!$K$86:$K$97)/SUM('Monthly Data'!$G$86:$G$97),0),0)</f>
        <v>16471</v>
      </c>
      <c r="L320" s="124">
        <f t="shared" si="25"/>
        <v>0</v>
      </c>
      <c r="M320" s="138"/>
    </row>
    <row r="321">
      <c r="A321" s="126">
        <f>'Monthly Data'!A117</f>
        <v>46600</v>
      </c>
      <c r="B321" s="127">
        <f>'Revenue &amp; Demand'!C281</f>
        <v>8426</v>
      </c>
      <c r="C321" s="124">
        <f>'Manufacturing &amp; Production'!J44</f>
        <v>2438485</v>
      </c>
      <c r="D321" s="124">
        <f>'Workforce &amp; Expenses'!E373</f>
        <v>1642919</v>
      </c>
      <c r="E321" s="124">
        <f t="shared" si="22"/>
        <v>795566</v>
      </c>
      <c r="F321" s="124">
        <f t="shared" si="23"/>
        <v>2438485</v>
      </c>
      <c r="G321" s="124">
        <f>'Manufacturing &amp; Production'!K44</f>
        <v>1011120</v>
      </c>
      <c r="H321" s="124">
        <f t="shared" si="24"/>
        <v>3449605</v>
      </c>
      <c r="I321" s="137">
        <f>IFERROR(G321/'Revenue &amp; Demand'!E281,0)</f>
        <v>0.08</v>
      </c>
      <c r="J321" s="124">
        <f>'Manufacturing &amp; Production'!S44</f>
        <v>1875383</v>
      </c>
      <c r="K321" s="124">
        <f>ROUND('Revenue &amp; Demand'!J281*IFERROR(SUM('Monthly Data'!$K$86:$K$97)/SUM('Monthly Data'!$G$86:$G$97),0),0)</f>
        <v>16471</v>
      </c>
      <c r="L321" s="124">
        <f t="shared" si="25"/>
        <v>0</v>
      </c>
      <c r="M321" s="138"/>
    </row>
    <row r="322">
      <c r="A322" s="126">
        <f>'Monthly Data'!A118</f>
        <v>46631</v>
      </c>
      <c r="B322" s="127">
        <f>'Revenue &amp; Demand'!C282</f>
        <v>8612</v>
      </c>
      <c r="C322" s="124">
        <f>'Manufacturing &amp; Production'!J45</f>
        <v>2464828</v>
      </c>
      <c r="D322" s="124">
        <f>'Workforce &amp; Expenses'!E374</f>
        <v>1653974</v>
      </c>
      <c r="E322" s="124">
        <f t="shared" si="22"/>
        <v>810854</v>
      </c>
      <c r="F322" s="124">
        <f t="shared" si="23"/>
        <v>2464828</v>
      </c>
      <c r="G322" s="124">
        <f>'Manufacturing &amp; Production'!K45</f>
        <v>1033440</v>
      </c>
      <c r="H322" s="124">
        <f t="shared" si="24"/>
        <v>3498268</v>
      </c>
      <c r="I322" s="137">
        <f>IFERROR(G322/'Revenue &amp; Demand'!E282,0)</f>
        <v>0.08</v>
      </c>
      <c r="J322" s="124">
        <f>'Manufacturing &amp; Production'!S45</f>
        <v>1909969</v>
      </c>
      <c r="K322" s="124">
        <f>ROUND('Revenue &amp; Demand'!J282*IFERROR(SUM('Monthly Data'!$K$86:$K$97)/SUM('Monthly Data'!$G$86:$G$97),0),0)</f>
        <v>102941</v>
      </c>
      <c r="L322" s="124">
        <f t="shared" si="25"/>
        <v>0</v>
      </c>
      <c r="M322" s="138"/>
    </row>
    <row r="323">
      <c r="A323" s="126">
        <f>'Monthly Data'!A119</f>
        <v>46661</v>
      </c>
      <c r="B323" s="127">
        <f>'Revenue &amp; Demand'!C283</f>
        <v>8803</v>
      </c>
      <c r="C323" s="124">
        <f>'Manufacturing &amp; Production'!J46</f>
        <v>2496630</v>
      </c>
      <c r="D323" s="124">
        <f>'Workforce &amp; Expenses'!E375</f>
        <v>1670076</v>
      </c>
      <c r="E323" s="124">
        <f t="shared" si="22"/>
        <v>826554</v>
      </c>
      <c r="F323" s="124">
        <f t="shared" si="23"/>
        <v>2496630</v>
      </c>
      <c r="G323" s="124">
        <f>'Manufacturing &amp; Production'!K46</f>
        <v>1056360</v>
      </c>
      <c r="H323" s="124">
        <f t="shared" si="24"/>
        <v>3552990</v>
      </c>
      <c r="I323" s="137">
        <f>IFERROR(G323/'Revenue &amp; Demand'!E283,0)</f>
        <v>0.08</v>
      </c>
      <c r="J323" s="124">
        <f>'Manufacturing &amp; Production'!S46</f>
        <v>1944978</v>
      </c>
      <c r="K323" s="124">
        <f>ROUND('Revenue &amp; Demand'!J283*IFERROR(SUM('Monthly Data'!$K$86:$K$97)/SUM('Monthly Data'!$G$86:$G$97),0),0)</f>
        <v>16471</v>
      </c>
      <c r="L323" s="124">
        <f t="shared" si="25"/>
        <v>0</v>
      </c>
      <c r="M323" s="138"/>
    </row>
    <row r="324">
      <c r="A324" s="126">
        <f>'Monthly Data'!A120</f>
        <v>46692</v>
      </c>
      <c r="B324" s="127">
        <f>'Revenue &amp; Demand'!C284</f>
        <v>8997</v>
      </c>
      <c r="C324" s="124">
        <f>'Manufacturing &amp; Production'!J47</f>
        <v>2523631</v>
      </c>
      <c r="D324" s="124">
        <f>'Workforce &amp; Expenses'!E376</f>
        <v>1681132</v>
      </c>
      <c r="E324" s="124">
        <f t="shared" si="22"/>
        <v>842499</v>
      </c>
      <c r="F324" s="124">
        <f t="shared" si="23"/>
        <v>2523631</v>
      </c>
      <c r="G324" s="124">
        <f>'Manufacturing &amp; Production'!K47</f>
        <v>1079640</v>
      </c>
      <c r="H324" s="124">
        <f t="shared" si="24"/>
        <v>3603271</v>
      </c>
      <c r="I324" s="137">
        <f>IFERROR(G324/'Revenue &amp; Demand'!E284,0)</f>
        <v>0.08</v>
      </c>
      <c r="J324" s="124">
        <f>'Manufacturing &amp; Production'!S47</f>
        <v>1980830</v>
      </c>
      <c r="K324" s="124">
        <f>ROUND('Revenue &amp; Demand'!J284*IFERROR(SUM('Monthly Data'!$K$86:$K$97)/SUM('Monthly Data'!$G$86:$G$97),0),0)</f>
        <v>16471</v>
      </c>
      <c r="L324" s="124">
        <f t="shared" si="25"/>
        <v>0</v>
      </c>
      <c r="M324" s="138"/>
    </row>
    <row r="325">
      <c r="A325" s="126">
        <f>'Monthly Data'!A121</f>
        <v>46722</v>
      </c>
      <c r="B325" s="127">
        <f>'Revenue &amp; Demand'!C285</f>
        <v>9196</v>
      </c>
      <c r="C325" s="124">
        <f>'Manufacturing &amp; Production'!J48</f>
        <v>2551043</v>
      </c>
      <c r="D325" s="124">
        <f>'Workforce &amp; Expenses'!E377</f>
        <v>1692187</v>
      </c>
      <c r="E325" s="124">
        <f t="shared" si="22"/>
        <v>858856</v>
      </c>
      <c r="F325" s="124">
        <f t="shared" si="23"/>
        <v>2551043</v>
      </c>
      <c r="G325" s="124">
        <f>'Manufacturing &amp; Production'!K48</f>
        <v>1103520</v>
      </c>
      <c r="H325" s="124">
        <f t="shared" si="24"/>
        <v>3654563</v>
      </c>
      <c r="I325" s="137">
        <f>IFERROR(G325/'Revenue &amp; Demand'!E285,0)</f>
        <v>0.08</v>
      </c>
      <c r="J325" s="124">
        <f>'Manufacturing &amp; Production'!S48</f>
        <v>2017102</v>
      </c>
      <c r="K325" s="124">
        <f>ROUND('Revenue &amp; Demand'!J285*IFERROR(SUM('Monthly Data'!$K$86:$K$97)/SUM('Monthly Data'!$G$86:$G$97),0),0)</f>
        <v>119412</v>
      </c>
      <c r="L325" s="124">
        <f t="shared" si="25"/>
        <v>0</v>
      </c>
      <c r="M325" s="138"/>
    </row>
    <row r="326">
      <c r="A326" s="126">
        <f>'Monthly Data'!A122</f>
        <v>46753</v>
      </c>
      <c r="B326" s="127">
        <f>'Revenue &amp; Demand'!C286</f>
        <v>9337</v>
      </c>
      <c r="C326" s="124">
        <f>'Manufacturing &amp; Production'!J49</f>
        <v>2650897</v>
      </c>
      <c r="D326" s="124">
        <f>'Workforce &amp; Expenses'!E378</f>
        <v>1754339</v>
      </c>
      <c r="E326" s="124">
        <f t="shared" si="22"/>
        <v>896558</v>
      </c>
      <c r="F326" s="124">
        <f t="shared" si="23"/>
        <v>2650897</v>
      </c>
      <c r="G326" s="124">
        <f>'Manufacturing &amp; Production'!K49</f>
        <v>1120440</v>
      </c>
      <c r="H326" s="124">
        <f t="shared" si="24"/>
        <v>3771337</v>
      </c>
      <c r="I326" s="137">
        <f>IFERROR(G326/'Revenue &amp; Demand'!E286,0)</f>
        <v>0.08</v>
      </c>
      <c r="J326" s="124">
        <f>'Manufacturing &amp; Production'!S49</f>
        <v>2116280</v>
      </c>
      <c r="K326" s="124">
        <f>ROUND('Revenue &amp; Demand'!J286*IFERROR(SUM('Monthly Data'!$K$86:$K$97)/SUM('Monthly Data'!$G$86:$G$97),0),0)</f>
        <v>16471</v>
      </c>
      <c r="L326" s="124">
        <f t="shared" si="25"/>
        <v>0</v>
      </c>
      <c r="M326" s="138"/>
    </row>
    <row r="327">
      <c r="A327" s="126">
        <f>'Monthly Data'!A123</f>
        <v>46784</v>
      </c>
      <c r="B327" s="127">
        <f>'Revenue &amp; Demand'!C287</f>
        <v>9480</v>
      </c>
      <c r="C327" s="124">
        <f>'Manufacturing &amp; Production'!J50</f>
        <v>2702365</v>
      </c>
      <c r="D327" s="124">
        <f>'Workforce &amp; Expenses'!E379</f>
        <v>1793699</v>
      </c>
      <c r="E327" s="124">
        <f t="shared" si="22"/>
        <v>908666</v>
      </c>
      <c r="F327" s="124">
        <f t="shared" si="23"/>
        <v>2702365</v>
      </c>
      <c r="G327" s="124">
        <f>'Manufacturing &amp; Production'!K50</f>
        <v>1137600</v>
      </c>
      <c r="H327" s="124">
        <f t="shared" si="24"/>
        <v>3839965</v>
      </c>
      <c r="I327" s="137">
        <f>IFERROR(G327/'Revenue &amp; Demand'!E287,0)</f>
        <v>0.08</v>
      </c>
      <c r="J327" s="124">
        <f>'Manufacturing &amp; Production'!S50</f>
        <v>2155380</v>
      </c>
      <c r="K327" s="124">
        <f>ROUND('Revenue &amp; Demand'!J287*IFERROR(SUM('Monthly Data'!$K$86:$K$97)/SUM('Monthly Data'!$G$86:$G$97),0),0)</f>
        <v>16471</v>
      </c>
      <c r="L327" s="124">
        <f t="shared" si="25"/>
        <v>0</v>
      </c>
      <c r="M327" s="138"/>
    </row>
    <row r="328">
      <c r="A328" s="126">
        <f>'Monthly Data'!A124</f>
        <v>46813</v>
      </c>
      <c r="B328" s="127">
        <f>'Revenue &amp; Demand'!C288</f>
        <v>9625</v>
      </c>
      <c r="C328" s="124">
        <f>'Manufacturing &amp; Production'!J51</f>
        <v>2726026</v>
      </c>
      <c r="D328" s="124">
        <f>'Workforce &amp; Expenses'!E380</f>
        <v>1805086</v>
      </c>
      <c r="E328" s="124">
        <f t="shared" si="22"/>
        <v>920940</v>
      </c>
      <c r="F328" s="124">
        <f t="shared" si="23"/>
        <v>2726026</v>
      </c>
      <c r="G328" s="124">
        <f>'Manufacturing &amp; Production'!K51</f>
        <v>1155000</v>
      </c>
      <c r="H328" s="124">
        <f t="shared" si="24"/>
        <v>3881026</v>
      </c>
      <c r="I328" s="137">
        <f>IFERROR(G328/'Revenue &amp; Demand'!E288,0)</f>
        <v>0.08</v>
      </c>
      <c r="J328" s="124">
        <f>'Manufacturing &amp; Production'!S51</f>
        <v>2195349</v>
      </c>
      <c r="K328" s="124">
        <f>ROUND('Revenue &amp; Demand'!J288*IFERROR(SUM('Monthly Data'!$K$86:$K$97)/SUM('Monthly Data'!$G$86:$G$97),0),0)</f>
        <v>102941</v>
      </c>
      <c r="L328" s="124">
        <f t="shared" si="25"/>
        <v>0</v>
      </c>
      <c r="M328" s="138"/>
    </row>
    <row r="329">
      <c r="A329" s="126">
        <f>'Monthly Data'!A125</f>
        <v>46844</v>
      </c>
      <c r="B329" s="127">
        <f>'Revenue &amp; Demand'!C289</f>
        <v>9772</v>
      </c>
      <c r="C329" s="124">
        <f>'Manufacturing &amp; Production'!J52</f>
        <v>2749858</v>
      </c>
      <c r="D329" s="124">
        <f>'Workforce &amp; Expenses'!E381</f>
        <v>1816473</v>
      </c>
      <c r="E329" s="124">
        <f t="shared" si="22"/>
        <v>933385</v>
      </c>
      <c r="F329" s="124">
        <f t="shared" si="23"/>
        <v>2749858</v>
      </c>
      <c r="G329" s="124">
        <f>'Manufacturing &amp; Production'!K52</f>
        <v>1172640</v>
      </c>
      <c r="H329" s="124">
        <f t="shared" si="24"/>
        <v>3922498</v>
      </c>
      <c r="I329" s="137">
        <f>IFERROR(G329/'Revenue &amp; Demand'!E289,0)</f>
        <v>0.08</v>
      </c>
      <c r="J329" s="124">
        <f>'Manufacturing &amp; Production'!S52</f>
        <v>2235753</v>
      </c>
      <c r="K329" s="124">
        <f>ROUND('Revenue &amp; Demand'!J289*IFERROR(SUM('Monthly Data'!$K$86:$K$97)/SUM('Monthly Data'!$G$86:$G$97),0),0)</f>
        <v>16471</v>
      </c>
      <c r="L329" s="124">
        <f t="shared" si="25"/>
        <v>0</v>
      </c>
      <c r="M329" s="138"/>
    </row>
    <row r="330">
      <c r="A330" s="126">
        <f>'Monthly Data'!A126</f>
        <v>46874</v>
      </c>
      <c r="B330" s="127">
        <f>'Revenue &amp; Demand'!C290</f>
        <v>9922</v>
      </c>
      <c r="C330" s="124">
        <f>'Manufacturing &amp; Production'!J53</f>
        <v>2801916</v>
      </c>
      <c r="D330" s="124">
        <f>'Workforce &amp; Expenses'!E382</f>
        <v>1855832</v>
      </c>
      <c r="E330" s="124">
        <f t="shared" si="22"/>
        <v>946084</v>
      </c>
      <c r="F330" s="124">
        <f t="shared" si="23"/>
        <v>2801916</v>
      </c>
      <c r="G330" s="124">
        <f>'Manufacturing &amp; Production'!K53</f>
        <v>1190640</v>
      </c>
      <c r="H330" s="124">
        <f t="shared" si="24"/>
        <v>3992556</v>
      </c>
      <c r="I330" s="137">
        <f>IFERROR(G330/'Revenue &amp; Demand'!E290,0)</f>
        <v>0.08</v>
      </c>
      <c r="J330" s="124">
        <f>'Manufacturing &amp; Production'!S53</f>
        <v>2277458</v>
      </c>
      <c r="K330" s="124">
        <f>ROUND('Revenue &amp; Demand'!J290*IFERROR(SUM('Monthly Data'!$K$86:$K$97)/SUM('Monthly Data'!$G$86:$G$97),0),0)</f>
        <v>16471</v>
      </c>
      <c r="L330" s="124">
        <f t="shared" si="25"/>
        <v>0</v>
      </c>
      <c r="M330" s="138"/>
    </row>
    <row r="331">
      <c r="A331" s="126">
        <f>'Monthly Data'!A127</f>
        <v>46905</v>
      </c>
      <c r="B331" s="127">
        <f>'Revenue &amp; Demand'!C291</f>
        <v>10074</v>
      </c>
      <c r="C331" s="124">
        <f>'Manufacturing &amp; Production'!J54</f>
        <v>2826172</v>
      </c>
      <c r="D331" s="124">
        <f>'Workforce &amp; Expenses'!E383</f>
        <v>1867219</v>
      </c>
      <c r="E331" s="124">
        <f t="shared" si="22"/>
        <v>958953</v>
      </c>
      <c r="F331" s="124">
        <f t="shared" si="23"/>
        <v>2826172</v>
      </c>
      <c r="G331" s="124">
        <f>'Manufacturing &amp; Production'!K54</f>
        <v>1208880</v>
      </c>
      <c r="H331" s="124">
        <f t="shared" si="24"/>
        <v>4035052</v>
      </c>
      <c r="I331" s="137">
        <f>IFERROR(G331/'Revenue &amp; Demand'!E291,0)</f>
        <v>0.08</v>
      </c>
      <c r="J331" s="124">
        <f>'Manufacturing &amp; Production'!S54</f>
        <v>2319598</v>
      </c>
      <c r="K331" s="124">
        <f>ROUND('Revenue &amp; Demand'!J291*IFERROR(SUM('Monthly Data'!$K$86:$K$97)/SUM('Monthly Data'!$G$86:$G$97),0),0)</f>
        <v>102941</v>
      </c>
      <c r="L331" s="124">
        <f t="shared" si="25"/>
        <v>0</v>
      </c>
      <c r="M331" s="138"/>
    </row>
    <row r="332">
      <c r="A332" s="126">
        <f>'Monthly Data'!A128</f>
        <v>46935</v>
      </c>
      <c r="B332" s="127">
        <f>'Revenue &amp; Demand'!C292</f>
        <v>10228</v>
      </c>
      <c r="C332" s="124">
        <f>'Manufacturing &amp; Production'!J55</f>
        <v>2850597</v>
      </c>
      <c r="D332" s="124">
        <f>'Workforce &amp; Expenses'!E384</f>
        <v>1878606</v>
      </c>
      <c r="E332" s="124">
        <f t="shared" si="22"/>
        <v>971991</v>
      </c>
      <c r="F332" s="124">
        <f t="shared" si="23"/>
        <v>2850597</v>
      </c>
      <c r="G332" s="124">
        <f>'Manufacturing &amp; Production'!K55</f>
        <v>1227360</v>
      </c>
      <c r="H332" s="124">
        <f t="shared" si="24"/>
        <v>4077957</v>
      </c>
      <c r="I332" s="137">
        <f>IFERROR(G332/'Revenue &amp; Demand'!E292,0)</f>
        <v>0.08</v>
      </c>
      <c r="J332" s="124">
        <f>'Manufacturing &amp; Production'!S55</f>
        <v>2363042</v>
      </c>
      <c r="K332" s="124">
        <f>ROUND('Revenue &amp; Demand'!J292*IFERROR(SUM('Monthly Data'!$K$86:$K$97)/SUM('Monthly Data'!$G$86:$G$97),0),0)</f>
        <v>16471</v>
      </c>
      <c r="L332" s="124">
        <f t="shared" si="25"/>
        <v>0</v>
      </c>
      <c r="M332" s="138"/>
    </row>
    <row r="333">
      <c r="A333" s="126">
        <f>'Monthly Data'!A129</f>
        <v>46966</v>
      </c>
      <c r="B333" s="127">
        <f>'Revenue &amp; Demand'!C293</f>
        <v>10385</v>
      </c>
      <c r="C333" s="124">
        <f>'Manufacturing &amp; Production'!J56</f>
        <v>2903248</v>
      </c>
      <c r="D333" s="124">
        <f>'Workforce &amp; Expenses'!E385</f>
        <v>1917966</v>
      </c>
      <c r="E333" s="124">
        <f t="shared" si="22"/>
        <v>985282</v>
      </c>
      <c r="F333" s="124">
        <f t="shared" si="23"/>
        <v>2903248</v>
      </c>
      <c r="G333" s="124">
        <f>'Manufacturing &amp; Production'!K56</f>
        <v>1246200</v>
      </c>
      <c r="H333" s="124">
        <f t="shared" si="24"/>
        <v>4149448</v>
      </c>
      <c r="I333" s="137">
        <f>IFERROR(G333/'Revenue &amp; Demand'!E293,0)</f>
        <v>0.08</v>
      </c>
      <c r="J333" s="124">
        <f>'Manufacturing &amp; Production'!S56</f>
        <v>2406919</v>
      </c>
      <c r="K333" s="124">
        <f>ROUND('Revenue &amp; Demand'!J293*IFERROR(SUM('Monthly Data'!$K$86:$K$97)/SUM('Monthly Data'!$G$86:$G$97),0),0)</f>
        <v>16471</v>
      </c>
      <c r="L333" s="124">
        <f t="shared" si="25"/>
        <v>0</v>
      </c>
      <c r="M333" s="138"/>
    </row>
    <row r="334">
      <c r="A334" s="126">
        <f>'Monthly Data'!A130</f>
        <v>46997</v>
      </c>
      <c r="B334" s="127">
        <f>'Revenue &amp; Demand'!C294</f>
        <v>10544</v>
      </c>
      <c r="C334" s="124">
        <f>'Manufacturing &amp; Production'!J57</f>
        <v>2928096</v>
      </c>
      <c r="D334" s="124">
        <f>'Workforce &amp; Expenses'!E386</f>
        <v>1929353</v>
      </c>
      <c r="E334" s="124">
        <f t="shared" si="22"/>
        <v>998743</v>
      </c>
      <c r="F334" s="124">
        <f t="shared" si="23"/>
        <v>2928096</v>
      </c>
      <c r="G334" s="124">
        <f>'Manufacturing &amp; Production'!K57</f>
        <v>1265280</v>
      </c>
      <c r="H334" s="124">
        <f t="shared" si="24"/>
        <v>4193376</v>
      </c>
      <c r="I334" s="137">
        <f>IFERROR(G334/'Revenue &amp; Demand'!E294,0)</f>
        <v>0.08</v>
      </c>
      <c r="J334" s="124">
        <f>'Manufacturing &amp; Production'!S57</f>
        <v>2452102</v>
      </c>
      <c r="K334" s="124">
        <f>ROUND('Revenue &amp; Demand'!J294*IFERROR(SUM('Monthly Data'!$K$86:$K$97)/SUM('Monthly Data'!$G$86:$G$97),0),0)</f>
        <v>102941</v>
      </c>
      <c r="L334" s="124">
        <f t="shared" si="25"/>
        <v>0</v>
      </c>
      <c r="M334" s="138"/>
    </row>
    <row r="335">
      <c r="A335" s="126">
        <f>'Monthly Data'!A131</f>
        <v>47027</v>
      </c>
      <c r="B335" s="127">
        <f>'Revenue &amp; Demand'!C295</f>
        <v>10705</v>
      </c>
      <c r="C335" s="124">
        <f>'Manufacturing &amp; Production'!J58</f>
        <v>2953113</v>
      </c>
      <c r="D335" s="124">
        <f>'Workforce &amp; Expenses'!E387</f>
        <v>1940740</v>
      </c>
      <c r="E335" s="124">
        <f t="shared" si="22"/>
        <v>1012373</v>
      </c>
      <c r="F335" s="124">
        <f t="shared" si="23"/>
        <v>2953113</v>
      </c>
      <c r="G335" s="124">
        <f>'Manufacturing &amp; Production'!K58</f>
        <v>1284600</v>
      </c>
      <c r="H335" s="124">
        <f t="shared" si="24"/>
        <v>4237713</v>
      </c>
      <c r="I335" s="137">
        <f>IFERROR(G335/'Revenue &amp; Demand'!E295,0)</f>
        <v>0.08</v>
      </c>
      <c r="J335" s="124">
        <f>'Manufacturing &amp; Production'!S58</f>
        <v>2497717</v>
      </c>
      <c r="K335" s="124">
        <f>ROUND('Revenue &amp; Demand'!J295*IFERROR(SUM('Monthly Data'!$K$86:$K$97)/SUM('Monthly Data'!$G$86:$G$97),0),0)</f>
        <v>16471</v>
      </c>
      <c r="L335" s="124">
        <f t="shared" si="25"/>
        <v>0</v>
      </c>
      <c r="M335" s="138"/>
    </row>
    <row r="336">
      <c r="A336" s="126">
        <f>'Monthly Data'!A132</f>
        <v>47058</v>
      </c>
      <c r="B336" s="127">
        <f>'Revenue &amp; Demand'!C296</f>
        <v>10869</v>
      </c>
      <c r="C336" s="124">
        <f>'Manufacturing &amp; Production'!J59</f>
        <v>3006357</v>
      </c>
      <c r="D336" s="124">
        <f>'Workforce &amp; Expenses'!E388</f>
        <v>1980099</v>
      </c>
      <c r="E336" s="124">
        <f t="shared" si="22"/>
        <v>1026258</v>
      </c>
      <c r="F336" s="124">
        <f t="shared" si="23"/>
        <v>3006357</v>
      </c>
      <c r="G336" s="124">
        <f>'Manufacturing &amp; Production'!K59</f>
        <v>1304280</v>
      </c>
      <c r="H336" s="124">
        <f t="shared" si="24"/>
        <v>4310637</v>
      </c>
      <c r="I336" s="137">
        <f>IFERROR(G336/'Revenue &amp; Demand'!E296,0)</f>
        <v>0.08</v>
      </c>
      <c r="J336" s="124">
        <f>'Manufacturing &amp; Production'!S59</f>
        <v>2544637</v>
      </c>
      <c r="K336" s="124">
        <f>ROUND('Revenue &amp; Demand'!J296*IFERROR(SUM('Monthly Data'!$K$86:$K$97)/SUM('Monthly Data'!$G$86:$G$97),0),0)</f>
        <v>16471</v>
      </c>
      <c r="L336" s="124">
        <f t="shared" si="25"/>
        <v>0</v>
      </c>
      <c r="M336" s="138"/>
    </row>
    <row r="337">
      <c r="A337" s="126">
        <f>'Monthly Data'!A133</f>
        <v>47088</v>
      </c>
      <c r="B337" s="127">
        <f>'Revenue &amp; Demand'!C297</f>
        <v>11035</v>
      </c>
      <c r="C337" s="124">
        <f>'Manufacturing &amp; Production'!J60</f>
        <v>3031797</v>
      </c>
      <c r="D337" s="124">
        <f>'Workforce &amp; Expenses'!E389</f>
        <v>1991486</v>
      </c>
      <c r="E337" s="124">
        <f t="shared" si="22"/>
        <v>1040311</v>
      </c>
      <c r="F337" s="124">
        <f t="shared" si="23"/>
        <v>3031797</v>
      </c>
      <c r="G337" s="124">
        <f>'Manufacturing &amp; Production'!K60</f>
        <v>1324200</v>
      </c>
      <c r="H337" s="124">
        <f t="shared" si="24"/>
        <v>4355997</v>
      </c>
      <c r="I337" s="137">
        <f>IFERROR(G337/'Revenue &amp; Demand'!E297,0)</f>
        <v>0.08</v>
      </c>
      <c r="J337" s="124">
        <f>'Manufacturing &amp; Production'!S60</f>
        <v>2592426</v>
      </c>
      <c r="K337" s="124">
        <f>ROUND('Revenue &amp; Demand'!J297*IFERROR(SUM('Monthly Data'!$K$86:$K$97)/SUM('Monthly Data'!$G$86:$G$97),0),0)</f>
        <v>119412</v>
      </c>
      <c r="L337" s="124">
        <f t="shared" si="25"/>
        <v>0</v>
      </c>
      <c r="M337" s="138"/>
    </row>
    <row r="338">
      <c r="A338" s="126">
        <f>'Monthly Data'!A134</f>
        <v>47119</v>
      </c>
      <c r="B338" s="127">
        <f>'Revenue &amp; Demand'!C298</f>
        <v>11164</v>
      </c>
      <c r="C338" s="124">
        <f>'Manufacturing &amp; Production'!J61</f>
        <v>3145730</v>
      </c>
      <c r="D338" s="124">
        <f>'Workforce &amp; Expenses'!E390</f>
        <v>2062960</v>
      </c>
      <c r="E338" s="124">
        <f t="shared" si="22"/>
        <v>1082770</v>
      </c>
      <c r="F338" s="124">
        <f t="shared" si="23"/>
        <v>3145730</v>
      </c>
      <c r="G338" s="124">
        <f>'Manufacturing &amp; Production'!K61</f>
        <v>1339680</v>
      </c>
      <c r="H338" s="124">
        <f t="shared" si="24"/>
        <v>4485410</v>
      </c>
      <c r="I338" s="137">
        <f>IFERROR(G338/'Revenue &amp; Demand'!E298,0)</f>
        <v>0.08</v>
      </c>
      <c r="J338" s="124">
        <f>'Manufacturing &amp; Production'!S61</f>
        <v>2720315</v>
      </c>
      <c r="K338" s="124">
        <f>ROUND('Revenue &amp; Demand'!J298*IFERROR(SUM('Monthly Data'!$K$86:$K$97)/SUM('Monthly Data'!$G$86:$G$97),0),0)</f>
        <v>16471</v>
      </c>
      <c r="L338" s="124">
        <f t="shared" si="25"/>
        <v>0</v>
      </c>
      <c r="M338" s="138"/>
    </row>
    <row r="339">
      <c r="A339" s="126">
        <f>'Monthly Data'!A135</f>
        <v>47150</v>
      </c>
      <c r="B339" s="127">
        <f>'Revenue &amp; Demand'!C299</f>
        <v>11295</v>
      </c>
      <c r="C339" s="124">
        <f>'Manufacturing &amp; Production'!J62</f>
        <v>3197692</v>
      </c>
      <c r="D339" s="124">
        <f>'Workforce &amp; Expenses'!E391</f>
        <v>2103500</v>
      </c>
      <c r="E339" s="124">
        <f t="shared" si="22"/>
        <v>1094192</v>
      </c>
      <c r="F339" s="124">
        <f t="shared" si="23"/>
        <v>3197692</v>
      </c>
      <c r="G339" s="124">
        <f>'Manufacturing &amp; Production'!K62</f>
        <v>1355400</v>
      </c>
      <c r="H339" s="124">
        <f t="shared" si="24"/>
        <v>4553092</v>
      </c>
      <c r="I339" s="137">
        <f>IFERROR(G339/'Revenue &amp; Demand'!E299,0)</f>
        <v>0.08</v>
      </c>
      <c r="J339" s="124">
        <f>'Manufacturing &amp; Production'!S62</f>
        <v>2771327</v>
      </c>
      <c r="K339" s="124">
        <f>ROUND('Revenue &amp; Demand'!J299*IFERROR(SUM('Monthly Data'!$K$86:$K$97)/SUM('Monthly Data'!$G$86:$G$97),0),0)</f>
        <v>16471</v>
      </c>
      <c r="L339" s="124">
        <f t="shared" si="25"/>
        <v>0</v>
      </c>
      <c r="M339" s="138"/>
    </row>
    <row r="340">
      <c r="A340" s="126">
        <f>'Monthly Data'!A136</f>
        <v>47178</v>
      </c>
      <c r="B340" s="127">
        <f>'Revenue &amp; Demand'!C300</f>
        <v>11427</v>
      </c>
      <c r="C340" s="124">
        <f>'Manufacturing &amp; Production'!J63</f>
        <v>3220931</v>
      </c>
      <c r="D340" s="124">
        <f>'Workforce &amp; Expenses'!E392</f>
        <v>2115228</v>
      </c>
      <c r="E340" s="124">
        <f t="shared" si="22"/>
        <v>1105703</v>
      </c>
      <c r="F340" s="124">
        <f t="shared" si="23"/>
        <v>3220931</v>
      </c>
      <c r="G340" s="124">
        <f>'Manufacturing &amp; Production'!K63</f>
        <v>1371240</v>
      </c>
      <c r="H340" s="124">
        <f t="shared" si="24"/>
        <v>4592171</v>
      </c>
      <c r="I340" s="137">
        <f>IFERROR(G340/'Revenue &amp; Demand'!E300,0)</f>
        <v>0.08</v>
      </c>
      <c r="J340" s="124">
        <f>'Manufacturing &amp; Production'!S63</f>
        <v>2823681</v>
      </c>
      <c r="K340" s="124">
        <f>ROUND('Revenue &amp; Demand'!J300*IFERROR(SUM('Monthly Data'!$K$86:$K$97)/SUM('Monthly Data'!$G$86:$G$97),0),0)</f>
        <v>102941</v>
      </c>
      <c r="L340" s="124">
        <f t="shared" si="25"/>
        <v>0</v>
      </c>
      <c r="M340" s="138"/>
    </row>
    <row r="341">
      <c r="A341" s="126">
        <f>'Monthly Data'!A137</f>
        <v>47209</v>
      </c>
      <c r="B341" s="127">
        <f>'Revenue &amp; Demand'!C301</f>
        <v>11561</v>
      </c>
      <c r="C341" s="124">
        <f>'Manufacturing &amp; Production'!J64</f>
        <v>3256073</v>
      </c>
      <c r="D341" s="124">
        <f>'Workforce &amp; Expenses'!E393</f>
        <v>2138686</v>
      </c>
      <c r="E341" s="124">
        <f t="shared" si="22"/>
        <v>1117387</v>
      </c>
      <c r="F341" s="124">
        <f t="shared" si="23"/>
        <v>3256073</v>
      </c>
      <c r="G341" s="124">
        <f>'Manufacturing &amp; Production'!K64</f>
        <v>1387320</v>
      </c>
      <c r="H341" s="124">
        <f t="shared" si="24"/>
        <v>4643393</v>
      </c>
      <c r="I341" s="137">
        <f>IFERROR(G341/'Revenue &amp; Demand'!E301,0)</f>
        <v>0.08</v>
      </c>
      <c r="J341" s="124">
        <f>'Manufacturing &amp; Production'!S64</f>
        <v>2876929</v>
      </c>
      <c r="K341" s="124">
        <f>ROUND('Revenue &amp; Demand'!J301*IFERROR(SUM('Monthly Data'!$K$86:$K$97)/SUM('Monthly Data'!$G$86:$G$97),0),0)</f>
        <v>16471</v>
      </c>
      <c r="L341" s="124">
        <f t="shared" si="25"/>
        <v>0</v>
      </c>
      <c r="M341" s="138"/>
    </row>
    <row r="342">
      <c r="A342" s="126">
        <f>'Monthly Data'!A138</f>
        <v>47239</v>
      </c>
      <c r="B342" s="127">
        <f>'Revenue &amp; Demand'!C302</f>
        <v>11697</v>
      </c>
      <c r="C342" s="124">
        <f>'Manufacturing &amp; Production'!J65</f>
        <v>3296744</v>
      </c>
      <c r="D342" s="124">
        <f>'Workforce &amp; Expenses'!E394</f>
        <v>2167497</v>
      </c>
      <c r="E342" s="124">
        <f t="shared" si="22"/>
        <v>1129247</v>
      </c>
      <c r="F342" s="124">
        <f t="shared" si="23"/>
        <v>3296744</v>
      </c>
      <c r="G342" s="124">
        <f>'Manufacturing &amp; Production'!K65</f>
        <v>1403640</v>
      </c>
      <c r="H342" s="124">
        <f t="shared" si="24"/>
        <v>4700384</v>
      </c>
      <c r="I342" s="137">
        <f>IFERROR(G342/'Revenue &amp; Demand'!E302,0)</f>
        <v>0.08</v>
      </c>
      <c r="J342" s="124">
        <f>'Manufacturing &amp; Production'!S65</f>
        <v>2931074</v>
      </c>
      <c r="K342" s="124">
        <f>ROUND('Revenue &amp; Demand'!J302*IFERROR(SUM('Monthly Data'!$K$86:$K$97)/SUM('Monthly Data'!$G$86:$G$97),0),0)</f>
        <v>16471</v>
      </c>
      <c r="L342" s="124">
        <f t="shared" si="25"/>
        <v>0</v>
      </c>
      <c r="M342" s="138"/>
    </row>
    <row r="343">
      <c r="A343" s="126">
        <f>'Monthly Data'!A139</f>
        <v>47270</v>
      </c>
      <c r="B343" s="127">
        <f>'Revenue &amp; Demand'!C303</f>
        <v>11834</v>
      </c>
      <c r="C343" s="124">
        <f>'Manufacturing &amp; Production'!J66</f>
        <v>3332148</v>
      </c>
      <c r="D343" s="124">
        <f>'Workforce &amp; Expenses'!E395</f>
        <v>2190954</v>
      </c>
      <c r="E343" s="124">
        <f t="shared" si="22"/>
        <v>1141194</v>
      </c>
      <c r="F343" s="124">
        <f t="shared" si="23"/>
        <v>3332148</v>
      </c>
      <c r="G343" s="124">
        <f>'Manufacturing &amp; Production'!K66</f>
        <v>1420080</v>
      </c>
      <c r="H343" s="124">
        <f t="shared" si="24"/>
        <v>4752228</v>
      </c>
      <c r="I343" s="137">
        <f>IFERROR(G343/'Revenue &amp; Demand'!E303,0)</f>
        <v>0.08</v>
      </c>
      <c r="J343" s="124">
        <f>'Manufacturing &amp; Production'!S66</f>
        <v>2986560</v>
      </c>
      <c r="K343" s="124">
        <f>ROUND('Revenue &amp; Demand'!J303*IFERROR(SUM('Monthly Data'!$K$86:$K$97)/SUM('Monthly Data'!$G$86:$G$97),0),0)</f>
        <v>102941</v>
      </c>
      <c r="L343" s="124">
        <f t="shared" si="25"/>
        <v>0</v>
      </c>
      <c r="M343" s="138"/>
    </row>
    <row r="344">
      <c r="A344" s="126">
        <f>'Monthly Data'!A140</f>
        <v>47300</v>
      </c>
      <c r="B344" s="127">
        <f>'Revenue &amp; Demand'!C304</f>
        <v>11972</v>
      </c>
      <c r="C344" s="124">
        <f>'Manufacturing &amp; Production'!J67</f>
        <v>3355910</v>
      </c>
      <c r="D344" s="124">
        <f>'Workforce &amp; Expenses'!E396</f>
        <v>2202683</v>
      </c>
      <c r="E344" s="124">
        <f t="shared" si="22"/>
        <v>1153227</v>
      </c>
      <c r="F344" s="124">
        <f t="shared" si="23"/>
        <v>3355910</v>
      </c>
      <c r="G344" s="124">
        <f>'Manufacturing &amp; Production'!K67</f>
        <v>1436640</v>
      </c>
      <c r="H344" s="124">
        <f t="shared" si="24"/>
        <v>4792550</v>
      </c>
      <c r="I344" s="137">
        <f>IFERROR(G344/'Revenue &amp; Demand'!E304,0)</f>
        <v>0.08</v>
      </c>
      <c r="J344" s="124">
        <f>'Manufacturing &amp; Production'!S67</f>
        <v>3042942</v>
      </c>
      <c r="K344" s="124">
        <f>ROUND('Revenue &amp; Demand'!J304*IFERROR(SUM('Monthly Data'!$K$86:$K$97)/SUM('Monthly Data'!$G$86:$G$97),0),0)</f>
        <v>16471</v>
      </c>
      <c r="L344" s="124">
        <f t="shared" si="25"/>
        <v>0</v>
      </c>
      <c r="M344" s="138"/>
    </row>
    <row r="345">
      <c r="A345" s="126">
        <f>'Monthly Data'!A141</f>
        <v>47331</v>
      </c>
      <c r="B345" s="127">
        <f>'Revenue &amp; Demand'!C305</f>
        <v>12113</v>
      </c>
      <c r="C345" s="124">
        <f>'Manufacturing &amp; Production'!J68</f>
        <v>3397018</v>
      </c>
      <c r="D345" s="124">
        <f>'Workforce &amp; Expenses'!E397</f>
        <v>2231495</v>
      </c>
      <c r="E345" s="124">
        <f t="shared" si="22"/>
        <v>1165523</v>
      </c>
      <c r="F345" s="124">
        <f t="shared" si="23"/>
        <v>3397018</v>
      </c>
      <c r="G345" s="124">
        <f>'Manufacturing &amp; Production'!K68</f>
        <v>1453560</v>
      </c>
      <c r="H345" s="124">
        <f t="shared" si="24"/>
        <v>4850578</v>
      </c>
      <c r="I345" s="137">
        <f>IFERROR(G345/'Revenue &amp; Demand'!E305,0)</f>
        <v>0.08</v>
      </c>
      <c r="J345" s="124">
        <f>'Manufacturing &amp; Production'!S68</f>
        <v>3100218</v>
      </c>
      <c r="K345" s="124">
        <f>ROUND('Revenue &amp; Demand'!J305*IFERROR(SUM('Monthly Data'!$K$86:$K$97)/SUM('Monthly Data'!$G$86:$G$97),0),0)</f>
        <v>16471</v>
      </c>
      <c r="L345" s="124">
        <f t="shared" si="25"/>
        <v>0</v>
      </c>
      <c r="M345" s="138"/>
    </row>
    <row r="346">
      <c r="A346" s="126">
        <f>'Monthly Data'!A142</f>
        <v>47362</v>
      </c>
      <c r="B346" s="127">
        <f>'Revenue &amp; Demand'!C306</f>
        <v>12255</v>
      </c>
      <c r="C346" s="124">
        <f>'Manufacturing &amp; Production'!J69</f>
        <v>3432856</v>
      </c>
      <c r="D346" s="124">
        <f>'Workforce &amp; Expenses'!E398</f>
        <v>2254952</v>
      </c>
      <c r="E346" s="124">
        <f t="shared" si="22"/>
        <v>1177904</v>
      </c>
      <c r="F346" s="124">
        <f t="shared" si="23"/>
        <v>3432856</v>
      </c>
      <c r="G346" s="124">
        <f>'Manufacturing &amp; Production'!K69</f>
        <v>1470600</v>
      </c>
      <c r="H346" s="124">
        <f t="shared" si="24"/>
        <v>4903456</v>
      </c>
      <c r="I346" s="137">
        <f>IFERROR(G346/'Revenue &amp; Demand'!E306,0)</f>
        <v>0.08</v>
      </c>
      <c r="J346" s="124">
        <f>'Manufacturing &amp; Production'!S69</f>
        <v>3159284</v>
      </c>
      <c r="K346" s="124">
        <f>ROUND('Revenue &amp; Demand'!J306*IFERROR(SUM('Monthly Data'!$K$86:$K$97)/SUM('Monthly Data'!$G$86:$G$97),0),0)</f>
        <v>102941</v>
      </c>
      <c r="L346" s="124">
        <f t="shared" si="25"/>
        <v>0</v>
      </c>
      <c r="M346" s="138"/>
    </row>
    <row r="347">
      <c r="A347" s="126">
        <f>'Monthly Data'!A143</f>
        <v>47392</v>
      </c>
      <c r="B347" s="127">
        <f>'Revenue &amp; Demand'!C307</f>
        <v>12398</v>
      </c>
      <c r="C347" s="124">
        <f>'Manufacturing &amp; Production'!J70</f>
        <v>3457054</v>
      </c>
      <c r="D347" s="124">
        <f>'Workforce &amp; Expenses'!E399</f>
        <v>2266680</v>
      </c>
      <c r="E347" s="124">
        <f t="shared" si="22"/>
        <v>1190374</v>
      </c>
      <c r="F347" s="124">
        <f t="shared" si="23"/>
        <v>3457054</v>
      </c>
      <c r="G347" s="124">
        <f>'Manufacturing &amp; Production'!K70</f>
        <v>1487760</v>
      </c>
      <c r="H347" s="124">
        <f t="shared" si="24"/>
        <v>4944814</v>
      </c>
      <c r="I347" s="137">
        <f>IFERROR(G347/'Revenue &amp; Demand'!E307,0)</f>
        <v>0.08</v>
      </c>
      <c r="J347" s="124">
        <f>'Manufacturing &amp; Production'!S70</f>
        <v>3219246</v>
      </c>
      <c r="K347" s="124">
        <f>ROUND('Revenue &amp; Demand'!J307*IFERROR(SUM('Monthly Data'!$K$86:$K$97)/SUM('Monthly Data'!$G$86:$G$97),0),0)</f>
        <v>16471</v>
      </c>
      <c r="L347" s="124">
        <f t="shared" si="25"/>
        <v>0</v>
      </c>
      <c r="M347" s="138"/>
    </row>
    <row r="348">
      <c r="A348" s="126">
        <f>'Monthly Data'!A144</f>
        <v>47423</v>
      </c>
      <c r="B348" s="127">
        <f>'Revenue &amp; Demand'!C308</f>
        <v>12543</v>
      </c>
      <c r="C348" s="124">
        <f>'Manufacturing &amp; Production'!J71</f>
        <v>3510239</v>
      </c>
      <c r="D348" s="124">
        <f>'Workforce &amp; Expenses'!E400</f>
        <v>2307221</v>
      </c>
      <c r="E348" s="124">
        <f t="shared" si="22"/>
        <v>1203018</v>
      </c>
      <c r="F348" s="124">
        <f t="shared" si="23"/>
        <v>3510239</v>
      </c>
      <c r="G348" s="124">
        <f>'Manufacturing &amp; Production'!K71</f>
        <v>1505160</v>
      </c>
      <c r="H348" s="124">
        <f t="shared" si="24"/>
        <v>5015399</v>
      </c>
      <c r="I348" s="137">
        <f>IFERROR(G348/'Revenue &amp; Demand'!E308,0)</f>
        <v>0.08</v>
      </c>
      <c r="J348" s="124">
        <f>'Manufacturing &amp; Production'!S71</f>
        <v>3280102</v>
      </c>
      <c r="K348" s="124">
        <f>ROUND('Revenue &amp; Demand'!J308*IFERROR(SUM('Monthly Data'!$K$86:$K$97)/SUM('Monthly Data'!$G$86:$G$97),0),0)</f>
        <v>16471</v>
      </c>
      <c r="L348" s="124">
        <f t="shared" si="25"/>
        <v>0</v>
      </c>
      <c r="M348" s="138"/>
    </row>
    <row r="349">
      <c r="A349" s="126">
        <f>'Monthly Data'!A145</f>
        <v>47453</v>
      </c>
      <c r="B349" s="127">
        <f>'Revenue &amp; Demand'!C309</f>
        <v>12690</v>
      </c>
      <c r="C349" s="124">
        <f>'Manufacturing &amp; Production'!J72</f>
        <v>3534786</v>
      </c>
      <c r="D349" s="124">
        <f>'Workforce &amp; Expenses'!E401</f>
        <v>2318949</v>
      </c>
      <c r="E349" s="124">
        <f t="shared" si="22"/>
        <v>1215837</v>
      </c>
      <c r="F349" s="124">
        <f t="shared" si="23"/>
        <v>3534786</v>
      </c>
      <c r="G349" s="124">
        <f>'Manufacturing &amp; Production'!K72</f>
        <v>1522800</v>
      </c>
      <c r="H349" s="124">
        <f t="shared" si="24"/>
        <v>5057586</v>
      </c>
      <c r="I349" s="137">
        <f>IFERROR(G349/'Revenue &amp; Demand'!E309,0)</f>
        <v>0.08</v>
      </c>
      <c r="J349" s="124">
        <f>'Manufacturing &amp; Production'!S72</f>
        <v>3342301</v>
      </c>
      <c r="K349" s="124">
        <f>ROUND('Revenue &amp; Demand'!J309*IFERROR(SUM('Monthly Data'!$K$86:$K$97)/SUM('Monthly Data'!$G$86:$G$97),0),0)</f>
        <v>119412</v>
      </c>
      <c r="L349" s="124">
        <f t="shared" si="25"/>
        <v>0</v>
      </c>
      <c r="M349" s="138"/>
    </row>
    <row r="350">
      <c r="A350" s="126">
        <f>'Monthly Data'!A146</f>
        <v>47484</v>
      </c>
      <c r="B350" s="127">
        <f>'Revenue &amp; Demand'!C310</f>
        <v>12810</v>
      </c>
      <c r="C350" s="124">
        <f>'Manufacturing &amp; Production'!J73</f>
        <v>3663687</v>
      </c>
      <c r="D350" s="124">
        <f>'Workforce &amp; Expenses'!E402</f>
        <v>2400598</v>
      </c>
      <c r="E350" s="124">
        <f t="shared" si="22"/>
        <v>1263089</v>
      </c>
      <c r="F350" s="124">
        <f t="shared" si="23"/>
        <v>3663687</v>
      </c>
      <c r="G350" s="124">
        <f>'Manufacturing &amp; Production'!K73</f>
        <v>1537200</v>
      </c>
      <c r="H350" s="124">
        <f t="shared" si="24"/>
        <v>5200887</v>
      </c>
      <c r="I350" s="137">
        <f>IFERROR(G350/'Revenue &amp; Demand'!E310,0)</f>
        <v>0.08</v>
      </c>
      <c r="J350" s="124">
        <f>'Manufacturing &amp; Production'!S73</f>
        <v>3508016</v>
      </c>
      <c r="K350" s="124">
        <f>ROUND('Revenue &amp; Demand'!J310*IFERROR(SUM('Monthly Data'!$K$86:$K$97)/SUM('Monthly Data'!$G$86:$G$97),0),0)</f>
        <v>16471</v>
      </c>
      <c r="L350" s="124">
        <f t="shared" si="25"/>
        <v>0</v>
      </c>
      <c r="M350" s="138"/>
    </row>
    <row r="351">
      <c r="A351" s="126">
        <f>'Monthly Data'!A147</f>
        <v>47515</v>
      </c>
      <c r="B351" s="127">
        <f>'Revenue &amp; Demand'!C311</f>
        <v>12932</v>
      </c>
      <c r="C351" s="124">
        <f>'Manufacturing &amp; Production'!J74</f>
        <v>3704320</v>
      </c>
      <c r="D351" s="124">
        <f>'Workforce &amp; Expenses'!E403</f>
        <v>2430274</v>
      </c>
      <c r="E351" s="124">
        <f t="shared" si="22"/>
        <v>1274046</v>
      </c>
      <c r="F351" s="124">
        <f t="shared" si="23"/>
        <v>3704320</v>
      </c>
      <c r="G351" s="124">
        <f>'Manufacturing &amp; Production'!K74</f>
        <v>1551840</v>
      </c>
      <c r="H351" s="124">
        <f t="shared" si="24"/>
        <v>5256160</v>
      </c>
      <c r="I351" s="137">
        <f>IFERROR(G351/'Revenue &amp; Demand'!E311,0)</f>
        <v>0.08</v>
      </c>
      <c r="J351" s="124">
        <f>'Manufacturing &amp; Production'!S74</f>
        <v>3574846</v>
      </c>
      <c r="K351" s="124">
        <f>ROUND('Revenue &amp; Demand'!J311*IFERROR(SUM('Monthly Data'!$K$86:$K$97)/SUM('Monthly Data'!$G$86:$G$97),0),0)</f>
        <v>16471</v>
      </c>
      <c r="L351" s="124">
        <f t="shared" si="25"/>
        <v>0</v>
      </c>
      <c r="M351" s="138"/>
    </row>
    <row r="352">
      <c r="A352" s="126">
        <f>'Monthly Data'!A148</f>
        <v>47543</v>
      </c>
      <c r="B352" s="127">
        <f>'Revenue &amp; Demand'!C312</f>
        <v>13055</v>
      </c>
      <c r="C352" s="124">
        <f>'Manufacturing &amp; Production'!J75</f>
        <v>3739527</v>
      </c>
      <c r="D352" s="124">
        <f>'Workforce &amp; Expenses'!E404</f>
        <v>2454434</v>
      </c>
      <c r="E352" s="124">
        <f t="shared" si="22"/>
        <v>1285093</v>
      </c>
      <c r="F352" s="124">
        <f t="shared" si="23"/>
        <v>3739527</v>
      </c>
      <c r="G352" s="124">
        <f>'Manufacturing &amp; Production'!K75</f>
        <v>1566600</v>
      </c>
      <c r="H352" s="124">
        <f t="shared" si="24"/>
        <v>5306127</v>
      </c>
      <c r="I352" s="137">
        <f>IFERROR(G352/'Revenue &amp; Demand'!E312,0)</f>
        <v>0.08</v>
      </c>
      <c r="J352" s="124">
        <f>'Manufacturing &amp; Production'!S75</f>
        <v>3643060</v>
      </c>
      <c r="K352" s="124">
        <f>ROUND('Revenue &amp; Demand'!J312*IFERROR(SUM('Monthly Data'!$K$86:$K$97)/SUM('Monthly Data'!$G$86:$G$97),0),0)</f>
        <v>102941</v>
      </c>
      <c r="L352" s="124">
        <f t="shared" si="25"/>
        <v>0</v>
      </c>
      <c r="M352" s="138"/>
    </row>
    <row r="353">
      <c r="A353" s="126">
        <f>'Monthly Data'!A149</f>
        <v>47574</v>
      </c>
      <c r="B353" s="127">
        <f>'Revenue &amp; Demand'!C313</f>
        <v>13179</v>
      </c>
      <c r="C353" s="124">
        <f>'Manufacturing &amp; Production'!J76</f>
        <v>3762746</v>
      </c>
      <c r="D353" s="124">
        <f>'Workforce &amp; Expenses'!E405</f>
        <v>2466515</v>
      </c>
      <c r="E353" s="124">
        <f t="shared" si="22"/>
        <v>1296231</v>
      </c>
      <c r="F353" s="124">
        <f t="shared" si="23"/>
        <v>3762746</v>
      </c>
      <c r="G353" s="124">
        <f>'Manufacturing &amp; Production'!K76</f>
        <v>1581480</v>
      </c>
      <c r="H353" s="124">
        <f t="shared" si="24"/>
        <v>5344226</v>
      </c>
      <c r="I353" s="137">
        <f>IFERROR(G353/'Revenue &amp; Demand'!E313,0)</f>
        <v>0.08</v>
      </c>
      <c r="J353" s="124">
        <f>'Manufacturing &amp; Production'!S76</f>
        <v>3712655</v>
      </c>
      <c r="K353" s="124">
        <f>ROUND('Revenue &amp; Demand'!J313*IFERROR(SUM('Monthly Data'!$K$86:$K$97)/SUM('Monthly Data'!$G$86:$G$97),0),0)</f>
        <v>16471</v>
      </c>
      <c r="L353" s="124">
        <f t="shared" si="25"/>
        <v>0</v>
      </c>
      <c r="M353" s="138"/>
    </row>
    <row r="354">
      <c r="A354" s="126">
        <f>'Monthly Data'!A150</f>
        <v>47604</v>
      </c>
      <c r="B354" s="127">
        <f>'Revenue &amp; Demand'!C314</f>
        <v>13304</v>
      </c>
      <c r="C354" s="124">
        <f>'Manufacturing &amp; Production'!J77</f>
        <v>3786052</v>
      </c>
      <c r="D354" s="124">
        <f>'Workforce &amp; Expenses'!E406</f>
        <v>2478595</v>
      </c>
      <c r="E354" s="124">
        <f t="shared" si="22"/>
        <v>1307457</v>
      </c>
      <c r="F354" s="124">
        <f t="shared" si="23"/>
        <v>3786052</v>
      </c>
      <c r="G354" s="124">
        <f>'Manufacturing &amp; Production'!K77</f>
        <v>1596480</v>
      </c>
      <c r="H354" s="124">
        <f t="shared" si="24"/>
        <v>5382532</v>
      </c>
      <c r="I354" s="137">
        <f>IFERROR(G354/'Revenue &amp; Demand'!E314,0)</f>
        <v>0.08</v>
      </c>
      <c r="J354" s="124">
        <f>'Manufacturing &amp; Production'!S77</f>
        <v>3783632</v>
      </c>
      <c r="K354" s="124">
        <f>ROUND('Revenue &amp; Demand'!J314*IFERROR(SUM('Monthly Data'!$K$86:$K$97)/SUM('Monthly Data'!$G$86:$G$97),0),0)</f>
        <v>16471</v>
      </c>
      <c r="L354" s="124">
        <f t="shared" si="25"/>
        <v>0</v>
      </c>
      <c r="M354" s="138"/>
    </row>
    <row r="355">
      <c r="A355" s="126">
        <f>'Monthly Data'!A151</f>
        <v>47635</v>
      </c>
      <c r="B355" s="127">
        <f>'Revenue &amp; Demand'!C315</f>
        <v>13430</v>
      </c>
      <c r="C355" s="124">
        <f>'Manufacturing &amp; Production'!J78</f>
        <v>3827046</v>
      </c>
      <c r="D355" s="124">
        <f>'Workforce &amp; Expenses'!E407</f>
        <v>2508272</v>
      </c>
      <c r="E355" s="124">
        <f t="shared" si="22"/>
        <v>1318774</v>
      </c>
      <c r="F355" s="124">
        <f t="shared" si="23"/>
        <v>3827046</v>
      </c>
      <c r="G355" s="124">
        <f>'Manufacturing &amp; Production'!K78</f>
        <v>1611600</v>
      </c>
      <c r="H355" s="124">
        <f t="shared" si="24"/>
        <v>5438646</v>
      </c>
      <c r="I355" s="137">
        <f>IFERROR(G355/'Revenue &amp; Demand'!E315,0)</f>
        <v>0.08</v>
      </c>
      <c r="J355" s="124">
        <f>'Manufacturing &amp; Production'!S78</f>
        <v>3855992</v>
      </c>
      <c r="K355" s="124">
        <f>ROUND('Revenue &amp; Demand'!J315*IFERROR(SUM('Monthly Data'!$K$86:$K$97)/SUM('Monthly Data'!$G$86:$G$97),0),0)</f>
        <v>102941</v>
      </c>
      <c r="L355" s="124">
        <f t="shared" si="25"/>
        <v>0</v>
      </c>
      <c r="M355" s="138"/>
    </row>
    <row r="356">
      <c r="A356" s="126">
        <f>'Monthly Data'!A152</f>
        <v>47665</v>
      </c>
      <c r="B356" s="127">
        <f>'Revenue &amp; Demand'!C316</f>
        <v>13557</v>
      </c>
      <c r="C356" s="124">
        <f>'Manufacturing &amp; Production'!J79</f>
        <v>3850532</v>
      </c>
      <c r="D356" s="124">
        <f>'Workforce &amp; Expenses'!E408</f>
        <v>2520352</v>
      </c>
      <c r="E356" s="124">
        <f t="shared" si="22"/>
        <v>1330180</v>
      </c>
      <c r="F356" s="124">
        <f t="shared" si="23"/>
        <v>3850532</v>
      </c>
      <c r="G356" s="124">
        <f>'Manufacturing &amp; Production'!K79</f>
        <v>1626840</v>
      </c>
      <c r="H356" s="124">
        <f t="shared" si="24"/>
        <v>5477372</v>
      </c>
      <c r="I356" s="137">
        <f>IFERROR(G356/'Revenue &amp; Demand'!E316,0)</f>
        <v>0.08</v>
      </c>
      <c r="J356" s="124">
        <f>'Manufacturing &amp; Production'!S79</f>
        <v>3929736</v>
      </c>
      <c r="K356" s="124">
        <f>ROUND('Revenue &amp; Demand'!J316*IFERROR(SUM('Monthly Data'!$K$86:$K$97)/SUM('Monthly Data'!$G$86:$G$97),0),0)</f>
        <v>16471</v>
      </c>
      <c r="L356" s="124">
        <f t="shared" si="25"/>
        <v>0</v>
      </c>
      <c r="M356" s="138"/>
    </row>
    <row r="357">
      <c r="A357" s="126">
        <f>'Monthly Data'!A153</f>
        <v>47696</v>
      </c>
      <c r="B357" s="127">
        <f>'Revenue &amp; Demand'!C317</f>
        <v>13686</v>
      </c>
      <c r="C357" s="124">
        <f>'Manufacturing &amp; Production'!J80</f>
        <v>3874201</v>
      </c>
      <c r="D357" s="124">
        <f>'Workforce &amp; Expenses'!E409</f>
        <v>2532433</v>
      </c>
      <c r="E357" s="124">
        <f t="shared" si="22"/>
        <v>1341768</v>
      </c>
      <c r="F357" s="124">
        <f t="shared" si="23"/>
        <v>3874201</v>
      </c>
      <c r="G357" s="124">
        <f>'Manufacturing &amp; Production'!K80</f>
        <v>1642320</v>
      </c>
      <c r="H357" s="124">
        <f t="shared" si="24"/>
        <v>5516521</v>
      </c>
      <c r="I357" s="137">
        <f>IFERROR(G357/'Revenue &amp; Demand'!E317,0)</f>
        <v>0.08</v>
      </c>
      <c r="J357" s="124">
        <f>'Manufacturing &amp; Production'!S80</f>
        <v>4004862</v>
      </c>
      <c r="K357" s="124">
        <f>ROUND('Revenue &amp; Demand'!J317*IFERROR(SUM('Monthly Data'!$K$86:$K$97)/SUM('Monthly Data'!$G$86:$G$97),0),0)</f>
        <v>16471</v>
      </c>
      <c r="L357" s="124">
        <f t="shared" si="25"/>
        <v>0</v>
      </c>
      <c r="M357" s="138"/>
    </row>
    <row r="358">
      <c r="A358" s="126">
        <f>'Monthly Data'!A154</f>
        <v>47727</v>
      </c>
      <c r="B358" s="127">
        <f>'Revenue &amp; Demand'!C318</f>
        <v>13816</v>
      </c>
      <c r="C358" s="124">
        <f>'Manufacturing &amp; Production'!J81</f>
        <v>3910037</v>
      </c>
      <c r="D358" s="124">
        <f>'Workforce &amp; Expenses'!E410</f>
        <v>2556594</v>
      </c>
      <c r="E358" s="124">
        <f t="shared" si="22"/>
        <v>1353443</v>
      </c>
      <c r="F358" s="124">
        <f t="shared" si="23"/>
        <v>3910037</v>
      </c>
      <c r="G358" s="124">
        <f>'Manufacturing &amp; Production'!K81</f>
        <v>1657920</v>
      </c>
      <c r="H358" s="124">
        <f t="shared" si="24"/>
        <v>5567957</v>
      </c>
      <c r="I358" s="137">
        <f>IFERROR(G358/'Revenue &amp; Demand'!E318,0)</f>
        <v>0.08</v>
      </c>
      <c r="J358" s="124">
        <f>'Manufacturing &amp; Production'!S81</f>
        <v>4081371</v>
      </c>
      <c r="K358" s="124">
        <f>ROUND('Revenue &amp; Demand'!J318*IFERROR(SUM('Monthly Data'!$K$86:$K$97)/SUM('Monthly Data'!$G$86:$G$97),0),0)</f>
        <v>102941</v>
      </c>
      <c r="L358" s="124">
        <f t="shared" si="25"/>
        <v>0</v>
      </c>
      <c r="M358" s="138"/>
    </row>
    <row r="359">
      <c r="A359" s="126">
        <f>'Monthly Data'!A155</f>
        <v>47757</v>
      </c>
      <c r="B359" s="127">
        <f>'Revenue &amp; Demand'!C319</f>
        <v>13947</v>
      </c>
      <c r="C359" s="124">
        <f>'Manufacturing &amp; Production'!J82</f>
        <v>3951478</v>
      </c>
      <c r="D359" s="124">
        <f>'Workforce &amp; Expenses'!E411</f>
        <v>2586269</v>
      </c>
      <c r="E359" s="124">
        <f t="shared" si="22"/>
        <v>1365209</v>
      </c>
      <c r="F359" s="124">
        <f t="shared" si="23"/>
        <v>3951478</v>
      </c>
      <c r="G359" s="124">
        <f>'Manufacturing &amp; Production'!K82</f>
        <v>1673640</v>
      </c>
      <c r="H359" s="124">
        <f t="shared" si="24"/>
        <v>5625118</v>
      </c>
      <c r="I359" s="137">
        <f>IFERROR(G359/'Revenue &amp; Demand'!E319,0)</f>
        <v>0.08</v>
      </c>
      <c r="J359" s="124">
        <f>'Manufacturing &amp; Production'!S82</f>
        <v>4159723</v>
      </c>
      <c r="K359" s="124">
        <f>ROUND('Revenue &amp; Demand'!J319*IFERROR(SUM('Monthly Data'!$K$86:$K$97)/SUM('Monthly Data'!$G$86:$G$97),0),0)</f>
        <v>16471</v>
      </c>
      <c r="L359" s="124">
        <f t="shared" si="25"/>
        <v>0</v>
      </c>
      <c r="M359" s="138"/>
    </row>
    <row r="360">
      <c r="A360" s="126">
        <f>'Monthly Data'!A156</f>
        <v>47788</v>
      </c>
      <c r="B360" s="127">
        <f>'Revenue &amp; Demand'!C320</f>
        <v>14079</v>
      </c>
      <c r="C360" s="124">
        <f>'Manufacturing &amp; Production'!J83</f>
        <v>3975414</v>
      </c>
      <c r="D360" s="124">
        <f>'Workforce &amp; Expenses'!E412</f>
        <v>2598350</v>
      </c>
      <c r="E360" s="124">
        <f t="shared" si="22"/>
        <v>1377064</v>
      </c>
      <c r="F360" s="124">
        <f t="shared" si="23"/>
        <v>3975414</v>
      </c>
      <c r="G360" s="124">
        <f>'Manufacturing &amp; Production'!K83</f>
        <v>1689480</v>
      </c>
      <c r="H360" s="124">
        <f t="shared" si="24"/>
        <v>5664894</v>
      </c>
      <c r="I360" s="137">
        <f>IFERROR(G360/'Revenue &amp; Demand'!E320,0)</f>
        <v>0.08</v>
      </c>
      <c r="J360" s="124">
        <f>'Manufacturing &amp; Production'!S83</f>
        <v>4239458</v>
      </c>
      <c r="K360" s="124">
        <f>ROUND('Revenue &amp; Demand'!J320*IFERROR(SUM('Monthly Data'!$K$86:$K$97)/SUM('Monthly Data'!$G$86:$G$97),0),0)</f>
        <v>16471</v>
      </c>
      <c r="L360" s="124">
        <f t="shared" si="25"/>
        <v>0</v>
      </c>
      <c r="M360" s="138"/>
    </row>
    <row r="361">
      <c r="A361" s="126">
        <f>'Monthly Data'!A157</f>
        <v>47818</v>
      </c>
      <c r="B361" s="127">
        <f>'Revenue &amp; Demand'!C321</f>
        <v>14213</v>
      </c>
      <c r="C361" s="124">
        <f>'Manufacturing &amp; Production'!J84</f>
        <v>3999530</v>
      </c>
      <c r="D361" s="124">
        <f>'Workforce &amp; Expenses'!E413</f>
        <v>2610430</v>
      </c>
      <c r="E361" s="124">
        <f t="shared" si="22"/>
        <v>1389100</v>
      </c>
      <c r="F361" s="124">
        <f t="shared" si="23"/>
        <v>3999530</v>
      </c>
      <c r="G361" s="124">
        <f>'Manufacturing &amp; Production'!K84</f>
        <v>1705560</v>
      </c>
      <c r="H361" s="124">
        <f t="shared" si="24"/>
        <v>5705090</v>
      </c>
      <c r="I361" s="137">
        <f>IFERROR(G361/'Revenue &amp; Demand'!E321,0)</f>
        <v>0.08</v>
      </c>
      <c r="J361" s="124">
        <f>'Manufacturing &amp; Production'!S84</f>
        <v>4321037</v>
      </c>
      <c r="K361" s="124">
        <f>ROUND('Revenue &amp; Demand'!J321*IFERROR(SUM('Monthly Data'!$K$86:$K$97)/SUM('Monthly Data'!$G$86:$G$97),0),0)</f>
        <v>119412</v>
      </c>
      <c r="L361" s="124">
        <f t="shared" si="25"/>
        <v>0</v>
      </c>
      <c r="M361" s="138"/>
    </row>
    <row r="362">
      <c r="A362" s="126">
        <f>'Monthly Data'!A158</f>
        <v>47849</v>
      </c>
      <c r="B362" s="127">
        <f>'Revenue &amp; Demand'!C322</f>
        <v>14326</v>
      </c>
      <c r="C362" s="124">
        <f>'Manufacturing &amp; Production'!J85</f>
        <v>4142413</v>
      </c>
      <c r="D362" s="124">
        <f>'Workforce &amp; Expenses'!E414</f>
        <v>2701186</v>
      </c>
      <c r="E362" s="124">
        <f t="shared" si="22"/>
        <v>1441227</v>
      </c>
      <c r="F362" s="124">
        <f t="shared" si="23"/>
        <v>4142413</v>
      </c>
      <c r="G362" s="124">
        <f>'Manufacturing &amp; Production'!K85</f>
        <v>1719120</v>
      </c>
      <c r="H362" s="124">
        <f t="shared" si="24"/>
        <v>5861533</v>
      </c>
      <c r="I362" s="137">
        <f>IFERROR(G362/'Revenue &amp; Demand'!E322,0)</f>
        <v>0.08</v>
      </c>
      <c r="J362" s="124">
        <f>'Manufacturing &amp; Production'!S85</f>
        <v>4536118</v>
      </c>
      <c r="K362" s="124">
        <f>ROUND('Revenue &amp; Demand'!J322*IFERROR(SUM('Monthly Data'!$K$86:$K$97)/SUM('Monthly Data'!$G$86:$G$97),0),0)</f>
        <v>16471</v>
      </c>
      <c r="L362" s="124">
        <f t="shared" si="25"/>
        <v>0</v>
      </c>
      <c r="M362" s="138"/>
    </row>
    <row r="363">
      <c r="A363" s="126">
        <f>'Monthly Data'!A159</f>
        <v>47880</v>
      </c>
      <c r="B363" s="127">
        <f>'Revenue &amp; Demand'!C323</f>
        <v>14441</v>
      </c>
      <c r="C363" s="124">
        <f>'Manufacturing &amp; Production'!J86</f>
        <v>4183617</v>
      </c>
      <c r="D363" s="124">
        <f>'Workforce &amp; Expenses'!E415</f>
        <v>2731752</v>
      </c>
      <c r="E363" s="124">
        <f t="shared" si="22"/>
        <v>1451865</v>
      </c>
      <c r="F363" s="124">
        <f t="shared" si="23"/>
        <v>4183617</v>
      </c>
      <c r="G363" s="124">
        <f>'Manufacturing &amp; Production'!K86</f>
        <v>1732920</v>
      </c>
      <c r="H363" s="124">
        <f t="shared" si="24"/>
        <v>5916537</v>
      </c>
      <c r="I363" s="137">
        <f>IFERROR(G363/'Revenue &amp; Demand'!E323,0)</f>
        <v>0.08</v>
      </c>
      <c r="J363" s="124">
        <f>'Manufacturing &amp; Production'!S86</f>
        <v>4623467</v>
      </c>
      <c r="K363" s="124">
        <f>ROUND('Revenue &amp; Demand'!J323*IFERROR(SUM('Monthly Data'!$K$86:$K$97)/SUM('Monthly Data'!$G$86:$G$97),0),0)</f>
        <v>16471</v>
      </c>
      <c r="L363" s="124">
        <f t="shared" si="25"/>
        <v>0</v>
      </c>
      <c r="M363" s="138"/>
    </row>
    <row r="364">
      <c r="A364" s="126">
        <f>'Monthly Data'!A160</f>
        <v>47908</v>
      </c>
      <c r="B364" s="127">
        <f>'Revenue &amp; Demand'!C324</f>
        <v>14556</v>
      </c>
      <c r="C364" s="124">
        <f>'Manufacturing &amp; Production'!J87</f>
        <v>4206699</v>
      </c>
      <c r="D364" s="124">
        <f>'Workforce &amp; Expenses'!E416</f>
        <v>2744195</v>
      </c>
      <c r="E364" s="124">
        <f t="shared" si="22"/>
        <v>1462504</v>
      </c>
      <c r="F364" s="124">
        <f t="shared" si="23"/>
        <v>4206699</v>
      </c>
      <c r="G364" s="124">
        <f>'Manufacturing &amp; Production'!K87</f>
        <v>1746720</v>
      </c>
      <c r="H364" s="124">
        <f t="shared" si="24"/>
        <v>5953419</v>
      </c>
      <c r="I364" s="137">
        <f>IFERROR(G364/'Revenue &amp; Demand'!E324,0)</f>
        <v>0.08</v>
      </c>
      <c r="J364" s="124">
        <f>'Manufacturing &amp; Production'!S87</f>
        <v>4712240</v>
      </c>
      <c r="K364" s="124">
        <f>ROUND('Revenue &amp; Demand'!J324*IFERROR(SUM('Monthly Data'!$K$86:$K$97)/SUM('Monthly Data'!$G$86:$G$97),0),0)</f>
        <v>102941</v>
      </c>
      <c r="L364" s="124">
        <f t="shared" si="25"/>
        <v>0</v>
      </c>
      <c r="M364" s="138"/>
    </row>
    <row r="365">
      <c r="A365" s="126">
        <f>'Monthly Data'!A161</f>
        <v>47939</v>
      </c>
      <c r="B365" s="127">
        <f>'Revenue &amp; Demand'!C325</f>
        <v>14672</v>
      </c>
      <c r="C365" s="124">
        <f>'Manufacturing &amp; Production'!J88</f>
        <v>4229873</v>
      </c>
      <c r="D365" s="124">
        <f>'Workforce &amp; Expenses'!E417</f>
        <v>2756638</v>
      </c>
      <c r="E365" s="124">
        <f t="shared" si="22"/>
        <v>1473235</v>
      </c>
      <c r="F365" s="124">
        <f t="shared" si="23"/>
        <v>4229873</v>
      </c>
      <c r="G365" s="124">
        <f>'Manufacturing &amp; Production'!K88</f>
        <v>1760640</v>
      </c>
      <c r="H365" s="124">
        <f t="shared" si="24"/>
        <v>5990513</v>
      </c>
      <c r="I365" s="137">
        <f>IFERROR(G365/'Revenue &amp; Demand'!E325,0)</f>
        <v>0.08</v>
      </c>
      <c r="J365" s="124">
        <f>'Manufacturing &amp; Production'!S88</f>
        <v>4802913</v>
      </c>
      <c r="K365" s="124">
        <f>ROUND('Revenue &amp; Demand'!J325*IFERROR(SUM('Monthly Data'!$K$86:$K$97)/SUM('Monthly Data'!$G$86:$G$97),0),0)</f>
        <v>16471</v>
      </c>
      <c r="L365" s="124">
        <f t="shared" si="25"/>
        <v>0</v>
      </c>
      <c r="M365" s="138"/>
    </row>
    <row r="366">
      <c r="A366" s="126">
        <f>'Monthly Data'!A162</f>
        <v>47969</v>
      </c>
      <c r="B366" s="127">
        <f>'Revenue &amp; Demand'!C326</f>
        <v>14789</v>
      </c>
      <c r="C366" s="124">
        <f>'Manufacturing &amp; Production'!J89</f>
        <v>4253138</v>
      </c>
      <c r="D366" s="124">
        <f>'Workforce &amp; Expenses'!E418</f>
        <v>2769080</v>
      </c>
      <c r="E366" s="124">
        <f t="shared" si="22"/>
        <v>1484058</v>
      </c>
      <c r="F366" s="124">
        <f t="shared" si="23"/>
        <v>4253138</v>
      </c>
      <c r="G366" s="124">
        <f>'Manufacturing &amp; Production'!K89</f>
        <v>1774680</v>
      </c>
      <c r="H366" s="124">
        <f t="shared" si="24"/>
        <v>6027818</v>
      </c>
      <c r="I366" s="137">
        <f>IFERROR(G366/'Revenue &amp; Demand'!E326,0)</f>
        <v>0.08</v>
      </c>
      <c r="J366" s="124">
        <f>'Manufacturing &amp; Production'!S89</f>
        <v>4895484</v>
      </c>
      <c r="K366" s="124">
        <f>ROUND('Revenue &amp; Demand'!J326*IFERROR(SUM('Monthly Data'!$K$86:$K$97)/SUM('Monthly Data'!$G$86:$G$97),0),0)</f>
        <v>16471</v>
      </c>
      <c r="L366" s="124">
        <f t="shared" si="25"/>
        <v>0</v>
      </c>
      <c r="M366" s="138"/>
    </row>
    <row r="367">
      <c r="A367" s="126">
        <f>'Monthly Data'!A163</f>
        <v>48000</v>
      </c>
      <c r="B367" s="127">
        <f>'Revenue &amp; Demand'!C327</f>
        <v>14907</v>
      </c>
      <c r="C367" s="124">
        <f>'Manufacturing &amp; Production'!J90</f>
        <v>4294621</v>
      </c>
      <c r="D367" s="124">
        <f>'Workforce &amp; Expenses'!E419</f>
        <v>2799647</v>
      </c>
      <c r="E367" s="124">
        <f t="shared" si="22"/>
        <v>1494974</v>
      </c>
      <c r="F367" s="124">
        <f t="shared" si="23"/>
        <v>4294621</v>
      </c>
      <c r="G367" s="124">
        <f>'Manufacturing &amp; Production'!K90</f>
        <v>1788840</v>
      </c>
      <c r="H367" s="124">
        <f t="shared" si="24"/>
        <v>6083461</v>
      </c>
      <c r="I367" s="137">
        <f>IFERROR(G367/'Revenue &amp; Demand'!E327,0)</f>
        <v>0.08</v>
      </c>
      <c r="J367" s="124">
        <f>'Manufacturing &amp; Production'!S90</f>
        <v>4989953</v>
      </c>
      <c r="K367" s="124">
        <f>ROUND('Revenue &amp; Demand'!J327*IFERROR(SUM('Monthly Data'!$K$86:$K$97)/SUM('Monthly Data'!$G$86:$G$97),0),0)</f>
        <v>102941</v>
      </c>
      <c r="L367" s="124">
        <f t="shared" si="25"/>
        <v>0</v>
      </c>
      <c r="M367" s="138"/>
    </row>
    <row r="368">
      <c r="A368" s="126">
        <f>'Monthly Data'!A164</f>
        <v>48030</v>
      </c>
      <c r="B368" s="127">
        <f>'Revenue &amp; Demand'!C328</f>
        <v>15026</v>
      </c>
      <c r="C368" s="124">
        <f>'Manufacturing &amp; Production'!J91</f>
        <v>4318074</v>
      </c>
      <c r="D368" s="124">
        <f>'Workforce &amp; Expenses'!E420</f>
        <v>2812090</v>
      </c>
      <c r="E368" s="124">
        <f t="shared" si="22"/>
        <v>1505984</v>
      </c>
      <c r="F368" s="124">
        <f t="shared" si="23"/>
        <v>4318074</v>
      </c>
      <c r="G368" s="124">
        <f>'Manufacturing &amp; Production'!K91</f>
        <v>1803120</v>
      </c>
      <c r="H368" s="124">
        <f t="shared" si="24"/>
        <v>6121194</v>
      </c>
      <c r="I368" s="137">
        <f>IFERROR(G368/'Revenue &amp; Demand'!E328,0)</f>
        <v>0.08</v>
      </c>
      <c r="J368" s="124">
        <f>'Manufacturing &amp; Production'!S91</f>
        <v>5086322</v>
      </c>
      <c r="K368" s="124">
        <f>ROUND('Revenue &amp; Demand'!J328*IFERROR(SUM('Monthly Data'!$K$86:$K$97)/SUM('Monthly Data'!$G$86:$G$97),0),0)</f>
        <v>16471</v>
      </c>
      <c r="L368" s="124">
        <f t="shared" si="25"/>
        <v>0</v>
      </c>
      <c r="M368" s="138"/>
    </row>
    <row r="369">
      <c r="A369" s="126">
        <f>'Monthly Data'!A165</f>
        <v>48061</v>
      </c>
      <c r="B369" s="127">
        <f>'Revenue &amp; Demand'!C329</f>
        <v>15145</v>
      </c>
      <c r="C369" s="124">
        <f>'Manufacturing &amp; Production'!J92</f>
        <v>4341525</v>
      </c>
      <c r="D369" s="124">
        <f>'Workforce &amp; Expenses'!E421</f>
        <v>2824533</v>
      </c>
      <c r="E369" s="124">
        <f t="shared" si="22"/>
        <v>1516992</v>
      </c>
      <c r="F369" s="124">
        <f t="shared" si="23"/>
        <v>4341525</v>
      </c>
      <c r="G369" s="124">
        <f>'Manufacturing &amp; Production'!K92</f>
        <v>1817400</v>
      </c>
      <c r="H369" s="124">
        <f t="shared" si="24"/>
        <v>6158925</v>
      </c>
      <c r="I369" s="137">
        <f>IFERROR(G369/'Revenue &amp; Demand'!E329,0)</f>
        <v>0.08</v>
      </c>
      <c r="J369" s="124">
        <f>'Manufacturing &amp; Production'!S92</f>
        <v>5184590</v>
      </c>
      <c r="K369" s="124">
        <f>ROUND('Revenue &amp; Demand'!J329*IFERROR(SUM('Monthly Data'!$K$86:$K$97)/SUM('Monthly Data'!$G$86:$G$97),0),0)</f>
        <v>16471</v>
      </c>
      <c r="L369" s="124">
        <f t="shared" si="25"/>
        <v>0</v>
      </c>
      <c r="M369" s="138"/>
    </row>
    <row r="370">
      <c r="A370" s="126">
        <f>'Monthly Data'!A166</f>
        <v>48092</v>
      </c>
      <c r="B370" s="127">
        <f>'Revenue &amp; Demand'!C330</f>
        <v>15266</v>
      </c>
      <c r="C370" s="124">
        <f>'Manufacturing &amp; Production'!J93</f>
        <v>4365162</v>
      </c>
      <c r="D370" s="124">
        <f>'Workforce &amp; Expenses'!E422</f>
        <v>2836976</v>
      </c>
      <c r="E370" s="124">
        <f t="shared" si="22"/>
        <v>1528186</v>
      </c>
      <c r="F370" s="124">
        <f t="shared" si="23"/>
        <v>4365162</v>
      </c>
      <c r="G370" s="124">
        <f>'Manufacturing &amp; Production'!K93</f>
        <v>1831920</v>
      </c>
      <c r="H370" s="124">
        <f t="shared" si="24"/>
        <v>6197082</v>
      </c>
      <c r="I370" s="137">
        <f>IFERROR(G370/'Revenue &amp; Demand'!E330,0)</f>
        <v>0.08</v>
      </c>
      <c r="J370" s="124">
        <f>'Manufacturing &amp; Production'!S93</f>
        <v>5284757</v>
      </c>
      <c r="K370" s="124">
        <f>ROUND('Revenue &amp; Demand'!J330*IFERROR(SUM('Monthly Data'!$K$86:$K$97)/SUM('Monthly Data'!$G$86:$G$97),0),0)</f>
        <v>102941</v>
      </c>
      <c r="L370" s="124">
        <f t="shared" si="25"/>
        <v>0</v>
      </c>
      <c r="M370" s="138"/>
    </row>
    <row r="371">
      <c r="A371" s="126">
        <f>'Monthly Data'!A167</f>
        <v>48122</v>
      </c>
      <c r="B371" s="127">
        <f>'Revenue &amp; Demand'!C331</f>
        <v>15388</v>
      </c>
      <c r="C371" s="124">
        <f>'Manufacturing &amp; Production'!J94</f>
        <v>4407014</v>
      </c>
      <c r="D371" s="124">
        <f>'Workforce &amp; Expenses'!E423</f>
        <v>2867542</v>
      </c>
      <c r="E371" s="124">
        <f t="shared" si="22"/>
        <v>1539472</v>
      </c>
      <c r="F371" s="124">
        <f t="shared" si="23"/>
        <v>4407014</v>
      </c>
      <c r="G371" s="124">
        <f>'Manufacturing &amp; Production'!K94</f>
        <v>1846560</v>
      </c>
      <c r="H371" s="124">
        <f t="shared" si="24"/>
        <v>6253574</v>
      </c>
      <c r="I371" s="137">
        <f>IFERROR(G371/'Revenue &amp; Demand'!E331,0)</f>
        <v>0.08</v>
      </c>
      <c r="J371" s="124">
        <f>'Manufacturing &amp; Production'!S94</f>
        <v>5386821</v>
      </c>
      <c r="K371" s="124">
        <f>ROUND('Revenue &amp; Demand'!J331*IFERROR(SUM('Monthly Data'!$K$86:$K$97)/SUM('Monthly Data'!$G$86:$G$97),0),0)</f>
        <v>16471</v>
      </c>
      <c r="L371" s="124">
        <f t="shared" si="25"/>
        <v>0</v>
      </c>
      <c r="M371" s="138"/>
    </row>
    <row r="372">
      <c r="A372" s="126">
        <f>'Monthly Data'!A168</f>
        <v>48153</v>
      </c>
      <c r="B372" s="127">
        <f>'Revenue &amp; Demand'!C332</f>
        <v>15511</v>
      </c>
      <c r="C372" s="124">
        <f>'Manufacturing &amp; Production'!J95</f>
        <v>4430836</v>
      </c>
      <c r="D372" s="124">
        <f>'Workforce &amp; Expenses'!E424</f>
        <v>2879985</v>
      </c>
      <c r="E372" s="124">
        <f t="shared" si="22"/>
        <v>1550851</v>
      </c>
      <c r="F372" s="124">
        <f t="shared" si="23"/>
        <v>4430836</v>
      </c>
      <c r="G372" s="124">
        <f>'Manufacturing &amp; Production'!K95</f>
        <v>1861320</v>
      </c>
      <c r="H372" s="124">
        <f t="shared" si="24"/>
        <v>6292156</v>
      </c>
      <c r="I372" s="137">
        <f>IFERROR(G372/'Revenue &amp; Demand'!E332,0)</f>
        <v>0.08</v>
      </c>
      <c r="J372" s="124">
        <f>'Manufacturing &amp; Production'!S95</f>
        <v>5491260</v>
      </c>
      <c r="K372" s="124">
        <f>ROUND('Revenue &amp; Demand'!J332*IFERROR(SUM('Monthly Data'!$K$86:$K$97)/SUM('Monthly Data'!$G$86:$G$97),0),0)</f>
        <v>16471</v>
      </c>
      <c r="L372" s="124">
        <f t="shared" si="25"/>
        <v>0</v>
      </c>
      <c r="M372" s="138"/>
    </row>
    <row r="373">
      <c r="A373" s="126">
        <f>'Monthly Data'!A169</f>
        <v>48183</v>
      </c>
      <c r="B373" s="127">
        <f>'Revenue &amp; Demand'!C333</f>
        <v>15634</v>
      </c>
      <c r="C373" s="124">
        <f>'Manufacturing &amp; Production'!J96</f>
        <v>4454658</v>
      </c>
      <c r="D373" s="124">
        <f>'Workforce &amp; Expenses'!E425</f>
        <v>2892428</v>
      </c>
      <c r="E373" s="124">
        <f t="shared" si="22"/>
        <v>1562230</v>
      </c>
      <c r="F373" s="124">
        <f t="shared" si="23"/>
        <v>4454658</v>
      </c>
      <c r="G373" s="124">
        <f>'Manufacturing &amp; Production'!K96</f>
        <v>1876080</v>
      </c>
      <c r="H373" s="124">
        <f t="shared" si="24"/>
        <v>6330738</v>
      </c>
      <c r="I373" s="137">
        <f>IFERROR(G373/'Revenue &amp; Demand'!E333,0)</f>
        <v>0.08</v>
      </c>
      <c r="J373" s="124">
        <f>'Manufacturing &amp; Production'!S96</f>
        <v>5597599</v>
      </c>
      <c r="K373" s="124">
        <f>ROUND('Revenue &amp; Demand'!J333*IFERROR(SUM('Monthly Data'!$K$86:$K$97)/SUM('Monthly Data'!$G$86:$G$97),0),0)</f>
        <v>119412</v>
      </c>
      <c r="L373" s="124">
        <f t="shared" si="25"/>
        <v>0</v>
      </c>
      <c r="M373" s="138"/>
    </row>
    <row r="374">
      <c r="A374" s="126">
        <f>'Monthly Data'!A170</f>
        <v>48214</v>
      </c>
      <c r="B374" s="127">
        <f>'Revenue &amp; Demand'!C334</f>
        <v>15735</v>
      </c>
      <c r="C374" s="124">
        <f>'Manufacturing &amp; Production'!J97</f>
        <v>4610737</v>
      </c>
      <c r="D374" s="124">
        <f>'Workforce &amp; Expenses'!E426</f>
        <v>2992017</v>
      </c>
      <c r="E374" s="124">
        <f t="shared" si="22"/>
        <v>1618720</v>
      </c>
      <c r="F374" s="124">
        <f t="shared" si="23"/>
        <v>4610737</v>
      </c>
      <c r="G374" s="124">
        <f>'Manufacturing &amp; Production'!K97</f>
        <v>1888200</v>
      </c>
      <c r="H374" s="124">
        <f t="shared" si="24"/>
        <v>6498937</v>
      </c>
      <c r="I374" s="137">
        <f>IFERROR(G374/'Revenue &amp; Demand'!E334,0)</f>
        <v>0.08</v>
      </c>
      <c r="J374" s="124">
        <f>'Manufacturing &amp; Production'!S97</f>
        <v>5877500</v>
      </c>
      <c r="K374" s="124">
        <f>ROUND('Revenue &amp; Demand'!J334*IFERROR(SUM('Monthly Data'!$K$86:$K$97)/SUM('Monthly Data'!$G$86:$G$97),0),0)</f>
        <v>16471</v>
      </c>
      <c r="L374" s="124">
        <f t="shared" si="25"/>
        <v>0</v>
      </c>
      <c r="M374" s="138"/>
    </row>
    <row r="375">
      <c r="A375" s="126">
        <f>'Monthly Data'!A171</f>
        <v>48245</v>
      </c>
      <c r="B375" s="127">
        <f>'Revenue &amp; Demand'!C335</f>
        <v>15836</v>
      </c>
      <c r="C375" s="124">
        <f>'Manufacturing &amp; Production'!J98</f>
        <v>4633176</v>
      </c>
      <c r="D375" s="124">
        <f>'Workforce &amp; Expenses'!E427</f>
        <v>3004833</v>
      </c>
      <c r="E375" s="124">
        <f t="shared" si="22"/>
        <v>1628343</v>
      </c>
      <c r="F375" s="124">
        <f t="shared" si="23"/>
        <v>4633176</v>
      </c>
      <c r="G375" s="124">
        <f>'Manufacturing &amp; Production'!K98</f>
        <v>1900320</v>
      </c>
      <c r="H375" s="124">
        <f t="shared" si="24"/>
        <v>6533496</v>
      </c>
      <c r="I375" s="137">
        <f>IFERROR(G375/'Revenue &amp; Demand'!E335,0)</f>
        <v>0.08</v>
      </c>
      <c r="J375" s="124">
        <f>'Manufacturing &amp; Production'!S98</f>
        <v>5991427</v>
      </c>
      <c r="K375" s="124">
        <f>ROUND('Revenue &amp; Demand'!J335*IFERROR(SUM('Monthly Data'!$K$86:$K$97)/SUM('Monthly Data'!$G$86:$G$97),0),0)</f>
        <v>16471</v>
      </c>
      <c r="L375" s="124">
        <f t="shared" si="25"/>
        <v>0</v>
      </c>
      <c r="M375" s="138"/>
    </row>
    <row r="376">
      <c r="A376" s="126">
        <f>'Monthly Data'!A172</f>
        <v>48274</v>
      </c>
      <c r="B376" s="127">
        <f>'Revenue &amp; Demand'!C336</f>
        <v>15938</v>
      </c>
      <c r="C376" s="124">
        <f>'Manufacturing &amp; Production'!J99</f>
        <v>4674379</v>
      </c>
      <c r="D376" s="124">
        <f>'Workforce &amp; Expenses'!E428</f>
        <v>3036316</v>
      </c>
      <c r="E376" s="124">
        <f t="shared" si="22"/>
        <v>1638063</v>
      </c>
      <c r="F376" s="124">
        <f t="shared" si="23"/>
        <v>4674379</v>
      </c>
      <c r="G376" s="124">
        <f>'Manufacturing &amp; Production'!K99</f>
        <v>1912560</v>
      </c>
      <c r="H376" s="124">
        <f t="shared" si="24"/>
        <v>6586939</v>
      </c>
      <c r="I376" s="137">
        <f>IFERROR(G376/'Revenue &amp; Demand'!E336,0)</f>
        <v>0.08</v>
      </c>
      <c r="J376" s="124">
        <f>'Manufacturing &amp; Production'!S99</f>
        <v>6107802</v>
      </c>
      <c r="K376" s="124">
        <f>ROUND('Revenue &amp; Demand'!J336*IFERROR(SUM('Monthly Data'!$K$86:$K$97)/SUM('Monthly Data'!$G$86:$G$97),0),0)</f>
        <v>102941</v>
      </c>
      <c r="L376" s="124">
        <f t="shared" si="25"/>
        <v>0</v>
      </c>
      <c r="M376" s="138"/>
    </row>
    <row r="377">
      <c r="A377" s="126">
        <f>'Monthly Data'!A173</f>
        <v>48305</v>
      </c>
      <c r="B377" s="127">
        <f>'Revenue &amp; Demand'!C337</f>
        <v>16040</v>
      </c>
      <c r="C377" s="124">
        <f>'Manufacturing &amp; Production'!J100</f>
        <v>4684099</v>
      </c>
      <c r="D377" s="124">
        <f>'Workforce &amp; Expenses'!E429</f>
        <v>3036316</v>
      </c>
      <c r="E377" s="124">
        <f t="shared" si="22"/>
        <v>1647783</v>
      </c>
      <c r="F377" s="124">
        <f t="shared" si="23"/>
        <v>4684099</v>
      </c>
      <c r="G377" s="124">
        <f>'Manufacturing &amp; Production'!K100</f>
        <v>1924800</v>
      </c>
      <c r="H377" s="124">
        <f t="shared" si="24"/>
        <v>6608899</v>
      </c>
      <c r="I377" s="137">
        <f>IFERROR(G377/'Revenue &amp; Demand'!E337,0)</f>
        <v>0.08</v>
      </c>
      <c r="J377" s="124">
        <f>'Manufacturing &amp; Production'!S100</f>
        <v>6226620</v>
      </c>
      <c r="K377" s="124">
        <f>ROUND('Revenue &amp; Demand'!J337*IFERROR(SUM('Monthly Data'!$K$86:$K$97)/SUM('Monthly Data'!$G$86:$G$97),0),0)</f>
        <v>16471</v>
      </c>
      <c r="L377" s="124">
        <f t="shared" si="25"/>
        <v>0</v>
      </c>
      <c r="M377" s="138"/>
    </row>
    <row r="378">
      <c r="A378" s="126">
        <f>'Monthly Data'!A174</f>
        <v>48335</v>
      </c>
      <c r="B378" s="127">
        <f>'Revenue &amp; Demand'!C338</f>
        <v>16143</v>
      </c>
      <c r="C378" s="124">
        <f>'Manufacturing &amp; Production'!J101</f>
        <v>4706729</v>
      </c>
      <c r="D378" s="124">
        <f>'Workforce &amp; Expenses'!E430</f>
        <v>3049132</v>
      </c>
      <c r="E378" s="124">
        <f t="shared" si="22"/>
        <v>1657597</v>
      </c>
      <c r="F378" s="124">
        <f t="shared" si="23"/>
        <v>4706729</v>
      </c>
      <c r="G378" s="124">
        <f>'Manufacturing &amp; Production'!K101</f>
        <v>1937160</v>
      </c>
      <c r="H378" s="124">
        <f t="shared" si="24"/>
        <v>6643889</v>
      </c>
      <c r="I378" s="137">
        <f>IFERROR(G378/'Revenue &amp; Demand'!E338,0)</f>
        <v>0.08</v>
      </c>
      <c r="J378" s="124">
        <f>'Manufacturing &amp; Production'!S101</f>
        <v>6347394</v>
      </c>
      <c r="K378" s="124">
        <f>ROUND('Revenue &amp; Demand'!J338*IFERROR(SUM('Monthly Data'!$K$86:$K$97)/SUM('Monthly Data'!$G$86:$G$97),0),0)</f>
        <v>16471</v>
      </c>
      <c r="L378" s="124">
        <f t="shared" si="25"/>
        <v>0</v>
      </c>
      <c r="M378" s="138"/>
    </row>
    <row r="379">
      <c r="A379" s="126">
        <f>'Monthly Data'!A175</f>
        <v>48366</v>
      </c>
      <c r="B379" s="127">
        <f>'Revenue &amp; Demand'!C339</f>
        <v>16247</v>
      </c>
      <c r="C379" s="124">
        <f>'Manufacturing &amp; Production'!J102</f>
        <v>4729454</v>
      </c>
      <c r="D379" s="124">
        <f>'Workforce &amp; Expenses'!E431</f>
        <v>3061948</v>
      </c>
      <c r="E379" s="124">
        <f t="shared" si="22"/>
        <v>1667506</v>
      </c>
      <c r="F379" s="124">
        <f t="shared" si="23"/>
        <v>4729454</v>
      </c>
      <c r="G379" s="124">
        <f>'Manufacturing &amp; Production'!K102</f>
        <v>1949640</v>
      </c>
      <c r="H379" s="124">
        <f t="shared" si="24"/>
        <v>6679094</v>
      </c>
      <c r="I379" s="137">
        <f>IFERROR(G379/'Revenue &amp; Demand'!E339,0)</f>
        <v>0.08</v>
      </c>
      <c r="J379" s="124">
        <f>'Manufacturing &amp; Production'!S102</f>
        <v>6470614</v>
      </c>
      <c r="K379" s="124">
        <f>ROUND('Revenue &amp; Demand'!J339*IFERROR(SUM('Monthly Data'!$K$86:$K$97)/SUM('Monthly Data'!$G$86:$G$97),0),0)</f>
        <v>102941</v>
      </c>
      <c r="L379" s="124">
        <f t="shared" si="25"/>
        <v>0</v>
      </c>
      <c r="M379" s="138"/>
    </row>
    <row r="380">
      <c r="A380" s="126">
        <f>'Monthly Data'!A176</f>
        <v>48396</v>
      </c>
      <c r="B380" s="127">
        <f>'Revenue &amp; Demand'!C340</f>
        <v>16352</v>
      </c>
      <c r="C380" s="124">
        <f>'Manufacturing &amp; Production'!J103</f>
        <v>4752276</v>
      </c>
      <c r="D380" s="124">
        <f>'Workforce &amp; Expenses'!E432</f>
        <v>3074764</v>
      </c>
      <c r="E380" s="124">
        <f t="shared" si="22"/>
        <v>1677512</v>
      </c>
      <c r="F380" s="124">
        <f t="shared" si="23"/>
        <v>4752276</v>
      </c>
      <c r="G380" s="124">
        <f>'Manufacturing &amp; Production'!K103</f>
        <v>1962240</v>
      </c>
      <c r="H380" s="124">
        <f t="shared" si="24"/>
        <v>6714516</v>
      </c>
      <c r="I380" s="137">
        <f>IFERROR(G380/'Revenue &amp; Demand'!E340,0)</f>
        <v>0.08</v>
      </c>
      <c r="J380" s="124">
        <f>'Manufacturing &amp; Production'!S103</f>
        <v>6596276</v>
      </c>
      <c r="K380" s="124">
        <f>ROUND('Revenue &amp; Demand'!J340*IFERROR(SUM('Monthly Data'!$K$86:$K$97)/SUM('Monthly Data'!$G$86:$G$97),0),0)</f>
        <v>16471</v>
      </c>
      <c r="L380" s="124">
        <f t="shared" si="25"/>
        <v>0</v>
      </c>
      <c r="M380" s="138"/>
    </row>
    <row r="381">
      <c r="A381" s="126">
        <f>'Monthly Data'!A177</f>
        <v>48427</v>
      </c>
      <c r="B381" s="127">
        <f>'Revenue &amp; Demand'!C341</f>
        <v>16457</v>
      </c>
      <c r="C381" s="124">
        <f>'Manufacturing &amp; Production'!J104</f>
        <v>4775097</v>
      </c>
      <c r="D381" s="124">
        <f>'Workforce &amp; Expenses'!E433</f>
        <v>3087581</v>
      </c>
      <c r="E381" s="124">
        <f t="shared" si="22"/>
        <v>1687516</v>
      </c>
      <c r="F381" s="124">
        <f t="shared" si="23"/>
        <v>4775097</v>
      </c>
      <c r="G381" s="124">
        <f>'Manufacturing &amp; Production'!K104</f>
        <v>1974840</v>
      </c>
      <c r="H381" s="124">
        <f t="shared" si="24"/>
        <v>6749937</v>
      </c>
      <c r="I381" s="137">
        <f>IFERROR(G381/'Revenue &amp; Demand'!E341,0)</f>
        <v>0.08</v>
      </c>
      <c r="J381" s="124">
        <f>'Manufacturing &amp; Production'!S104</f>
        <v>6724385</v>
      </c>
      <c r="K381" s="124">
        <f>ROUND('Revenue &amp; Demand'!J341*IFERROR(SUM('Monthly Data'!$K$86:$K$97)/SUM('Monthly Data'!$G$86:$G$97),0),0)</f>
        <v>16471</v>
      </c>
      <c r="L381" s="124">
        <f t="shared" si="25"/>
        <v>0</v>
      </c>
      <c r="M381" s="138"/>
    </row>
    <row r="382">
      <c r="A382" s="126">
        <f>'Monthly Data'!A178</f>
        <v>48458</v>
      </c>
      <c r="B382" s="127">
        <f>'Revenue &amp; Demand'!C342</f>
        <v>16563</v>
      </c>
      <c r="C382" s="124">
        <f>'Manufacturing &amp; Production'!J105</f>
        <v>4816681</v>
      </c>
      <c r="D382" s="124">
        <f>'Workforce &amp; Expenses'!E434</f>
        <v>3119064</v>
      </c>
      <c r="E382" s="124">
        <f t="shared" si="22"/>
        <v>1697617</v>
      </c>
      <c r="F382" s="124">
        <f t="shared" si="23"/>
        <v>4816681</v>
      </c>
      <c r="G382" s="124">
        <f>'Manufacturing &amp; Production'!K105</f>
        <v>1987560</v>
      </c>
      <c r="H382" s="124">
        <f t="shared" si="24"/>
        <v>6804241</v>
      </c>
      <c r="I382" s="137">
        <f>IFERROR(G382/'Revenue &amp; Demand'!E342,0)</f>
        <v>0.08</v>
      </c>
      <c r="J382" s="124">
        <f>'Manufacturing &amp; Production'!S105</f>
        <v>6855428</v>
      </c>
      <c r="K382" s="124">
        <f>ROUND('Revenue &amp; Demand'!J342*IFERROR(SUM('Monthly Data'!$K$86:$K$97)/SUM('Monthly Data'!$G$86:$G$97),0),0)</f>
        <v>102941</v>
      </c>
      <c r="L382" s="124">
        <f t="shared" si="25"/>
        <v>0</v>
      </c>
      <c r="M382" s="138"/>
    </row>
    <row r="383">
      <c r="A383" s="126">
        <f>'Monthly Data'!A179</f>
        <v>48488</v>
      </c>
      <c r="B383" s="127">
        <f>'Revenue &amp; Demand'!C343</f>
        <v>16670</v>
      </c>
      <c r="C383" s="124">
        <f>'Manufacturing &amp; Production'!J106</f>
        <v>4826875</v>
      </c>
      <c r="D383" s="124">
        <f>'Workforce &amp; Expenses'!E435</f>
        <v>3119064</v>
      </c>
      <c r="E383" s="124">
        <f t="shared" si="22"/>
        <v>1707811</v>
      </c>
      <c r="F383" s="124">
        <f t="shared" si="23"/>
        <v>4826875</v>
      </c>
      <c r="G383" s="124">
        <f>'Manufacturing &amp; Production'!K106</f>
        <v>2000400</v>
      </c>
      <c r="H383" s="124">
        <f t="shared" si="24"/>
        <v>6827275</v>
      </c>
      <c r="I383" s="137">
        <f>IFERROR(G383/'Revenue &amp; Demand'!E343,0)</f>
        <v>0.08</v>
      </c>
      <c r="J383" s="124">
        <f>'Manufacturing &amp; Production'!S106</f>
        <v>6988915</v>
      </c>
      <c r="K383" s="124">
        <f>ROUND('Revenue &amp; Demand'!J343*IFERROR(SUM('Monthly Data'!$K$86:$K$97)/SUM('Monthly Data'!$G$86:$G$97),0),0)</f>
        <v>16471</v>
      </c>
      <c r="L383" s="124">
        <f t="shared" si="25"/>
        <v>0</v>
      </c>
      <c r="M383" s="138"/>
    </row>
    <row r="384">
      <c r="A384" s="126">
        <f>'Monthly Data'!A180</f>
        <v>48519</v>
      </c>
      <c r="B384" s="127">
        <f>'Revenue &amp; Demand'!C344</f>
        <v>16777</v>
      </c>
      <c r="C384" s="124">
        <f>'Manufacturing &amp; Production'!J107</f>
        <v>4849887</v>
      </c>
      <c r="D384" s="124">
        <f>'Workforce &amp; Expenses'!E436</f>
        <v>3131880</v>
      </c>
      <c r="E384" s="124">
        <f t="shared" si="22"/>
        <v>1718007</v>
      </c>
      <c r="F384" s="124">
        <f t="shared" si="23"/>
        <v>4849887</v>
      </c>
      <c r="G384" s="124">
        <f>'Manufacturing &amp; Production'!K107</f>
        <v>2013240</v>
      </c>
      <c r="H384" s="124">
        <f t="shared" si="24"/>
        <v>6863127</v>
      </c>
      <c r="I384" s="137">
        <f>IFERROR(G384/'Revenue &amp; Demand'!E344,0)</f>
        <v>0.08</v>
      </c>
      <c r="J384" s="124">
        <f>'Manufacturing &amp; Production'!S107</f>
        <v>7125337</v>
      </c>
      <c r="K384" s="124">
        <f>ROUND('Revenue &amp; Demand'!J344*IFERROR(SUM('Monthly Data'!$K$86:$K$97)/SUM('Monthly Data'!$G$86:$G$97),0),0)</f>
        <v>16471</v>
      </c>
      <c r="L384" s="124">
        <f t="shared" si="25"/>
        <v>0</v>
      </c>
      <c r="M384" s="138"/>
    </row>
    <row r="385">
      <c r="A385" s="126">
        <f>'Monthly Data'!A181</f>
        <v>48549</v>
      </c>
      <c r="B385" s="127">
        <f>'Revenue &amp; Demand'!C345</f>
        <v>16885</v>
      </c>
      <c r="C385" s="124">
        <f>'Manufacturing &amp; Production'!J108</f>
        <v>4872995</v>
      </c>
      <c r="D385" s="124">
        <f>'Workforce &amp; Expenses'!E437</f>
        <v>3144696</v>
      </c>
      <c r="E385" s="124">
        <f t="shared" si="22"/>
        <v>1728299</v>
      </c>
      <c r="F385" s="124">
        <f t="shared" si="23"/>
        <v>4872995</v>
      </c>
      <c r="G385" s="124">
        <f>'Manufacturing &amp; Production'!K108</f>
        <v>2026200</v>
      </c>
      <c r="H385" s="124">
        <f t="shared" si="24"/>
        <v>6899195</v>
      </c>
      <c r="I385" s="137">
        <f>IFERROR(G385/'Revenue &amp; Demand'!E345,0)</f>
        <v>0.08</v>
      </c>
      <c r="J385" s="124">
        <f>'Manufacturing &amp; Production'!S108</f>
        <v>7264202</v>
      </c>
      <c r="K385" s="124">
        <f>ROUND('Revenue &amp; Demand'!J345*IFERROR(SUM('Monthly Data'!$K$86:$K$97)/SUM('Monthly Data'!$G$86:$G$97),0),0)</f>
        <v>119412</v>
      </c>
      <c r="L385" s="124">
        <f t="shared" si="25"/>
        <v>0</v>
      </c>
      <c r="M385" s="138"/>
    </row>
  </sheetData>
  <mergeCells count="11">
    <mergeCell ref="A111:R111"/>
    <mergeCell ref="A112:R112"/>
    <mergeCell ref="A113:R113"/>
    <mergeCell ref="A114:R114"/>
    <mergeCell ref="D5:E5"/>
    <mergeCell ref="D6:E6"/>
    <mergeCell ref="D7:E7"/>
    <mergeCell ref="D8:E8"/>
    <mergeCell ref="D9:E9"/>
    <mergeCell ref="D10:E10"/>
    <mergeCell ref="A23:U23"/>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49C7"/>
    <outlinePr summaryBelow="0" summaryRight="0"/>
  </sheetPr>
  <sheetViews>
    <sheetView showGridLines="0" workbookViewId="0"/>
  </sheetViews>
  <sheetFormatPr customHeight="1" defaultColWidth="12.63" defaultRowHeight="15.75"/>
  <cols>
    <col customWidth="1" min="1" max="1" width="36.38"/>
    <col customWidth="1" min="2" max="2" width="22.38"/>
    <col customWidth="1" min="3" max="3" width="19.75"/>
    <col customWidth="1" min="4" max="4" width="16.25"/>
    <col customWidth="1" min="5" max="5" width="31.0"/>
    <col customWidth="1" min="6" max="6" width="15.38"/>
    <col customWidth="1" min="7" max="22" width="19.75"/>
  </cols>
  <sheetData>
    <row r="1">
      <c r="A1" s="69" t="s">
        <v>265</v>
      </c>
    </row>
    <row r="2" hidden="1">
      <c r="A2" s="16" t="s">
        <v>266</v>
      </c>
    </row>
    <row r="3" hidden="1"/>
    <row r="4">
      <c r="A4" s="70" t="s">
        <v>267</v>
      </c>
      <c r="B4" s="73"/>
      <c r="C4" s="73"/>
      <c r="D4" s="73"/>
      <c r="E4" s="70" t="s">
        <v>268</v>
      </c>
      <c r="F4" s="73"/>
      <c r="G4" s="73"/>
      <c r="H4" s="73"/>
      <c r="I4" s="70"/>
      <c r="J4" s="73"/>
      <c r="K4" s="73"/>
      <c r="L4" s="73"/>
      <c r="M4" s="73"/>
      <c r="N4" s="73"/>
      <c r="O4" s="73"/>
      <c r="P4" s="73"/>
      <c r="Q4" s="73"/>
      <c r="R4" s="73"/>
      <c r="S4" s="73"/>
      <c r="T4" s="73"/>
      <c r="U4" s="73"/>
      <c r="V4" s="73"/>
    </row>
    <row r="5">
      <c r="A5" s="16" t="s">
        <v>269</v>
      </c>
      <c r="B5" s="78">
        <v>800.0</v>
      </c>
      <c r="E5" s="16" t="s">
        <v>270</v>
      </c>
      <c r="F5" s="75">
        <v>26.0</v>
      </c>
    </row>
    <row r="6">
      <c r="A6" s="16" t="s">
        <v>271</v>
      </c>
      <c r="B6" s="75">
        <v>18.0</v>
      </c>
      <c r="E6" s="16" t="s">
        <v>272</v>
      </c>
      <c r="F6" s="75">
        <v>22000.0</v>
      </c>
    </row>
    <row r="7">
      <c r="A7" s="16" t="s">
        <v>273</v>
      </c>
      <c r="B7" s="75">
        <v>1350.0</v>
      </c>
      <c r="E7" s="16" t="s">
        <v>274</v>
      </c>
      <c r="F7" s="75">
        <v>920000.0</v>
      </c>
    </row>
    <row r="8">
      <c r="A8" s="16" t="s">
        <v>275</v>
      </c>
      <c r="B8" s="75">
        <v>40000.0</v>
      </c>
      <c r="E8" s="16" t="s">
        <v>276</v>
      </c>
      <c r="F8" s="75">
        <v>770000.0</v>
      </c>
    </row>
    <row r="9">
      <c r="A9" s="16" t="s">
        <v>277</v>
      </c>
      <c r="B9" s="75">
        <v>475000.0</v>
      </c>
      <c r="E9" s="16" t="s">
        <v>278</v>
      </c>
      <c r="F9" s="75">
        <v>650000.0</v>
      </c>
    </row>
    <row r="10">
      <c r="A10" s="16" t="s">
        <v>279</v>
      </c>
      <c r="B10" s="75">
        <v>400000.0</v>
      </c>
      <c r="E10" s="16" t="s">
        <v>280</v>
      </c>
      <c r="F10" s="75">
        <v>320000.0</v>
      </c>
    </row>
    <row r="11">
      <c r="A11" s="16" t="s">
        <v>281</v>
      </c>
      <c r="B11" s="75">
        <v>260000.0</v>
      </c>
      <c r="E11" s="16" t="s">
        <v>282</v>
      </c>
      <c r="F11" s="75">
        <v>120000.0</v>
      </c>
    </row>
    <row r="12">
      <c r="A12" s="16" t="s">
        <v>283</v>
      </c>
      <c r="B12" s="75">
        <v>265000.0</v>
      </c>
      <c r="E12" s="16" t="s">
        <v>284</v>
      </c>
      <c r="F12" s="76">
        <v>0.1</v>
      </c>
    </row>
    <row r="13">
      <c r="A13" s="16" t="s">
        <v>285</v>
      </c>
      <c r="B13" s="75">
        <v>250.0</v>
      </c>
      <c r="E13" s="16" t="s">
        <v>286</v>
      </c>
      <c r="F13" s="76">
        <v>0.04</v>
      </c>
    </row>
    <row r="14">
      <c r="A14" s="16" t="s">
        <v>287</v>
      </c>
      <c r="B14" s="75">
        <v>8.0</v>
      </c>
      <c r="F14" s="79"/>
    </row>
    <row r="15">
      <c r="A15" s="16" t="s">
        <v>288</v>
      </c>
      <c r="B15" s="75">
        <v>145000.0</v>
      </c>
    </row>
    <row r="16">
      <c r="A16" s="16" t="s">
        <v>289</v>
      </c>
      <c r="B16" s="75">
        <v>240000.0</v>
      </c>
    </row>
    <row r="17">
      <c r="A17" s="16" t="s">
        <v>290</v>
      </c>
      <c r="B17" s="75">
        <v>175000.0</v>
      </c>
    </row>
    <row r="18">
      <c r="A18" s="16" t="s">
        <v>291</v>
      </c>
      <c r="B18" s="75">
        <v>135000.0</v>
      </c>
    </row>
    <row r="19">
      <c r="A19" s="16" t="s">
        <v>292</v>
      </c>
      <c r="B19" s="76">
        <v>0.1</v>
      </c>
    </row>
    <row r="20">
      <c r="A20" s="16" t="s">
        <v>293</v>
      </c>
      <c r="B20" s="76">
        <v>0.05</v>
      </c>
    </row>
    <row r="21">
      <c r="A21" s="16" t="s">
        <v>294</v>
      </c>
      <c r="B21" s="76">
        <v>0.03</v>
      </c>
    </row>
    <row r="22">
      <c r="A22" s="16" t="s">
        <v>295</v>
      </c>
      <c r="B22" s="75">
        <v>950.0</v>
      </c>
    </row>
    <row r="23">
      <c r="A23" s="16" t="s">
        <v>296</v>
      </c>
      <c r="B23" s="75">
        <v>18000.0</v>
      </c>
    </row>
    <row r="25">
      <c r="A25" s="70" t="s">
        <v>297</v>
      </c>
    </row>
    <row r="26">
      <c r="A26" s="64" t="s">
        <v>3</v>
      </c>
      <c r="B26" s="64" t="s">
        <v>150</v>
      </c>
      <c r="C26" s="64" t="s">
        <v>159</v>
      </c>
      <c r="D26" s="64" t="s">
        <v>298</v>
      </c>
      <c r="E26" s="64" t="s">
        <v>299</v>
      </c>
      <c r="F26" s="64" t="s">
        <v>300</v>
      </c>
    </row>
    <row r="27">
      <c r="A27" s="16">
        <v>2026.0</v>
      </c>
      <c r="B27" s="56">
        <f>SUMIF('Monthly Data'!$B$98:$B$145,$A27,$L$34:$L$81)</f>
        <v>72420000</v>
      </c>
      <c r="C27" s="56">
        <f>SUMIF('Monthly Data'!$B$98:$B$145,$A27,$T$34:$T$81)</f>
        <v>49674000</v>
      </c>
      <c r="D27" s="56">
        <f>SUMIF('Monthly Data'!$B$98:$B$145,$A27,$U$34:$U$81)</f>
        <v>122094000</v>
      </c>
      <c r="E27" s="56">
        <f>SUMIF('Monthly Data'!$B$98:$B$145,$A27,$K$34:$K$81)</f>
        <v>34020000</v>
      </c>
      <c r="F27" s="56">
        <f>SUMIF('Monthly Data'!$B$98:$B$145,$A27,$S$34:$S$81)</f>
        <v>9450000</v>
      </c>
    </row>
    <row r="28">
      <c r="A28" s="16">
        <v>2027.0</v>
      </c>
      <c r="B28" s="56">
        <f>SUMIF('Monthly Data'!$B$98:$B$145,$A28,$L$34:$L$81)</f>
        <v>64311243</v>
      </c>
      <c r="C28" s="56">
        <f>SUMIF('Monthly Data'!$B$98:$B$145,$A28,$T$34:$T$81)</f>
        <v>53219290</v>
      </c>
      <c r="D28" s="56">
        <f>SUMIF('Monthly Data'!$B$98:$B$145,$A28,$U$34:$U$81)</f>
        <v>117530533</v>
      </c>
      <c r="E28" s="56">
        <f>SUMIF('Monthly Data'!$B$98:$B$145,$A28,$K$34:$K$81)</f>
        <v>36967833</v>
      </c>
      <c r="F28" s="56">
        <f>SUMIF('Monthly Data'!$B$98:$B$145,$A28,$S$34:$S$81)</f>
        <v>10562650</v>
      </c>
    </row>
    <row r="29">
      <c r="A29" s="16">
        <v>2028.0</v>
      </c>
      <c r="B29" s="56">
        <f>SUMIF('Monthly Data'!$B$98:$B$145,$A29,$L$34:$L$81)</f>
        <v>55110806</v>
      </c>
      <c r="C29" s="56">
        <f>SUMIF('Monthly Data'!$B$98:$B$145,$A29,$T$34:$T$81)</f>
        <v>57632963</v>
      </c>
      <c r="D29" s="56">
        <f>SUMIF('Monthly Data'!$B$98:$B$145,$A29,$U$34:$U$81)</f>
        <v>112743769</v>
      </c>
      <c r="E29" s="56">
        <f>SUMIF('Monthly Data'!$B$98:$B$145,$A29,$K$34:$K$81)</f>
        <v>41406074</v>
      </c>
      <c r="F29" s="56">
        <f>SUMIF('Monthly Data'!$B$98:$B$145,$A29,$S$34:$S$81)</f>
        <v>12698975</v>
      </c>
    </row>
    <row r="30">
      <c r="A30" s="16">
        <v>2029.0</v>
      </c>
      <c r="B30" s="56">
        <f>SUMIF('Monthly Data'!$B$98:$B$145,$A30,$L$34:$L$81)</f>
        <v>58733745</v>
      </c>
      <c r="C30" s="56">
        <f>SUMIF('Monthly Data'!$B$98:$B$145,$A30,$T$34:$T$81)</f>
        <v>63408610</v>
      </c>
      <c r="D30" s="56">
        <f>SUMIF('Monthly Data'!$B$98:$B$145,$A30,$U$34:$U$81)</f>
        <v>122142355</v>
      </c>
      <c r="E30" s="56">
        <f>SUMIF('Monthly Data'!$B$98:$B$145,$A30,$K$34:$K$81)</f>
        <v>44617905</v>
      </c>
      <c r="F30" s="56">
        <f>SUMIF('Monthly Data'!$B$98:$B$145,$A30,$S$34:$S$81)</f>
        <v>15489406</v>
      </c>
    </row>
    <row r="31" hidden="1"/>
    <row r="32" hidden="1">
      <c r="A32" s="70" t="s">
        <v>301</v>
      </c>
    </row>
    <row r="33" ht="52.5" hidden="1" customHeight="1">
      <c r="A33" s="52" t="s">
        <v>2</v>
      </c>
      <c r="B33" s="52" t="s">
        <v>302</v>
      </c>
      <c r="C33" s="52" t="s">
        <v>303</v>
      </c>
      <c r="D33" s="52" t="s">
        <v>304</v>
      </c>
      <c r="E33" s="52" t="s">
        <v>305</v>
      </c>
      <c r="F33" s="52" t="s">
        <v>306</v>
      </c>
      <c r="G33" s="52" t="s">
        <v>307</v>
      </c>
      <c r="H33" s="52" t="s">
        <v>308</v>
      </c>
      <c r="I33" s="52" t="s">
        <v>309</v>
      </c>
      <c r="J33" s="52" t="s">
        <v>310</v>
      </c>
      <c r="K33" s="52" t="s">
        <v>311</v>
      </c>
      <c r="L33" s="52" t="s">
        <v>312</v>
      </c>
      <c r="M33" s="52" t="s">
        <v>313</v>
      </c>
      <c r="N33" s="52" t="s">
        <v>314</v>
      </c>
      <c r="O33" s="52" t="s">
        <v>315</v>
      </c>
      <c r="P33" s="52" t="s">
        <v>316</v>
      </c>
      <c r="Q33" s="52" t="s">
        <v>317</v>
      </c>
      <c r="R33" s="52" t="s">
        <v>318</v>
      </c>
      <c r="S33" s="52" t="s">
        <v>319</v>
      </c>
      <c r="T33" s="52" t="s">
        <v>320</v>
      </c>
      <c r="U33" s="52" t="s">
        <v>321</v>
      </c>
      <c r="V33" s="52" t="s">
        <v>322</v>
      </c>
      <c r="W33" s="16" t="s">
        <v>323</v>
      </c>
    </row>
    <row r="34" hidden="1">
      <c r="A34" s="67">
        <f>'Monthly Data'!A98</f>
        <v>46023</v>
      </c>
      <c r="B34" s="27" t="str">
        <f>IF(AND('Revenue &amp; Demand'!$B$5="Assumed approval + launch",A34&gt;='Revenue &amp; Demand'!$B$6),"Postapproval monitoring","Clinical development")</f>
        <v>Clinical development</v>
      </c>
      <c r="C34" s="27">
        <f t="shared" ref="C34:C117" si="1">IF(B34="Clinical development",ROUND($B$5*(1+$B$19)^(YEAR(A34)-2026),0),$B$13)</f>
        <v>800</v>
      </c>
      <c r="D34" s="27">
        <f t="shared" ref="D34:D117" si="2">IF(B34="Clinical development",ROUND($B$6*(1+$B$20)^(YEAR(A34)-2026),0),$B$14)</f>
        <v>18</v>
      </c>
      <c r="E34" s="68">
        <f t="shared" ref="E34:E117" si="3">ROUND(C34*IF(B34="Clinical development",$B$7,$B$22)*(1+$B$21)^(YEAR(A34)-2026),0)</f>
        <v>1080000</v>
      </c>
      <c r="F34" s="68">
        <f t="shared" ref="F34:F117" si="4">ROUND(D34*IF(B34="Clinical development",$B$8,$B$23)*(1+$B$21)^(YEAR(A34)-2026),0)</f>
        <v>720000</v>
      </c>
      <c r="G34" s="68">
        <f t="shared" ref="G34:G117" si="5">ROUND(IF(B34="Clinical development",$B$9,$B$15)*(1+$B$21)^(YEAR(A34)-2026),0)</f>
        <v>475000</v>
      </c>
      <c r="H34" s="68">
        <f t="shared" ref="H34:H117" si="6">ROUND(IF(B34="Clinical development",$B$10,$B$16)*(1+$B$21)^(YEAR(A34)-2026),0)</f>
        <v>400000</v>
      </c>
      <c r="I34" s="68">
        <f t="shared" ref="I34:I117" si="7">ROUND(IF(B34="Clinical development",$B$11,$B$17)*(1+$B$21)^(YEAR(A34)-2026),0)</f>
        <v>260000</v>
      </c>
      <c r="J34" s="68">
        <f t="shared" ref="J34:J117" si="8">ROUND(IF(B34="Clinical development",$B$12,$B$18)*(1+$B$21)^(YEAR(A34)-2026),0)</f>
        <v>265000</v>
      </c>
      <c r="K34" s="68">
        <f>'Workforce &amp; Expenses'!T50</f>
        <v>2835000</v>
      </c>
      <c r="L34" s="68">
        <f t="shared" ref="L34:L117" si="9">SUM(E34:K34)</f>
        <v>6035000</v>
      </c>
      <c r="M34" s="68">
        <f t="shared" ref="M34:M117" si="10">ROUND($F$5*(1+$F$12)^(YEAR(A34)-2026),0)</f>
        <v>26</v>
      </c>
      <c r="N34" s="68">
        <f t="shared" ref="N34:N117" si="11">ROUND(M34*$F$6*(1+$F$13)^(YEAR(A34)-2026),0)</f>
        <v>572000</v>
      </c>
      <c r="O34" s="68">
        <f t="shared" ref="O34:O117" si="12">ROUND($F$7*(1+$F$13)^(YEAR(A34)-2026),0)</f>
        <v>920000</v>
      </c>
      <c r="P34" s="68">
        <f t="shared" ref="P34:P117" si="13">ROUND($F$9*(1+$F$13)^(YEAR(A34)-2026),0)</f>
        <v>650000</v>
      </c>
      <c r="Q34" s="68">
        <f t="shared" ref="Q34:Q117" si="14">ROUND($F$10*(1+$F$13)^(YEAR(A34)-2026),0)</f>
        <v>320000</v>
      </c>
      <c r="R34" s="68">
        <f t="shared" ref="R34:R117" si="15">ROUND($F$11*(1+$F$13)^(YEAR(A34)-2026),0)</f>
        <v>120000</v>
      </c>
      <c r="S34" s="68">
        <f>'Workforce &amp; Expenses'!U50</f>
        <v>787500</v>
      </c>
      <c r="T34" s="68">
        <f t="shared" ref="T34:T117" si="16">SUM(N34:S34)+W34</f>
        <v>4139500</v>
      </c>
      <c r="U34" s="68">
        <f t="shared" ref="U34:U81" si="17">SUM(L34,T34)</f>
        <v>10174500</v>
      </c>
      <c r="V34" s="68">
        <f t="shared" ref="V34:V117" si="18">U34-SUM(E34:K34)-SUM(N34:S34)-W34</f>
        <v>0</v>
      </c>
      <c r="W34" s="27">
        <f t="shared" ref="W34:W117" si="19">ROUND($F$8*(1+$F$13)^(YEAR(A34)-2026),0)</f>
        <v>770000</v>
      </c>
    </row>
    <row r="35" hidden="1">
      <c r="A35" s="67">
        <f>'Monthly Data'!A99</f>
        <v>46054</v>
      </c>
      <c r="B35" s="27" t="str">
        <f>IF(AND('Revenue &amp; Demand'!$B$5="Assumed approval + launch",A35&gt;='Revenue &amp; Demand'!$B$6),"Postapproval monitoring","Clinical development")</f>
        <v>Clinical development</v>
      </c>
      <c r="C35" s="27">
        <f t="shared" si="1"/>
        <v>800</v>
      </c>
      <c r="D35" s="27">
        <f t="shared" si="2"/>
        <v>18</v>
      </c>
      <c r="E35" s="68">
        <f t="shared" si="3"/>
        <v>1080000</v>
      </c>
      <c r="F35" s="68">
        <f t="shared" si="4"/>
        <v>720000</v>
      </c>
      <c r="G35" s="68">
        <f t="shared" si="5"/>
        <v>475000</v>
      </c>
      <c r="H35" s="68">
        <f t="shared" si="6"/>
        <v>400000</v>
      </c>
      <c r="I35" s="68">
        <f t="shared" si="7"/>
        <v>260000</v>
      </c>
      <c r="J35" s="68">
        <f t="shared" si="8"/>
        <v>265000</v>
      </c>
      <c r="K35" s="68">
        <f>'Workforce &amp; Expenses'!T51</f>
        <v>2835000</v>
      </c>
      <c r="L35" s="68">
        <f t="shared" si="9"/>
        <v>6035000</v>
      </c>
      <c r="M35" s="68">
        <f t="shared" si="10"/>
        <v>26</v>
      </c>
      <c r="N35" s="68">
        <f t="shared" si="11"/>
        <v>572000</v>
      </c>
      <c r="O35" s="68">
        <f t="shared" si="12"/>
        <v>920000</v>
      </c>
      <c r="P35" s="68">
        <f t="shared" si="13"/>
        <v>650000</v>
      </c>
      <c r="Q35" s="68">
        <f t="shared" si="14"/>
        <v>320000</v>
      </c>
      <c r="R35" s="68">
        <f t="shared" si="15"/>
        <v>120000</v>
      </c>
      <c r="S35" s="68">
        <f>'Workforce &amp; Expenses'!U51</f>
        <v>787500</v>
      </c>
      <c r="T35" s="68">
        <f t="shared" si="16"/>
        <v>4139500</v>
      </c>
      <c r="U35" s="68">
        <f t="shared" si="17"/>
        <v>10174500</v>
      </c>
      <c r="V35" s="68">
        <f t="shared" si="18"/>
        <v>0</v>
      </c>
      <c r="W35" s="27">
        <f t="shared" si="19"/>
        <v>770000</v>
      </c>
    </row>
    <row r="36" hidden="1">
      <c r="A36" s="67">
        <f>'Monthly Data'!A100</f>
        <v>46082</v>
      </c>
      <c r="B36" s="27" t="str">
        <f>IF(AND('Revenue &amp; Demand'!$B$5="Assumed approval + launch",A36&gt;='Revenue &amp; Demand'!$B$6),"Postapproval monitoring","Clinical development")</f>
        <v>Clinical development</v>
      </c>
      <c r="C36" s="27">
        <f t="shared" si="1"/>
        <v>800</v>
      </c>
      <c r="D36" s="27">
        <f t="shared" si="2"/>
        <v>18</v>
      </c>
      <c r="E36" s="68">
        <f t="shared" si="3"/>
        <v>1080000</v>
      </c>
      <c r="F36" s="68">
        <f t="shared" si="4"/>
        <v>720000</v>
      </c>
      <c r="G36" s="68">
        <f t="shared" si="5"/>
        <v>475000</v>
      </c>
      <c r="H36" s="68">
        <f t="shared" si="6"/>
        <v>400000</v>
      </c>
      <c r="I36" s="68">
        <f t="shared" si="7"/>
        <v>260000</v>
      </c>
      <c r="J36" s="68">
        <f t="shared" si="8"/>
        <v>265000</v>
      </c>
      <c r="K36" s="68">
        <f>'Workforce &amp; Expenses'!T52</f>
        <v>2835000</v>
      </c>
      <c r="L36" s="68">
        <f t="shared" si="9"/>
        <v>6035000</v>
      </c>
      <c r="M36" s="68">
        <f t="shared" si="10"/>
        <v>26</v>
      </c>
      <c r="N36" s="68">
        <f t="shared" si="11"/>
        <v>572000</v>
      </c>
      <c r="O36" s="68">
        <f t="shared" si="12"/>
        <v>920000</v>
      </c>
      <c r="P36" s="68">
        <f t="shared" si="13"/>
        <v>650000</v>
      </c>
      <c r="Q36" s="68">
        <f t="shared" si="14"/>
        <v>320000</v>
      </c>
      <c r="R36" s="68">
        <f t="shared" si="15"/>
        <v>120000</v>
      </c>
      <c r="S36" s="68">
        <f>'Workforce &amp; Expenses'!U52</f>
        <v>787500</v>
      </c>
      <c r="T36" s="68">
        <f t="shared" si="16"/>
        <v>4139500</v>
      </c>
      <c r="U36" s="68">
        <f t="shared" si="17"/>
        <v>10174500</v>
      </c>
      <c r="V36" s="68">
        <f t="shared" si="18"/>
        <v>0</v>
      </c>
      <c r="W36" s="27">
        <f t="shared" si="19"/>
        <v>770000</v>
      </c>
    </row>
    <row r="37" hidden="1">
      <c r="A37" s="67">
        <f>'Monthly Data'!A101</f>
        <v>46113</v>
      </c>
      <c r="B37" s="27" t="str">
        <f>IF(AND('Revenue &amp; Demand'!$B$5="Assumed approval + launch",A37&gt;='Revenue &amp; Demand'!$B$6),"Postapproval monitoring","Clinical development")</f>
        <v>Clinical development</v>
      </c>
      <c r="C37" s="27">
        <f t="shared" si="1"/>
        <v>800</v>
      </c>
      <c r="D37" s="27">
        <f t="shared" si="2"/>
        <v>18</v>
      </c>
      <c r="E37" s="68">
        <f t="shared" si="3"/>
        <v>1080000</v>
      </c>
      <c r="F37" s="68">
        <f t="shared" si="4"/>
        <v>720000</v>
      </c>
      <c r="G37" s="68">
        <f t="shared" si="5"/>
        <v>475000</v>
      </c>
      <c r="H37" s="68">
        <f t="shared" si="6"/>
        <v>400000</v>
      </c>
      <c r="I37" s="68">
        <f t="shared" si="7"/>
        <v>260000</v>
      </c>
      <c r="J37" s="68">
        <f t="shared" si="8"/>
        <v>265000</v>
      </c>
      <c r="K37" s="68">
        <f>'Workforce &amp; Expenses'!T53</f>
        <v>2835000</v>
      </c>
      <c r="L37" s="68">
        <f t="shared" si="9"/>
        <v>6035000</v>
      </c>
      <c r="M37" s="68">
        <f t="shared" si="10"/>
        <v>26</v>
      </c>
      <c r="N37" s="68">
        <f t="shared" si="11"/>
        <v>572000</v>
      </c>
      <c r="O37" s="68">
        <f t="shared" si="12"/>
        <v>920000</v>
      </c>
      <c r="P37" s="68">
        <f t="shared" si="13"/>
        <v>650000</v>
      </c>
      <c r="Q37" s="68">
        <f t="shared" si="14"/>
        <v>320000</v>
      </c>
      <c r="R37" s="68">
        <f t="shared" si="15"/>
        <v>120000</v>
      </c>
      <c r="S37" s="68">
        <f>'Workforce &amp; Expenses'!U53</f>
        <v>787500</v>
      </c>
      <c r="T37" s="68">
        <f t="shared" si="16"/>
        <v>4139500</v>
      </c>
      <c r="U37" s="68">
        <f t="shared" si="17"/>
        <v>10174500</v>
      </c>
      <c r="V37" s="68">
        <f t="shared" si="18"/>
        <v>0</v>
      </c>
      <c r="W37" s="27">
        <f t="shared" si="19"/>
        <v>770000</v>
      </c>
    </row>
    <row r="38" hidden="1">
      <c r="A38" s="67">
        <f>'Monthly Data'!A102</f>
        <v>46143</v>
      </c>
      <c r="B38" s="27" t="str">
        <f>IF(AND('Revenue &amp; Demand'!$B$5="Assumed approval + launch",A38&gt;='Revenue &amp; Demand'!$B$6),"Postapproval monitoring","Clinical development")</f>
        <v>Clinical development</v>
      </c>
      <c r="C38" s="27">
        <f t="shared" si="1"/>
        <v>800</v>
      </c>
      <c r="D38" s="27">
        <f t="shared" si="2"/>
        <v>18</v>
      </c>
      <c r="E38" s="68">
        <f t="shared" si="3"/>
        <v>1080000</v>
      </c>
      <c r="F38" s="68">
        <f t="shared" si="4"/>
        <v>720000</v>
      </c>
      <c r="G38" s="68">
        <f t="shared" si="5"/>
        <v>475000</v>
      </c>
      <c r="H38" s="68">
        <f t="shared" si="6"/>
        <v>400000</v>
      </c>
      <c r="I38" s="68">
        <f t="shared" si="7"/>
        <v>260000</v>
      </c>
      <c r="J38" s="68">
        <f t="shared" si="8"/>
        <v>265000</v>
      </c>
      <c r="K38" s="68">
        <f>'Workforce &amp; Expenses'!T54</f>
        <v>2835000</v>
      </c>
      <c r="L38" s="68">
        <f t="shared" si="9"/>
        <v>6035000</v>
      </c>
      <c r="M38" s="68">
        <f t="shared" si="10"/>
        <v>26</v>
      </c>
      <c r="N38" s="68">
        <f t="shared" si="11"/>
        <v>572000</v>
      </c>
      <c r="O38" s="68">
        <f t="shared" si="12"/>
        <v>920000</v>
      </c>
      <c r="P38" s="68">
        <f t="shared" si="13"/>
        <v>650000</v>
      </c>
      <c r="Q38" s="68">
        <f t="shared" si="14"/>
        <v>320000</v>
      </c>
      <c r="R38" s="68">
        <f t="shared" si="15"/>
        <v>120000</v>
      </c>
      <c r="S38" s="68">
        <f>'Workforce &amp; Expenses'!U54</f>
        <v>787500</v>
      </c>
      <c r="T38" s="68">
        <f t="shared" si="16"/>
        <v>4139500</v>
      </c>
      <c r="U38" s="68">
        <f t="shared" si="17"/>
        <v>10174500</v>
      </c>
      <c r="V38" s="68">
        <f t="shared" si="18"/>
        <v>0</v>
      </c>
      <c r="W38" s="27">
        <f t="shared" si="19"/>
        <v>770000</v>
      </c>
    </row>
    <row r="39" hidden="1">
      <c r="A39" s="67">
        <f>'Monthly Data'!A103</f>
        <v>46174</v>
      </c>
      <c r="B39" s="27" t="str">
        <f>IF(AND('Revenue &amp; Demand'!$B$5="Assumed approval + launch",A39&gt;='Revenue &amp; Demand'!$B$6),"Postapproval monitoring","Clinical development")</f>
        <v>Clinical development</v>
      </c>
      <c r="C39" s="27">
        <f t="shared" si="1"/>
        <v>800</v>
      </c>
      <c r="D39" s="27">
        <f t="shared" si="2"/>
        <v>18</v>
      </c>
      <c r="E39" s="68">
        <f t="shared" si="3"/>
        <v>1080000</v>
      </c>
      <c r="F39" s="68">
        <f t="shared" si="4"/>
        <v>720000</v>
      </c>
      <c r="G39" s="68">
        <f t="shared" si="5"/>
        <v>475000</v>
      </c>
      <c r="H39" s="68">
        <f t="shared" si="6"/>
        <v>400000</v>
      </c>
      <c r="I39" s="68">
        <f t="shared" si="7"/>
        <v>260000</v>
      </c>
      <c r="J39" s="68">
        <f t="shared" si="8"/>
        <v>265000</v>
      </c>
      <c r="K39" s="68">
        <f>'Workforce &amp; Expenses'!T55</f>
        <v>2835000</v>
      </c>
      <c r="L39" s="68">
        <f t="shared" si="9"/>
        <v>6035000</v>
      </c>
      <c r="M39" s="68">
        <f t="shared" si="10"/>
        <v>26</v>
      </c>
      <c r="N39" s="68">
        <f t="shared" si="11"/>
        <v>572000</v>
      </c>
      <c r="O39" s="68">
        <f t="shared" si="12"/>
        <v>920000</v>
      </c>
      <c r="P39" s="68">
        <f t="shared" si="13"/>
        <v>650000</v>
      </c>
      <c r="Q39" s="68">
        <f t="shared" si="14"/>
        <v>320000</v>
      </c>
      <c r="R39" s="68">
        <f t="shared" si="15"/>
        <v>120000</v>
      </c>
      <c r="S39" s="68">
        <f>'Workforce &amp; Expenses'!U55</f>
        <v>787500</v>
      </c>
      <c r="T39" s="68">
        <f t="shared" si="16"/>
        <v>4139500</v>
      </c>
      <c r="U39" s="68">
        <f t="shared" si="17"/>
        <v>10174500</v>
      </c>
      <c r="V39" s="68">
        <f t="shared" si="18"/>
        <v>0</v>
      </c>
      <c r="W39" s="27">
        <f t="shared" si="19"/>
        <v>770000</v>
      </c>
    </row>
    <row r="40" hidden="1">
      <c r="A40" s="67">
        <f>'Monthly Data'!A104</f>
        <v>46204</v>
      </c>
      <c r="B40" s="27" t="str">
        <f>IF(AND('Revenue &amp; Demand'!$B$5="Assumed approval + launch",A40&gt;='Revenue &amp; Demand'!$B$6),"Postapproval monitoring","Clinical development")</f>
        <v>Clinical development</v>
      </c>
      <c r="C40" s="27">
        <f t="shared" si="1"/>
        <v>800</v>
      </c>
      <c r="D40" s="27">
        <f t="shared" si="2"/>
        <v>18</v>
      </c>
      <c r="E40" s="68">
        <f t="shared" si="3"/>
        <v>1080000</v>
      </c>
      <c r="F40" s="68">
        <f t="shared" si="4"/>
        <v>720000</v>
      </c>
      <c r="G40" s="68">
        <f t="shared" si="5"/>
        <v>475000</v>
      </c>
      <c r="H40" s="68">
        <f t="shared" si="6"/>
        <v>400000</v>
      </c>
      <c r="I40" s="68">
        <f t="shared" si="7"/>
        <v>260000</v>
      </c>
      <c r="J40" s="68">
        <f t="shared" si="8"/>
        <v>265000</v>
      </c>
      <c r="K40" s="68">
        <f>'Workforce &amp; Expenses'!T56</f>
        <v>2835000</v>
      </c>
      <c r="L40" s="68">
        <f t="shared" si="9"/>
        <v>6035000</v>
      </c>
      <c r="M40" s="68">
        <f t="shared" si="10"/>
        <v>26</v>
      </c>
      <c r="N40" s="68">
        <f t="shared" si="11"/>
        <v>572000</v>
      </c>
      <c r="O40" s="68">
        <f t="shared" si="12"/>
        <v>920000</v>
      </c>
      <c r="P40" s="68">
        <f t="shared" si="13"/>
        <v>650000</v>
      </c>
      <c r="Q40" s="68">
        <f t="shared" si="14"/>
        <v>320000</v>
      </c>
      <c r="R40" s="68">
        <f t="shared" si="15"/>
        <v>120000</v>
      </c>
      <c r="S40" s="68">
        <f>'Workforce &amp; Expenses'!U56</f>
        <v>787500</v>
      </c>
      <c r="T40" s="68">
        <f t="shared" si="16"/>
        <v>4139500</v>
      </c>
      <c r="U40" s="68">
        <f t="shared" si="17"/>
        <v>10174500</v>
      </c>
      <c r="V40" s="68">
        <f t="shared" si="18"/>
        <v>0</v>
      </c>
      <c r="W40" s="27">
        <f t="shared" si="19"/>
        <v>770000</v>
      </c>
    </row>
    <row r="41" hidden="1">
      <c r="A41" s="67">
        <f>'Monthly Data'!A105</f>
        <v>46235</v>
      </c>
      <c r="B41" s="27" t="str">
        <f>IF(AND('Revenue &amp; Demand'!$B$5="Assumed approval + launch",A41&gt;='Revenue &amp; Demand'!$B$6),"Postapproval monitoring","Clinical development")</f>
        <v>Clinical development</v>
      </c>
      <c r="C41" s="27">
        <f t="shared" si="1"/>
        <v>800</v>
      </c>
      <c r="D41" s="27">
        <f t="shared" si="2"/>
        <v>18</v>
      </c>
      <c r="E41" s="68">
        <f t="shared" si="3"/>
        <v>1080000</v>
      </c>
      <c r="F41" s="68">
        <f t="shared" si="4"/>
        <v>720000</v>
      </c>
      <c r="G41" s="68">
        <f t="shared" si="5"/>
        <v>475000</v>
      </c>
      <c r="H41" s="68">
        <f t="shared" si="6"/>
        <v>400000</v>
      </c>
      <c r="I41" s="68">
        <f t="shared" si="7"/>
        <v>260000</v>
      </c>
      <c r="J41" s="68">
        <f t="shared" si="8"/>
        <v>265000</v>
      </c>
      <c r="K41" s="68">
        <f>'Workforce &amp; Expenses'!T57</f>
        <v>2835000</v>
      </c>
      <c r="L41" s="68">
        <f t="shared" si="9"/>
        <v>6035000</v>
      </c>
      <c r="M41" s="68">
        <f t="shared" si="10"/>
        <v>26</v>
      </c>
      <c r="N41" s="68">
        <f t="shared" si="11"/>
        <v>572000</v>
      </c>
      <c r="O41" s="68">
        <f t="shared" si="12"/>
        <v>920000</v>
      </c>
      <c r="P41" s="68">
        <f t="shared" si="13"/>
        <v>650000</v>
      </c>
      <c r="Q41" s="68">
        <f t="shared" si="14"/>
        <v>320000</v>
      </c>
      <c r="R41" s="68">
        <f t="shared" si="15"/>
        <v>120000</v>
      </c>
      <c r="S41" s="68">
        <f>'Workforce &amp; Expenses'!U57</f>
        <v>787500</v>
      </c>
      <c r="T41" s="68">
        <f t="shared" si="16"/>
        <v>4139500</v>
      </c>
      <c r="U41" s="68">
        <f t="shared" si="17"/>
        <v>10174500</v>
      </c>
      <c r="V41" s="68">
        <f t="shared" si="18"/>
        <v>0</v>
      </c>
      <c r="W41" s="27">
        <f t="shared" si="19"/>
        <v>770000</v>
      </c>
    </row>
    <row r="42" hidden="1">
      <c r="A42" s="67">
        <f>'Monthly Data'!A106</f>
        <v>46266</v>
      </c>
      <c r="B42" s="27" t="str">
        <f>IF(AND('Revenue &amp; Demand'!$B$5="Assumed approval + launch",A42&gt;='Revenue &amp; Demand'!$B$6),"Postapproval monitoring","Clinical development")</f>
        <v>Clinical development</v>
      </c>
      <c r="C42" s="27">
        <f t="shared" si="1"/>
        <v>800</v>
      </c>
      <c r="D42" s="27">
        <f t="shared" si="2"/>
        <v>18</v>
      </c>
      <c r="E42" s="68">
        <f t="shared" si="3"/>
        <v>1080000</v>
      </c>
      <c r="F42" s="68">
        <f t="shared" si="4"/>
        <v>720000</v>
      </c>
      <c r="G42" s="68">
        <f t="shared" si="5"/>
        <v>475000</v>
      </c>
      <c r="H42" s="68">
        <f t="shared" si="6"/>
        <v>400000</v>
      </c>
      <c r="I42" s="68">
        <f t="shared" si="7"/>
        <v>260000</v>
      </c>
      <c r="J42" s="68">
        <f t="shared" si="8"/>
        <v>265000</v>
      </c>
      <c r="K42" s="68">
        <f>'Workforce &amp; Expenses'!T58</f>
        <v>2835000</v>
      </c>
      <c r="L42" s="68">
        <f t="shared" si="9"/>
        <v>6035000</v>
      </c>
      <c r="M42" s="68">
        <f t="shared" si="10"/>
        <v>26</v>
      </c>
      <c r="N42" s="68">
        <f t="shared" si="11"/>
        <v>572000</v>
      </c>
      <c r="O42" s="68">
        <f t="shared" si="12"/>
        <v>920000</v>
      </c>
      <c r="P42" s="68">
        <f t="shared" si="13"/>
        <v>650000</v>
      </c>
      <c r="Q42" s="68">
        <f t="shared" si="14"/>
        <v>320000</v>
      </c>
      <c r="R42" s="68">
        <f t="shared" si="15"/>
        <v>120000</v>
      </c>
      <c r="S42" s="68">
        <f>'Workforce &amp; Expenses'!U58</f>
        <v>787500</v>
      </c>
      <c r="T42" s="68">
        <f t="shared" si="16"/>
        <v>4139500</v>
      </c>
      <c r="U42" s="68">
        <f t="shared" si="17"/>
        <v>10174500</v>
      </c>
      <c r="V42" s="68">
        <f t="shared" si="18"/>
        <v>0</v>
      </c>
      <c r="W42" s="27">
        <f t="shared" si="19"/>
        <v>770000</v>
      </c>
    </row>
    <row r="43" hidden="1">
      <c r="A43" s="67">
        <f>'Monthly Data'!A107</f>
        <v>46296</v>
      </c>
      <c r="B43" s="27" t="str">
        <f>IF(AND('Revenue &amp; Demand'!$B$5="Assumed approval + launch",A43&gt;='Revenue &amp; Demand'!$B$6),"Postapproval monitoring","Clinical development")</f>
        <v>Clinical development</v>
      </c>
      <c r="C43" s="27">
        <f t="shared" si="1"/>
        <v>800</v>
      </c>
      <c r="D43" s="27">
        <f t="shared" si="2"/>
        <v>18</v>
      </c>
      <c r="E43" s="68">
        <f t="shared" si="3"/>
        <v>1080000</v>
      </c>
      <c r="F43" s="68">
        <f t="shared" si="4"/>
        <v>720000</v>
      </c>
      <c r="G43" s="68">
        <f t="shared" si="5"/>
        <v>475000</v>
      </c>
      <c r="H43" s="68">
        <f t="shared" si="6"/>
        <v>400000</v>
      </c>
      <c r="I43" s="68">
        <f t="shared" si="7"/>
        <v>260000</v>
      </c>
      <c r="J43" s="68">
        <f t="shared" si="8"/>
        <v>265000</v>
      </c>
      <c r="K43" s="68">
        <f>'Workforce &amp; Expenses'!T59</f>
        <v>2835000</v>
      </c>
      <c r="L43" s="68">
        <f t="shared" si="9"/>
        <v>6035000</v>
      </c>
      <c r="M43" s="68">
        <f t="shared" si="10"/>
        <v>26</v>
      </c>
      <c r="N43" s="68">
        <f t="shared" si="11"/>
        <v>572000</v>
      </c>
      <c r="O43" s="68">
        <f t="shared" si="12"/>
        <v>920000</v>
      </c>
      <c r="P43" s="68">
        <f t="shared" si="13"/>
        <v>650000</v>
      </c>
      <c r="Q43" s="68">
        <f t="shared" si="14"/>
        <v>320000</v>
      </c>
      <c r="R43" s="68">
        <f t="shared" si="15"/>
        <v>120000</v>
      </c>
      <c r="S43" s="68">
        <f>'Workforce &amp; Expenses'!U59</f>
        <v>787500</v>
      </c>
      <c r="T43" s="68">
        <f t="shared" si="16"/>
        <v>4139500</v>
      </c>
      <c r="U43" s="68">
        <f t="shared" si="17"/>
        <v>10174500</v>
      </c>
      <c r="V43" s="68">
        <f t="shared" si="18"/>
        <v>0</v>
      </c>
      <c r="W43" s="27">
        <f t="shared" si="19"/>
        <v>770000</v>
      </c>
    </row>
    <row r="44" hidden="1">
      <c r="A44" s="67">
        <f>'Monthly Data'!A108</f>
        <v>46327</v>
      </c>
      <c r="B44" s="27" t="str">
        <f>IF(AND('Revenue &amp; Demand'!$B$5="Assumed approval + launch",A44&gt;='Revenue &amp; Demand'!$B$6),"Postapproval monitoring","Clinical development")</f>
        <v>Clinical development</v>
      </c>
      <c r="C44" s="27">
        <f t="shared" si="1"/>
        <v>800</v>
      </c>
      <c r="D44" s="27">
        <f t="shared" si="2"/>
        <v>18</v>
      </c>
      <c r="E44" s="68">
        <f t="shared" si="3"/>
        <v>1080000</v>
      </c>
      <c r="F44" s="68">
        <f t="shared" si="4"/>
        <v>720000</v>
      </c>
      <c r="G44" s="68">
        <f t="shared" si="5"/>
        <v>475000</v>
      </c>
      <c r="H44" s="68">
        <f t="shared" si="6"/>
        <v>400000</v>
      </c>
      <c r="I44" s="68">
        <f t="shared" si="7"/>
        <v>260000</v>
      </c>
      <c r="J44" s="68">
        <f t="shared" si="8"/>
        <v>265000</v>
      </c>
      <c r="K44" s="68">
        <f>'Workforce &amp; Expenses'!T60</f>
        <v>2835000</v>
      </c>
      <c r="L44" s="68">
        <f t="shared" si="9"/>
        <v>6035000</v>
      </c>
      <c r="M44" s="68">
        <f t="shared" si="10"/>
        <v>26</v>
      </c>
      <c r="N44" s="68">
        <f t="shared" si="11"/>
        <v>572000</v>
      </c>
      <c r="O44" s="68">
        <f t="shared" si="12"/>
        <v>920000</v>
      </c>
      <c r="P44" s="68">
        <f t="shared" si="13"/>
        <v>650000</v>
      </c>
      <c r="Q44" s="68">
        <f t="shared" si="14"/>
        <v>320000</v>
      </c>
      <c r="R44" s="68">
        <f t="shared" si="15"/>
        <v>120000</v>
      </c>
      <c r="S44" s="68">
        <f>'Workforce &amp; Expenses'!U60</f>
        <v>787500</v>
      </c>
      <c r="T44" s="68">
        <f t="shared" si="16"/>
        <v>4139500</v>
      </c>
      <c r="U44" s="68">
        <f t="shared" si="17"/>
        <v>10174500</v>
      </c>
      <c r="V44" s="68">
        <f t="shared" si="18"/>
        <v>0</v>
      </c>
      <c r="W44" s="27">
        <f t="shared" si="19"/>
        <v>770000</v>
      </c>
    </row>
    <row r="45" hidden="1">
      <c r="A45" s="67">
        <f>'Monthly Data'!A109</f>
        <v>46357</v>
      </c>
      <c r="B45" s="27" t="str">
        <f>IF(AND('Revenue &amp; Demand'!$B$5="Assumed approval + launch",A45&gt;='Revenue &amp; Demand'!$B$6),"Postapproval monitoring","Clinical development")</f>
        <v>Clinical development</v>
      </c>
      <c r="C45" s="27">
        <f t="shared" si="1"/>
        <v>800</v>
      </c>
      <c r="D45" s="27">
        <f t="shared" si="2"/>
        <v>18</v>
      </c>
      <c r="E45" s="68">
        <f t="shared" si="3"/>
        <v>1080000</v>
      </c>
      <c r="F45" s="68">
        <f t="shared" si="4"/>
        <v>720000</v>
      </c>
      <c r="G45" s="68">
        <f t="shared" si="5"/>
        <v>475000</v>
      </c>
      <c r="H45" s="68">
        <f t="shared" si="6"/>
        <v>400000</v>
      </c>
      <c r="I45" s="68">
        <f t="shared" si="7"/>
        <v>260000</v>
      </c>
      <c r="J45" s="68">
        <f t="shared" si="8"/>
        <v>265000</v>
      </c>
      <c r="K45" s="68">
        <f>'Workforce &amp; Expenses'!T61</f>
        <v>2835000</v>
      </c>
      <c r="L45" s="68">
        <f t="shared" si="9"/>
        <v>6035000</v>
      </c>
      <c r="M45" s="68">
        <f t="shared" si="10"/>
        <v>26</v>
      </c>
      <c r="N45" s="68">
        <f t="shared" si="11"/>
        <v>572000</v>
      </c>
      <c r="O45" s="68">
        <f t="shared" si="12"/>
        <v>920000</v>
      </c>
      <c r="P45" s="68">
        <f t="shared" si="13"/>
        <v>650000</v>
      </c>
      <c r="Q45" s="68">
        <f t="shared" si="14"/>
        <v>320000</v>
      </c>
      <c r="R45" s="68">
        <f t="shared" si="15"/>
        <v>120000</v>
      </c>
      <c r="S45" s="68">
        <f>'Workforce &amp; Expenses'!U61</f>
        <v>787500</v>
      </c>
      <c r="T45" s="68">
        <f t="shared" si="16"/>
        <v>4139500</v>
      </c>
      <c r="U45" s="68">
        <f t="shared" si="17"/>
        <v>10174500</v>
      </c>
      <c r="V45" s="68">
        <f t="shared" si="18"/>
        <v>0</v>
      </c>
      <c r="W45" s="27">
        <f t="shared" si="19"/>
        <v>770000</v>
      </c>
    </row>
    <row r="46" hidden="1">
      <c r="A46" s="67">
        <f>'Monthly Data'!A110</f>
        <v>46388</v>
      </c>
      <c r="B46" s="27" t="str">
        <f>IF(AND('Revenue &amp; Demand'!$B$5="Assumed approval + launch",A46&gt;='Revenue &amp; Demand'!$B$6),"Postapproval monitoring","Clinical development")</f>
        <v>Clinical development</v>
      </c>
      <c r="C46" s="27">
        <f t="shared" si="1"/>
        <v>880</v>
      </c>
      <c r="D46" s="27">
        <f t="shared" si="2"/>
        <v>19</v>
      </c>
      <c r="E46" s="68">
        <f t="shared" si="3"/>
        <v>1223640</v>
      </c>
      <c r="F46" s="68">
        <f t="shared" si="4"/>
        <v>782800</v>
      </c>
      <c r="G46" s="68">
        <f t="shared" si="5"/>
        <v>489250</v>
      </c>
      <c r="H46" s="68">
        <f t="shared" si="6"/>
        <v>412000</v>
      </c>
      <c r="I46" s="68">
        <f t="shared" si="7"/>
        <v>267800</v>
      </c>
      <c r="J46" s="68">
        <f t="shared" si="8"/>
        <v>272950</v>
      </c>
      <c r="K46" s="68">
        <f>'Workforce &amp; Expenses'!T62</f>
        <v>2939037</v>
      </c>
      <c r="L46" s="68">
        <f t="shared" si="9"/>
        <v>6387477</v>
      </c>
      <c r="M46" s="68">
        <f t="shared" si="10"/>
        <v>29</v>
      </c>
      <c r="N46" s="68">
        <f t="shared" si="11"/>
        <v>663520</v>
      </c>
      <c r="O46" s="68">
        <f t="shared" si="12"/>
        <v>956800</v>
      </c>
      <c r="P46" s="68">
        <f t="shared" si="13"/>
        <v>676000</v>
      </c>
      <c r="Q46" s="68">
        <f t="shared" si="14"/>
        <v>332800</v>
      </c>
      <c r="R46" s="68">
        <f t="shared" si="15"/>
        <v>124800</v>
      </c>
      <c r="S46" s="68">
        <f>'Workforce &amp; Expenses'!U62</f>
        <v>829150</v>
      </c>
      <c r="T46" s="68">
        <f t="shared" si="16"/>
        <v>4383870</v>
      </c>
      <c r="U46" s="68">
        <f t="shared" si="17"/>
        <v>10771347</v>
      </c>
      <c r="V46" s="68">
        <f t="shared" si="18"/>
        <v>0</v>
      </c>
      <c r="W46" s="27">
        <f t="shared" si="19"/>
        <v>800800</v>
      </c>
    </row>
    <row r="47" hidden="1">
      <c r="A47" s="67">
        <f>'Monthly Data'!A111</f>
        <v>46419</v>
      </c>
      <c r="B47" s="27" t="str">
        <f>IF(AND('Revenue &amp; Demand'!$B$5="Assumed approval + launch",A47&gt;='Revenue &amp; Demand'!$B$6),"Postapproval monitoring","Clinical development")</f>
        <v>Clinical development</v>
      </c>
      <c r="C47" s="27">
        <f t="shared" si="1"/>
        <v>880</v>
      </c>
      <c r="D47" s="27">
        <f t="shared" si="2"/>
        <v>19</v>
      </c>
      <c r="E47" s="68">
        <f t="shared" si="3"/>
        <v>1223640</v>
      </c>
      <c r="F47" s="68">
        <f t="shared" si="4"/>
        <v>782800</v>
      </c>
      <c r="G47" s="68">
        <f t="shared" si="5"/>
        <v>489250</v>
      </c>
      <c r="H47" s="68">
        <f t="shared" si="6"/>
        <v>412000</v>
      </c>
      <c r="I47" s="68">
        <f t="shared" si="7"/>
        <v>267800</v>
      </c>
      <c r="J47" s="68">
        <f t="shared" si="8"/>
        <v>272950</v>
      </c>
      <c r="K47" s="68">
        <f>'Workforce &amp; Expenses'!T63</f>
        <v>2978451</v>
      </c>
      <c r="L47" s="68">
        <f t="shared" si="9"/>
        <v>6426891</v>
      </c>
      <c r="M47" s="68">
        <f t="shared" si="10"/>
        <v>29</v>
      </c>
      <c r="N47" s="68">
        <f t="shared" si="11"/>
        <v>663520</v>
      </c>
      <c r="O47" s="68">
        <f t="shared" si="12"/>
        <v>956800</v>
      </c>
      <c r="P47" s="68">
        <f t="shared" si="13"/>
        <v>676000</v>
      </c>
      <c r="Q47" s="68">
        <f t="shared" si="14"/>
        <v>332800</v>
      </c>
      <c r="R47" s="68">
        <f t="shared" si="15"/>
        <v>124800</v>
      </c>
      <c r="S47" s="68">
        <f>'Workforce &amp; Expenses'!U63</f>
        <v>829150</v>
      </c>
      <c r="T47" s="68">
        <f t="shared" si="16"/>
        <v>4383870</v>
      </c>
      <c r="U47" s="68">
        <f t="shared" si="17"/>
        <v>10810761</v>
      </c>
      <c r="V47" s="68">
        <f t="shared" si="18"/>
        <v>0</v>
      </c>
      <c r="W47" s="27">
        <f t="shared" si="19"/>
        <v>800800</v>
      </c>
    </row>
    <row r="48" hidden="1">
      <c r="A48" s="67">
        <f>'Monthly Data'!A112</f>
        <v>46447</v>
      </c>
      <c r="B48" s="27" t="str">
        <f>IF(AND('Revenue &amp; Demand'!$B$5="Assumed approval + launch",A48&gt;='Revenue &amp; Demand'!$B$6),"Postapproval monitoring","Clinical development")</f>
        <v>Clinical development</v>
      </c>
      <c r="C48" s="27">
        <f t="shared" si="1"/>
        <v>880</v>
      </c>
      <c r="D48" s="27">
        <f t="shared" si="2"/>
        <v>19</v>
      </c>
      <c r="E48" s="68">
        <f t="shared" si="3"/>
        <v>1223640</v>
      </c>
      <c r="F48" s="68">
        <f t="shared" si="4"/>
        <v>782800</v>
      </c>
      <c r="G48" s="68">
        <f t="shared" si="5"/>
        <v>489250</v>
      </c>
      <c r="H48" s="68">
        <f t="shared" si="6"/>
        <v>412000</v>
      </c>
      <c r="I48" s="68">
        <f t="shared" si="7"/>
        <v>267800</v>
      </c>
      <c r="J48" s="68">
        <f t="shared" si="8"/>
        <v>272950</v>
      </c>
      <c r="K48" s="68">
        <f>'Workforce &amp; Expenses'!T64</f>
        <v>2997437</v>
      </c>
      <c r="L48" s="68">
        <f t="shared" si="9"/>
        <v>6445877</v>
      </c>
      <c r="M48" s="68">
        <f t="shared" si="10"/>
        <v>29</v>
      </c>
      <c r="N48" s="68">
        <f t="shared" si="11"/>
        <v>663520</v>
      </c>
      <c r="O48" s="68">
        <f t="shared" si="12"/>
        <v>956800</v>
      </c>
      <c r="P48" s="68">
        <f t="shared" si="13"/>
        <v>676000</v>
      </c>
      <c r="Q48" s="68">
        <f t="shared" si="14"/>
        <v>332800</v>
      </c>
      <c r="R48" s="68">
        <f t="shared" si="15"/>
        <v>124800</v>
      </c>
      <c r="S48" s="68">
        <f>'Workforce &amp; Expenses'!U64</f>
        <v>847175</v>
      </c>
      <c r="T48" s="68">
        <f t="shared" si="16"/>
        <v>4401895</v>
      </c>
      <c r="U48" s="68">
        <f t="shared" si="17"/>
        <v>10847772</v>
      </c>
      <c r="V48" s="68">
        <f t="shared" si="18"/>
        <v>0</v>
      </c>
      <c r="W48" s="27">
        <f t="shared" si="19"/>
        <v>800800</v>
      </c>
    </row>
    <row r="49" hidden="1">
      <c r="A49" s="67">
        <f>'Monthly Data'!A113</f>
        <v>46478</v>
      </c>
      <c r="B49" s="27" t="str">
        <f>IF(AND('Revenue &amp; Demand'!$B$5="Assumed approval + launch",A49&gt;='Revenue &amp; Demand'!$B$6),"Postapproval monitoring","Clinical development")</f>
        <v>Clinical development</v>
      </c>
      <c r="C49" s="27">
        <f t="shared" si="1"/>
        <v>880</v>
      </c>
      <c r="D49" s="27">
        <f t="shared" si="2"/>
        <v>19</v>
      </c>
      <c r="E49" s="68">
        <f t="shared" si="3"/>
        <v>1223640</v>
      </c>
      <c r="F49" s="68">
        <f t="shared" si="4"/>
        <v>782800</v>
      </c>
      <c r="G49" s="68">
        <f t="shared" si="5"/>
        <v>489250</v>
      </c>
      <c r="H49" s="68">
        <f t="shared" si="6"/>
        <v>412000</v>
      </c>
      <c r="I49" s="68">
        <f t="shared" si="7"/>
        <v>267800</v>
      </c>
      <c r="J49" s="68">
        <f t="shared" si="8"/>
        <v>272950</v>
      </c>
      <c r="K49" s="68">
        <f>'Workforce &amp; Expenses'!T65</f>
        <v>3017865</v>
      </c>
      <c r="L49" s="68">
        <f t="shared" si="9"/>
        <v>6466305</v>
      </c>
      <c r="M49" s="68">
        <f t="shared" si="10"/>
        <v>29</v>
      </c>
      <c r="N49" s="68">
        <f t="shared" si="11"/>
        <v>663520</v>
      </c>
      <c r="O49" s="68">
        <f t="shared" si="12"/>
        <v>956800</v>
      </c>
      <c r="P49" s="68">
        <f t="shared" si="13"/>
        <v>676000</v>
      </c>
      <c r="Q49" s="68">
        <f t="shared" si="14"/>
        <v>332800</v>
      </c>
      <c r="R49" s="68">
        <f t="shared" si="15"/>
        <v>124800</v>
      </c>
      <c r="S49" s="68">
        <f>'Workforce &amp; Expenses'!U65</f>
        <v>847175</v>
      </c>
      <c r="T49" s="68">
        <f t="shared" si="16"/>
        <v>4401895</v>
      </c>
      <c r="U49" s="68">
        <f t="shared" si="17"/>
        <v>10868200</v>
      </c>
      <c r="V49" s="68">
        <f t="shared" si="18"/>
        <v>0</v>
      </c>
      <c r="W49" s="27">
        <f t="shared" si="19"/>
        <v>800800</v>
      </c>
    </row>
    <row r="50" hidden="1">
      <c r="A50" s="67">
        <f>'Monthly Data'!A114</f>
        <v>46508</v>
      </c>
      <c r="B50" s="27" t="str">
        <f>IF(AND('Revenue &amp; Demand'!$B$5="Assumed approval + launch",A50&gt;='Revenue &amp; Demand'!$B$6),"Postapproval monitoring","Clinical development")</f>
        <v>Clinical development</v>
      </c>
      <c r="C50" s="27">
        <f t="shared" si="1"/>
        <v>880</v>
      </c>
      <c r="D50" s="27">
        <f t="shared" si="2"/>
        <v>19</v>
      </c>
      <c r="E50" s="68">
        <f t="shared" si="3"/>
        <v>1223640</v>
      </c>
      <c r="F50" s="68">
        <f t="shared" si="4"/>
        <v>782800</v>
      </c>
      <c r="G50" s="68">
        <f t="shared" si="5"/>
        <v>489250</v>
      </c>
      <c r="H50" s="68">
        <f t="shared" si="6"/>
        <v>412000</v>
      </c>
      <c r="I50" s="68">
        <f t="shared" si="7"/>
        <v>267800</v>
      </c>
      <c r="J50" s="68">
        <f t="shared" si="8"/>
        <v>272950</v>
      </c>
      <c r="K50" s="68">
        <f>'Workforce &amp; Expenses'!T66</f>
        <v>3036852</v>
      </c>
      <c r="L50" s="68">
        <f t="shared" si="9"/>
        <v>6485292</v>
      </c>
      <c r="M50" s="68">
        <f t="shared" si="10"/>
        <v>29</v>
      </c>
      <c r="N50" s="68">
        <f t="shared" si="11"/>
        <v>663520</v>
      </c>
      <c r="O50" s="68">
        <f t="shared" si="12"/>
        <v>956800</v>
      </c>
      <c r="P50" s="68">
        <f t="shared" si="13"/>
        <v>676000</v>
      </c>
      <c r="Q50" s="68">
        <f t="shared" si="14"/>
        <v>332800</v>
      </c>
      <c r="R50" s="68">
        <f t="shared" si="15"/>
        <v>124800</v>
      </c>
      <c r="S50" s="68">
        <f>'Workforce &amp; Expenses'!U66</f>
        <v>865200</v>
      </c>
      <c r="T50" s="68">
        <f t="shared" si="16"/>
        <v>4419920</v>
      </c>
      <c r="U50" s="68">
        <f t="shared" si="17"/>
        <v>10905212</v>
      </c>
      <c r="V50" s="68">
        <f t="shared" si="18"/>
        <v>0</v>
      </c>
      <c r="W50" s="27">
        <f t="shared" si="19"/>
        <v>800800</v>
      </c>
    </row>
    <row r="51" hidden="1">
      <c r="A51" s="67">
        <f>'Monthly Data'!A115</f>
        <v>46539</v>
      </c>
      <c r="B51" s="27" t="str">
        <f>IF(AND('Revenue &amp; Demand'!$B$5="Assumed approval + launch",A51&gt;='Revenue &amp; Demand'!$B$6),"Postapproval monitoring","Clinical development")</f>
        <v>Clinical development</v>
      </c>
      <c r="C51" s="27">
        <f t="shared" si="1"/>
        <v>880</v>
      </c>
      <c r="D51" s="27">
        <f t="shared" si="2"/>
        <v>19</v>
      </c>
      <c r="E51" s="68">
        <f t="shared" si="3"/>
        <v>1223640</v>
      </c>
      <c r="F51" s="68">
        <f t="shared" si="4"/>
        <v>782800</v>
      </c>
      <c r="G51" s="68">
        <f t="shared" si="5"/>
        <v>489250</v>
      </c>
      <c r="H51" s="68">
        <f t="shared" si="6"/>
        <v>412000</v>
      </c>
      <c r="I51" s="68">
        <f t="shared" si="7"/>
        <v>267800</v>
      </c>
      <c r="J51" s="68">
        <f t="shared" si="8"/>
        <v>272950</v>
      </c>
      <c r="K51" s="68">
        <f>'Workforce &amp; Expenses'!T67</f>
        <v>3076267</v>
      </c>
      <c r="L51" s="68">
        <f t="shared" si="9"/>
        <v>6524707</v>
      </c>
      <c r="M51" s="68">
        <f t="shared" si="10"/>
        <v>29</v>
      </c>
      <c r="N51" s="68">
        <f t="shared" si="11"/>
        <v>663520</v>
      </c>
      <c r="O51" s="68">
        <f t="shared" si="12"/>
        <v>956800</v>
      </c>
      <c r="P51" s="68">
        <f t="shared" si="13"/>
        <v>676000</v>
      </c>
      <c r="Q51" s="68">
        <f t="shared" si="14"/>
        <v>332800</v>
      </c>
      <c r="R51" s="68">
        <f t="shared" si="15"/>
        <v>124800</v>
      </c>
      <c r="S51" s="68">
        <f>'Workforce &amp; Expenses'!U67</f>
        <v>883225</v>
      </c>
      <c r="T51" s="68">
        <f t="shared" si="16"/>
        <v>4437945</v>
      </c>
      <c r="U51" s="68">
        <f t="shared" si="17"/>
        <v>10962652</v>
      </c>
      <c r="V51" s="68">
        <f t="shared" si="18"/>
        <v>0</v>
      </c>
      <c r="W51" s="27">
        <f t="shared" si="19"/>
        <v>800800</v>
      </c>
    </row>
    <row r="52" hidden="1">
      <c r="A52" s="67">
        <f>'Monthly Data'!A116</f>
        <v>46569</v>
      </c>
      <c r="B52" s="27" t="str">
        <f>IF(AND('Revenue &amp; Demand'!$B$5="Assumed approval + launch",A52&gt;='Revenue &amp; Demand'!$B$6),"Postapproval monitoring","Clinical development")</f>
        <v>Postapproval monitoring</v>
      </c>
      <c r="C52" s="27">
        <f t="shared" si="1"/>
        <v>250</v>
      </c>
      <c r="D52" s="27">
        <f t="shared" si="2"/>
        <v>8</v>
      </c>
      <c r="E52" s="68">
        <f t="shared" si="3"/>
        <v>244625</v>
      </c>
      <c r="F52" s="68">
        <f t="shared" si="4"/>
        <v>148320</v>
      </c>
      <c r="G52" s="68">
        <f t="shared" si="5"/>
        <v>149350</v>
      </c>
      <c r="H52" s="68">
        <f t="shared" si="6"/>
        <v>247200</v>
      </c>
      <c r="I52" s="68">
        <f t="shared" si="7"/>
        <v>180250</v>
      </c>
      <c r="J52" s="68">
        <f t="shared" si="8"/>
        <v>139050</v>
      </c>
      <c r="K52" s="68">
        <f>'Workforce &amp; Expenses'!T68</f>
        <v>3095253</v>
      </c>
      <c r="L52" s="68">
        <f t="shared" si="9"/>
        <v>4204048</v>
      </c>
      <c r="M52" s="68">
        <f t="shared" si="10"/>
        <v>29</v>
      </c>
      <c r="N52" s="68">
        <f t="shared" si="11"/>
        <v>663520</v>
      </c>
      <c r="O52" s="68">
        <f t="shared" si="12"/>
        <v>956800</v>
      </c>
      <c r="P52" s="68">
        <f t="shared" si="13"/>
        <v>676000</v>
      </c>
      <c r="Q52" s="68">
        <f t="shared" si="14"/>
        <v>332800</v>
      </c>
      <c r="R52" s="68">
        <f t="shared" si="15"/>
        <v>124800</v>
      </c>
      <c r="S52" s="68">
        <f>'Workforce &amp; Expenses'!U68</f>
        <v>883225</v>
      </c>
      <c r="T52" s="68">
        <f t="shared" si="16"/>
        <v>4437945</v>
      </c>
      <c r="U52" s="68">
        <f t="shared" si="17"/>
        <v>8641993</v>
      </c>
      <c r="V52" s="68">
        <f t="shared" si="18"/>
        <v>0</v>
      </c>
      <c r="W52" s="27">
        <f t="shared" si="19"/>
        <v>800800</v>
      </c>
    </row>
    <row r="53" hidden="1">
      <c r="A53" s="67">
        <f>'Monthly Data'!A117</f>
        <v>46600</v>
      </c>
      <c r="B53" s="27" t="str">
        <f>IF(AND('Revenue &amp; Demand'!$B$5="Assumed approval + launch",A53&gt;='Revenue &amp; Demand'!$B$6),"Postapproval monitoring","Clinical development")</f>
        <v>Postapproval monitoring</v>
      </c>
      <c r="C53" s="27">
        <f t="shared" si="1"/>
        <v>250</v>
      </c>
      <c r="D53" s="27">
        <f t="shared" si="2"/>
        <v>8</v>
      </c>
      <c r="E53" s="68">
        <f t="shared" si="3"/>
        <v>244625</v>
      </c>
      <c r="F53" s="68">
        <f t="shared" si="4"/>
        <v>148320</v>
      </c>
      <c r="G53" s="68">
        <f t="shared" si="5"/>
        <v>149350</v>
      </c>
      <c r="H53" s="68">
        <f t="shared" si="6"/>
        <v>247200</v>
      </c>
      <c r="I53" s="68">
        <f t="shared" si="7"/>
        <v>180250</v>
      </c>
      <c r="J53" s="68">
        <f t="shared" si="8"/>
        <v>139050</v>
      </c>
      <c r="K53" s="68">
        <f>'Workforce &amp; Expenses'!T69</f>
        <v>3114240</v>
      </c>
      <c r="L53" s="68">
        <f t="shared" si="9"/>
        <v>4223035</v>
      </c>
      <c r="M53" s="68">
        <f t="shared" si="10"/>
        <v>29</v>
      </c>
      <c r="N53" s="68">
        <f t="shared" si="11"/>
        <v>663520</v>
      </c>
      <c r="O53" s="68">
        <f t="shared" si="12"/>
        <v>956800</v>
      </c>
      <c r="P53" s="68">
        <f t="shared" si="13"/>
        <v>676000</v>
      </c>
      <c r="Q53" s="68">
        <f t="shared" si="14"/>
        <v>332800</v>
      </c>
      <c r="R53" s="68">
        <f t="shared" si="15"/>
        <v>124800</v>
      </c>
      <c r="S53" s="68">
        <f>'Workforce &amp; Expenses'!U69</f>
        <v>901250</v>
      </c>
      <c r="T53" s="68">
        <f t="shared" si="16"/>
        <v>4455970</v>
      </c>
      <c r="U53" s="68">
        <f t="shared" si="17"/>
        <v>8679005</v>
      </c>
      <c r="V53" s="68">
        <f t="shared" si="18"/>
        <v>0</v>
      </c>
      <c r="W53" s="27">
        <f t="shared" si="19"/>
        <v>800800</v>
      </c>
    </row>
    <row r="54" hidden="1">
      <c r="A54" s="67">
        <f>'Monthly Data'!A118</f>
        <v>46631</v>
      </c>
      <c r="B54" s="27" t="str">
        <f>IF(AND('Revenue &amp; Demand'!$B$5="Assumed approval + launch",A54&gt;='Revenue &amp; Demand'!$B$6),"Postapproval monitoring","Clinical development")</f>
        <v>Postapproval monitoring</v>
      </c>
      <c r="C54" s="27">
        <f t="shared" si="1"/>
        <v>250</v>
      </c>
      <c r="D54" s="27">
        <f t="shared" si="2"/>
        <v>8</v>
      </c>
      <c r="E54" s="68">
        <f t="shared" si="3"/>
        <v>244625</v>
      </c>
      <c r="F54" s="68">
        <f t="shared" si="4"/>
        <v>148320</v>
      </c>
      <c r="G54" s="68">
        <f t="shared" si="5"/>
        <v>149350</v>
      </c>
      <c r="H54" s="68">
        <f t="shared" si="6"/>
        <v>247200</v>
      </c>
      <c r="I54" s="68">
        <f t="shared" si="7"/>
        <v>180250</v>
      </c>
      <c r="J54" s="68">
        <f t="shared" si="8"/>
        <v>139050</v>
      </c>
      <c r="K54" s="68">
        <f>'Workforce &amp; Expenses'!T70</f>
        <v>3153654</v>
      </c>
      <c r="L54" s="68">
        <f t="shared" si="9"/>
        <v>4262449</v>
      </c>
      <c r="M54" s="68">
        <f t="shared" si="10"/>
        <v>29</v>
      </c>
      <c r="N54" s="68">
        <f t="shared" si="11"/>
        <v>663520</v>
      </c>
      <c r="O54" s="68">
        <f t="shared" si="12"/>
        <v>956800</v>
      </c>
      <c r="P54" s="68">
        <f t="shared" si="13"/>
        <v>676000</v>
      </c>
      <c r="Q54" s="68">
        <f t="shared" si="14"/>
        <v>332800</v>
      </c>
      <c r="R54" s="68">
        <f t="shared" si="15"/>
        <v>124800</v>
      </c>
      <c r="S54" s="68">
        <f>'Workforce &amp; Expenses'!U70</f>
        <v>901250</v>
      </c>
      <c r="T54" s="68">
        <f t="shared" si="16"/>
        <v>4455970</v>
      </c>
      <c r="U54" s="68">
        <f t="shared" si="17"/>
        <v>8718419</v>
      </c>
      <c r="V54" s="68">
        <f t="shared" si="18"/>
        <v>0</v>
      </c>
      <c r="W54" s="27">
        <f t="shared" si="19"/>
        <v>800800</v>
      </c>
    </row>
    <row r="55" hidden="1">
      <c r="A55" s="67">
        <f>'Monthly Data'!A119</f>
        <v>46661</v>
      </c>
      <c r="B55" s="27" t="str">
        <f>IF(AND('Revenue &amp; Demand'!$B$5="Assumed approval + launch",A55&gt;='Revenue &amp; Demand'!$B$6),"Postapproval monitoring","Clinical development")</f>
        <v>Postapproval monitoring</v>
      </c>
      <c r="C55" s="27">
        <f t="shared" si="1"/>
        <v>250</v>
      </c>
      <c r="D55" s="27">
        <f t="shared" si="2"/>
        <v>8</v>
      </c>
      <c r="E55" s="68">
        <f t="shared" si="3"/>
        <v>244625</v>
      </c>
      <c r="F55" s="68">
        <f t="shared" si="4"/>
        <v>148320</v>
      </c>
      <c r="G55" s="68">
        <f t="shared" si="5"/>
        <v>149350</v>
      </c>
      <c r="H55" s="68">
        <f t="shared" si="6"/>
        <v>247200</v>
      </c>
      <c r="I55" s="68">
        <f t="shared" si="7"/>
        <v>180250</v>
      </c>
      <c r="J55" s="68">
        <f t="shared" si="8"/>
        <v>139050</v>
      </c>
      <c r="K55" s="68">
        <f>'Workforce &amp; Expenses'!T71</f>
        <v>3153654</v>
      </c>
      <c r="L55" s="68">
        <f t="shared" si="9"/>
        <v>4262449</v>
      </c>
      <c r="M55" s="68">
        <f t="shared" si="10"/>
        <v>29</v>
      </c>
      <c r="N55" s="68">
        <f t="shared" si="11"/>
        <v>663520</v>
      </c>
      <c r="O55" s="68">
        <f t="shared" si="12"/>
        <v>956800</v>
      </c>
      <c r="P55" s="68">
        <f t="shared" si="13"/>
        <v>676000</v>
      </c>
      <c r="Q55" s="68">
        <f t="shared" si="14"/>
        <v>332800</v>
      </c>
      <c r="R55" s="68">
        <f t="shared" si="15"/>
        <v>124800</v>
      </c>
      <c r="S55" s="68">
        <f>'Workforce &amp; Expenses'!U71</f>
        <v>919275</v>
      </c>
      <c r="T55" s="68">
        <f t="shared" si="16"/>
        <v>4473995</v>
      </c>
      <c r="U55" s="68">
        <f t="shared" si="17"/>
        <v>8736444</v>
      </c>
      <c r="V55" s="68">
        <f t="shared" si="18"/>
        <v>0</v>
      </c>
      <c r="W55" s="27">
        <f t="shared" si="19"/>
        <v>800800</v>
      </c>
    </row>
    <row r="56" hidden="1">
      <c r="A56" s="67">
        <f>'Monthly Data'!A120</f>
        <v>46692</v>
      </c>
      <c r="B56" s="27" t="str">
        <f>IF(AND('Revenue &amp; Demand'!$B$5="Assumed approval + launch",A56&gt;='Revenue &amp; Demand'!$B$6),"Postapproval monitoring","Clinical development")</f>
        <v>Postapproval monitoring</v>
      </c>
      <c r="C56" s="27">
        <f t="shared" si="1"/>
        <v>250</v>
      </c>
      <c r="D56" s="27">
        <f t="shared" si="2"/>
        <v>8</v>
      </c>
      <c r="E56" s="68">
        <f t="shared" si="3"/>
        <v>244625</v>
      </c>
      <c r="F56" s="68">
        <f t="shared" si="4"/>
        <v>148320</v>
      </c>
      <c r="G56" s="68">
        <f t="shared" si="5"/>
        <v>149350</v>
      </c>
      <c r="H56" s="68">
        <f t="shared" si="6"/>
        <v>247200</v>
      </c>
      <c r="I56" s="68">
        <f t="shared" si="7"/>
        <v>180250</v>
      </c>
      <c r="J56" s="68">
        <f t="shared" si="8"/>
        <v>139050</v>
      </c>
      <c r="K56" s="68">
        <f>'Workforce &amp; Expenses'!T72</f>
        <v>3193068</v>
      </c>
      <c r="L56" s="68">
        <f t="shared" si="9"/>
        <v>4301863</v>
      </c>
      <c r="M56" s="68">
        <f t="shared" si="10"/>
        <v>29</v>
      </c>
      <c r="N56" s="68">
        <f t="shared" si="11"/>
        <v>663520</v>
      </c>
      <c r="O56" s="68">
        <f t="shared" si="12"/>
        <v>956800</v>
      </c>
      <c r="P56" s="68">
        <f t="shared" si="13"/>
        <v>676000</v>
      </c>
      <c r="Q56" s="68">
        <f t="shared" si="14"/>
        <v>332800</v>
      </c>
      <c r="R56" s="68">
        <f t="shared" si="15"/>
        <v>124800</v>
      </c>
      <c r="S56" s="68">
        <f>'Workforce &amp; Expenses'!U72</f>
        <v>919275</v>
      </c>
      <c r="T56" s="68">
        <f t="shared" si="16"/>
        <v>4473995</v>
      </c>
      <c r="U56" s="68">
        <f t="shared" si="17"/>
        <v>8775858</v>
      </c>
      <c r="V56" s="68">
        <f t="shared" si="18"/>
        <v>0</v>
      </c>
      <c r="W56" s="27">
        <f t="shared" si="19"/>
        <v>800800</v>
      </c>
    </row>
    <row r="57" hidden="1">
      <c r="A57" s="67">
        <f>'Monthly Data'!A121</f>
        <v>46722</v>
      </c>
      <c r="B57" s="27" t="str">
        <f>IF(AND('Revenue &amp; Demand'!$B$5="Assumed approval + launch",A57&gt;='Revenue &amp; Demand'!$B$6),"Postapproval monitoring","Clinical development")</f>
        <v>Postapproval monitoring</v>
      </c>
      <c r="C57" s="27">
        <f t="shared" si="1"/>
        <v>250</v>
      </c>
      <c r="D57" s="27">
        <f t="shared" si="2"/>
        <v>8</v>
      </c>
      <c r="E57" s="68">
        <f t="shared" si="3"/>
        <v>244625</v>
      </c>
      <c r="F57" s="68">
        <f t="shared" si="4"/>
        <v>148320</v>
      </c>
      <c r="G57" s="68">
        <f t="shared" si="5"/>
        <v>149350</v>
      </c>
      <c r="H57" s="68">
        <f t="shared" si="6"/>
        <v>247200</v>
      </c>
      <c r="I57" s="68">
        <f t="shared" si="7"/>
        <v>180250</v>
      </c>
      <c r="J57" s="68">
        <f t="shared" si="8"/>
        <v>139050</v>
      </c>
      <c r="K57" s="68">
        <f>'Workforce &amp; Expenses'!T73</f>
        <v>3212055</v>
      </c>
      <c r="L57" s="68">
        <f t="shared" si="9"/>
        <v>4320850</v>
      </c>
      <c r="M57" s="68">
        <f t="shared" si="10"/>
        <v>29</v>
      </c>
      <c r="N57" s="68">
        <f t="shared" si="11"/>
        <v>663520</v>
      </c>
      <c r="O57" s="68">
        <f t="shared" si="12"/>
        <v>956800</v>
      </c>
      <c r="P57" s="68">
        <f t="shared" si="13"/>
        <v>676000</v>
      </c>
      <c r="Q57" s="68">
        <f t="shared" si="14"/>
        <v>332800</v>
      </c>
      <c r="R57" s="68">
        <f t="shared" si="15"/>
        <v>124800</v>
      </c>
      <c r="S57" s="68">
        <f>'Workforce &amp; Expenses'!U73</f>
        <v>937300</v>
      </c>
      <c r="T57" s="68">
        <f t="shared" si="16"/>
        <v>4492020</v>
      </c>
      <c r="U57" s="68">
        <f t="shared" si="17"/>
        <v>8812870</v>
      </c>
      <c r="V57" s="68">
        <f t="shared" si="18"/>
        <v>0</v>
      </c>
      <c r="W57" s="27">
        <f t="shared" si="19"/>
        <v>800800</v>
      </c>
    </row>
    <row r="58" hidden="1">
      <c r="A58" s="67">
        <f>'Monthly Data'!A122</f>
        <v>46753</v>
      </c>
      <c r="B58" s="27" t="str">
        <f>IF(AND('Revenue &amp; Demand'!$B$5="Assumed approval + launch",A58&gt;='Revenue &amp; Demand'!$B$6),"Postapproval monitoring","Clinical development")</f>
        <v>Postapproval monitoring</v>
      </c>
      <c r="C58" s="27">
        <f t="shared" si="1"/>
        <v>250</v>
      </c>
      <c r="D58" s="27">
        <f t="shared" si="2"/>
        <v>8</v>
      </c>
      <c r="E58" s="68">
        <f t="shared" si="3"/>
        <v>251964</v>
      </c>
      <c r="F58" s="68">
        <f t="shared" si="4"/>
        <v>152770</v>
      </c>
      <c r="G58" s="68">
        <f t="shared" si="5"/>
        <v>153831</v>
      </c>
      <c r="H58" s="68">
        <f t="shared" si="6"/>
        <v>254616</v>
      </c>
      <c r="I58" s="68">
        <f t="shared" si="7"/>
        <v>185658</v>
      </c>
      <c r="J58" s="68">
        <f t="shared" si="8"/>
        <v>143222</v>
      </c>
      <c r="K58" s="68">
        <f>'Workforce &amp; Expenses'!T74</f>
        <v>3349013</v>
      </c>
      <c r="L58" s="68">
        <f t="shared" si="9"/>
        <v>4491074</v>
      </c>
      <c r="M58" s="68">
        <f t="shared" si="10"/>
        <v>31</v>
      </c>
      <c r="N58" s="68">
        <f t="shared" si="11"/>
        <v>737651</v>
      </c>
      <c r="O58" s="68">
        <f t="shared" si="12"/>
        <v>995072</v>
      </c>
      <c r="P58" s="68">
        <f t="shared" si="13"/>
        <v>703040</v>
      </c>
      <c r="Q58" s="68">
        <f t="shared" si="14"/>
        <v>346112</v>
      </c>
      <c r="R58" s="68">
        <f t="shared" si="15"/>
        <v>129792</v>
      </c>
      <c r="S58" s="68">
        <f>'Workforce &amp; Expenses'!U74</f>
        <v>983985</v>
      </c>
      <c r="T58" s="68">
        <f t="shared" si="16"/>
        <v>4728484</v>
      </c>
      <c r="U58" s="68">
        <f t="shared" si="17"/>
        <v>9219558</v>
      </c>
      <c r="V58" s="68">
        <f t="shared" si="18"/>
        <v>0</v>
      </c>
      <c r="W58" s="27">
        <f t="shared" si="19"/>
        <v>832832</v>
      </c>
    </row>
    <row r="59" hidden="1">
      <c r="A59" s="67">
        <f>'Monthly Data'!A123</f>
        <v>46784</v>
      </c>
      <c r="B59" s="27" t="str">
        <f>IF(AND('Revenue &amp; Demand'!$B$5="Assumed approval + launch",A59&gt;='Revenue &amp; Demand'!$B$6),"Postapproval monitoring","Clinical development")</f>
        <v>Postapproval monitoring</v>
      </c>
      <c r="C59" s="27">
        <f t="shared" si="1"/>
        <v>250</v>
      </c>
      <c r="D59" s="27">
        <f t="shared" si="2"/>
        <v>8</v>
      </c>
      <c r="E59" s="68">
        <f t="shared" si="3"/>
        <v>251964</v>
      </c>
      <c r="F59" s="68">
        <f t="shared" si="4"/>
        <v>152770</v>
      </c>
      <c r="G59" s="68">
        <f t="shared" si="5"/>
        <v>153831</v>
      </c>
      <c r="H59" s="68">
        <f t="shared" si="6"/>
        <v>254616</v>
      </c>
      <c r="I59" s="68">
        <f t="shared" si="7"/>
        <v>185658</v>
      </c>
      <c r="J59" s="68">
        <f t="shared" si="8"/>
        <v>143222</v>
      </c>
      <c r="K59" s="68">
        <f>'Workforce &amp; Expenses'!T75</f>
        <v>3349013</v>
      </c>
      <c r="L59" s="68">
        <f t="shared" si="9"/>
        <v>4491074</v>
      </c>
      <c r="M59" s="68">
        <f t="shared" si="10"/>
        <v>31</v>
      </c>
      <c r="N59" s="68">
        <f t="shared" si="11"/>
        <v>737651</v>
      </c>
      <c r="O59" s="68">
        <f t="shared" si="12"/>
        <v>995072</v>
      </c>
      <c r="P59" s="68">
        <f t="shared" si="13"/>
        <v>703040</v>
      </c>
      <c r="Q59" s="68">
        <f t="shared" si="14"/>
        <v>346112</v>
      </c>
      <c r="R59" s="68">
        <f t="shared" si="15"/>
        <v>129792</v>
      </c>
      <c r="S59" s="68">
        <f>'Workforce &amp; Expenses'!U75</f>
        <v>1002551</v>
      </c>
      <c r="T59" s="68">
        <f t="shared" si="16"/>
        <v>4747050</v>
      </c>
      <c r="U59" s="68">
        <f t="shared" si="17"/>
        <v>9238124</v>
      </c>
      <c r="V59" s="68">
        <f t="shared" si="18"/>
        <v>0</v>
      </c>
      <c r="W59" s="27">
        <f t="shared" si="19"/>
        <v>832832</v>
      </c>
    </row>
    <row r="60" hidden="1">
      <c r="A60" s="67">
        <f>'Monthly Data'!A124</f>
        <v>46813</v>
      </c>
      <c r="B60" s="27" t="str">
        <f>IF(AND('Revenue &amp; Demand'!$B$5="Assumed approval + launch",A60&gt;='Revenue &amp; Demand'!$B$6),"Postapproval monitoring","Clinical development")</f>
        <v>Postapproval monitoring</v>
      </c>
      <c r="C60" s="27">
        <f t="shared" si="1"/>
        <v>250</v>
      </c>
      <c r="D60" s="27">
        <f t="shared" si="2"/>
        <v>8</v>
      </c>
      <c r="E60" s="68">
        <f t="shared" si="3"/>
        <v>251964</v>
      </c>
      <c r="F60" s="68">
        <f t="shared" si="4"/>
        <v>152770</v>
      </c>
      <c r="G60" s="68">
        <f t="shared" si="5"/>
        <v>153831</v>
      </c>
      <c r="H60" s="68">
        <f t="shared" si="6"/>
        <v>254616</v>
      </c>
      <c r="I60" s="68">
        <f t="shared" si="7"/>
        <v>185658</v>
      </c>
      <c r="J60" s="68">
        <f t="shared" si="8"/>
        <v>143222</v>
      </c>
      <c r="K60" s="68">
        <f>'Workforce &amp; Expenses'!T76</f>
        <v>3389610</v>
      </c>
      <c r="L60" s="68">
        <f t="shared" si="9"/>
        <v>4531671</v>
      </c>
      <c r="M60" s="68">
        <f t="shared" si="10"/>
        <v>31</v>
      </c>
      <c r="N60" s="68">
        <f t="shared" si="11"/>
        <v>737651</v>
      </c>
      <c r="O60" s="68">
        <f t="shared" si="12"/>
        <v>995072</v>
      </c>
      <c r="P60" s="68">
        <f t="shared" si="13"/>
        <v>703040</v>
      </c>
      <c r="Q60" s="68">
        <f t="shared" si="14"/>
        <v>346112</v>
      </c>
      <c r="R60" s="68">
        <f t="shared" si="15"/>
        <v>129792</v>
      </c>
      <c r="S60" s="68">
        <f>'Workforce &amp; Expenses'!U76</f>
        <v>1002551</v>
      </c>
      <c r="T60" s="68">
        <f t="shared" si="16"/>
        <v>4747050</v>
      </c>
      <c r="U60" s="68">
        <f t="shared" si="17"/>
        <v>9278721</v>
      </c>
      <c r="V60" s="68">
        <f t="shared" si="18"/>
        <v>0</v>
      </c>
      <c r="W60" s="27">
        <f t="shared" si="19"/>
        <v>832832</v>
      </c>
    </row>
    <row r="61" hidden="1">
      <c r="A61" s="67">
        <f>'Monthly Data'!A125</f>
        <v>46844</v>
      </c>
      <c r="B61" s="27" t="str">
        <f>IF(AND('Revenue &amp; Demand'!$B$5="Assumed approval + launch",A61&gt;='Revenue &amp; Demand'!$B$6),"Postapproval monitoring","Clinical development")</f>
        <v>Postapproval monitoring</v>
      </c>
      <c r="C61" s="27">
        <f t="shared" si="1"/>
        <v>250</v>
      </c>
      <c r="D61" s="27">
        <f t="shared" si="2"/>
        <v>8</v>
      </c>
      <c r="E61" s="68">
        <f t="shared" si="3"/>
        <v>251964</v>
      </c>
      <c r="F61" s="68">
        <f t="shared" si="4"/>
        <v>152770</v>
      </c>
      <c r="G61" s="68">
        <f t="shared" si="5"/>
        <v>153831</v>
      </c>
      <c r="H61" s="68">
        <f t="shared" si="6"/>
        <v>254616</v>
      </c>
      <c r="I61" s="68">
        <f t="shared" si="7"/>
        <v>185658</v>
      </c>
      <c r="J61" s="68">
        <f t="shared" si="8"/>
        <v>143222</v>
      </c>
      <c r="K61" s="68">
        <f>'Workforce &amp; Expenses'!T77</f>
        <v>3389610</v>
      </c>
      <c r="L61" s="68">
        <f t="shared" si="9"/>
        <v>4531671</v>
      </c>
      <c r="M61" s="68">
        <f t="shared" si="10"/>
        <v>31</v>
      </c>
      <c r="N61" s="68">
        <f t="shared" si="11"/>
        <v>737651</v>
      </c>
      <c r="O61" s="68">
        <f t="shared" si="12"/>
        <v>995072</v>
      </c>
      <c r="P61" s="68">
        <f t="shared" si="13"/>
        <v>703040</v>
      </c>
      <c r="Q61" s="68">
        <f t="shared" si="14"/>
        <v>346112</v>
      </c>
      <c r="R61" s="68">
        <f t="shared" si="15"/>
        <v>129792</v>
      </c>
      <c r="S61" s="68">
        <f>'Workforce &amp; Expenses'!U77</f>
        <v>1021116</v>
      </c>
      <c r="T61" s="68">
        <f t="shared" si="16"/>
        <v>4765615</v>
      </c>
      <c r="U61" s="68">
        <f t="shared" si="17"/>
        <v>9297286</v>
      </c>
      <c r="V61" s="68">
        <f t="shared" si="18"/>
        <v>0</v>
      </c>
      <c r="W61" s="27">
        <f t="shared" si="19"/>
        <v>832832</v>
      </c>
    </row>
    <row r="62" hidden="1">
      <c r="A62" s="67">
        <f>'Monthly Data'!A126</f>
        <v>46874</v>
      </c>
      <c r="B62" s="27" t="str">
        <f>IF(AND('Revenue &amp; Demand'!$B$5="Assumed approval + launch",A62&gt;='Revenue &amp; Demand'!$B$6),"Postapproval monitoring","Clinical development")</f>
        <v>Postapproval monitoring</v>
      </c>
      <c r="C62" s="27">
        <f t="shared" si="1"/>
        <v>250</v>
      </c>
      <c r="D62" s="27">
        <f t="shared" si="2"/>
        <v>8</v>
      </c>
      <c r="E62" s="68">
        <f t="shared" si="3"/>
        <v>251964</v>
      </c>
      <c r="F62" s="68">
        <f t="shared" si="4"/>
        <v>152770</v>
      </c>
      <c r="G62" s="68">
        <f t="shared" si="5"/>
        <v>153831</v>
      </c>
      <c r="H62" s="68">
        <f t="shared" si="6"/>
        <v>254616</v>
      </c>
      <c r="I62" s="68">
        <f t="shared" si="7"/>
        <v>185658</v>
      </c>
      <c r="J62" s="68">
        <f t="shared" si="8"/>
        <v>143222</v>
      </c>
      <c r="K62" s="68">
        <f>'Workforce &amp; Expenses'!T78</f>
        <v>3430208</v>
      </c>
      <c r="L62" s="68">
        <f t="shared" si="9"/>
        <v>4572269</v>
      </c>
      <c r="M62" s="68">
        <f t="shared" si="10"/>
        <v>31</v>
      </c>
      <c r="N62" s="68">
        <f t="shared" si="11"/>
        <v>737651</v>
      </c>
      <c r="O62" s="68">
        <f t="shared" si="12"/>
        <v>995072</v>
      </c>
      <c r="P62" s="68">
        <f t="shared" si="13"/>
        <v>703040</v>
      </c>
      <c r="Q62" s="68">
        <f t="shared" si="14"/>
        <v>346112</v>
      </c>
      <c r="R62" s="68">
        <f t="shared" si="15"/>
        <v>129792</v>
      </c>
      <c r="S62" s="68">
        <f>'Workforce &amp; Expenses'!U78</f>
        <v>1039682</v>
      </c>
      <c r="T62" s="68">
        <f t="shared" si="16"/>
        <v>4784181</v>
      </c>
      <c r="U62" s="68">
        <f t="shared" si="17"/>
        <v>9356450</v>
      </c>
      <c r="V62" s="68">
        <f t="shared" si="18"/>
        <v>0</v>
      </c>
      <c r="W62" s="27">
        <f t="shared" si="19"/>
        <v>832832</v>
      </c>
    </row>
    <row r="63" hidden="1">
      <c r="A63" s="67">
        <f>'Monthly Data'!A127</f>
        <v>46905</v>
      </c>
      <c r="B63" s="27" t="str">
        <f>IF(AND('Revenue &amp; Demand'!$B$5="Assumed approval + launch",A63&gt;='Revenue &amp; Demand'!$B$6),"Postapproval monitoring","Clinical development")</f>
        <v>Postapproval monitoring</v>
      </c>
      <c r="C63" s="27">
        <f t="shared" si="1"/>
        <v>250</v>
      </c>
      <c r="D63" s="27">
        <f t="shared" si="2"/>
        <v>8</v>
      </c>
      <c r="E63" s="68">
        <f t="shared" si="3"/>
        <v>251964</v>
      </c>
      <c r="F63" s="68">
        <f t="shared" si="4"/>
        <v>152770</v>
      </c>
      <c r="G63" s="68">
        <f t="shared" si="5"/>
        <v>153831</v>
      </c>
      <c r="H63" s="68">
        <f t="shared" si="6"/>
        <v>254616</v>
      </c>
      <c r="I63" s="68">
        <f t="shared" si="7"/>
        <v>185658</v>
      </c>
      <c r="J63" s="68">
        <f t="shared" si="8"/>
        <v>143222</v>
      </c>
      <c r="K63" s="68">
        <f>'Workforce &amp; Expenses'!T79</f>
        <v>3430208</v>
      </c>
      <c r="L63" s="68">
        <f t="shared" si="9"/>
        <v>4572269</v>
      </c>
      <c r="M63" s="68">
        <f t="shared" si="10"/>
        <v>31</v>
      </c>
      <c r="N63" s="68">
        <f t="shared" si="11"/>
        <v>737651</v>
      </c>
      <c r="O63" s="68">
        <f t="shared" si="12"/>
        <v>995072</v>
      </c>
      <c r="P63" s="68">
        <f t="shared" si="13"/>
        <v>703040</v>
      </c>
      <c r="Q63" s="68">
        <f t="shared" si="14"/>
        <v>346112</v>
      </c>
      <c r="R63" s="68">
        <f t="shared" si="15"/>
        <v>129792</v>
      </c>
      <c r="S63" s="68">
        <f>'Workforce &amp; Expenses'!U79</f>
        <v>1058248</v>
      </c>
      <c r="T63" s="68">
        <f t="shared" si="16"/>
        <v>4802747</v>
      </c>
      <c r="U63" s="68">
        <f t="shared" si="17"/>
        <v>9375016</v>
      </c>
      <c r="V63" s="68">
        <f t="shared" si="18"/>
        <v>0</v>
      </c>
      <c r="W63" s="27">
        <f t="shared" si="19"/>
        <v>832832</v>
      </c>
    </row>
    <row r="64" hidden="1">
      <c r="A64" s="67">
        <f>'Monthly Data'!A128</f>
        <v>46935</v>
      </c>
      <c r="B64" s="27" t="str">
        <f>IF(AND('Revenue &amp; Demand'!$B$5="Assumed approval + launch",A64&gt;='Revenue &amp; Demand'!$B$6),"Postapproval monitoring","Clinical development")</f>
        <v>Postapproval monitoring</v>
      </c>
      <c r="C64" s="27">
        <f t="shared" si="1"/>
        <v>250</v>
      </c>
      <c r="D64" s="27">
        <f t="shared" si="2"/>
        <v>8</v>
      </c>
      <c r="E64" s="68">
        <f t="shared" si="3"/>
        <v>251964</v>
      </c>
      <c r="F64" s="68">
        <f t="shared" si="4"/>
        <v>152770</v>
      </c>
      <c r="G64" s="68">
        <f t="shared" si="5"/>
        <v>153831</v>
      </c>
      <c r="H64" s="68">
        <f t="shared" si="6"/>
        <v>254616</v>
      </c>
      <c r="I64" s="68">
        <f t="shared" si="7"/>
        <v>185658</v>
      </c>
      <c r="J64" s="68">
        <f t="shared" si="8"/>
        <v>143222</v>
      </c>
      <c r="K64" s="68">
        <f>'Workforce &amp; Expenses'!T80</f>
        <v>3470805</v>
      </c>
      <c r="L64" s="68">
        <f t="shared" si="9"/>
        <v>4612866</v>
      </c>
      <c r="M64" s="68">
        <f t="shared" si="10"/>
        <v>31</v>
      </c>
      <c r="N64" s="68">
        <f t="shared" si="11"/>
        <v>737651</v>
      </c>
      <c r="O64" s="68">
        <f t="shared" si="12"/>
        <v>995072</v>
      </c>
      <c r="P64" s="68">
        <f t="shared" si="13"/>
        <v>703040</v>
      </c>
      <c r="Q64" s="68">
        <f t="shared" si="14"/>
        <v>346112</v>
      </c>
      <c r="R64" s="68">
        <f t="shared" si="15"/>
        <v>129792</v>
      </c>
      <c r="S64" s="68">
        <f>'Workforce &amp; Expenses'!U80</f>
        <v>1058248</v>
      </c>
      <c r="T64" s="68">
        <f t="shared" si="16"/>
        <v>4802747</v>
      </c>
      <c r="U64" s="68">
        <f t="shared" si="17"/>
        <v>9415613</v>
      </c>
      <c r="V64" s="68">
        <f t="shared" si="18"/>
        <v>0</v>
      </c>
      <c r="W64" s="27">
        <f t="shared" si="19"/>
        <v>832832</v>
      </c>
    </row>
    <row r="65" hidden="1">
      <c r="A65" s="67">
        <f>'Monthly Data'!A129</f>
        <v>46966</v>
      </c>
      <c r="B65" s="27" t="str">
        <f>IF(AND('Revenue &amp; Demand'!$B$5="Assumed approval + launch",A65&gt;='Revenue &amp; Demand'!$B$6),"Postapproval monitoring","Clinical development")</f>
        <v>Postapproval monitoring</v>
      </c>
      <c r="C65" s="27">
        <f t="shared" si="1"/>
        <v>250</v>
      </c>
      <c r="D65" s="27">
        <f t="shared" si="2"/>
        <v>8</v>
      </c>
      <c r="E65" s="68">
        <f t="shared" si="3"/>
        <v>251964</v>
      </c>
      <c r="F65" s="68">
        <f t="shared" si="4"/>
        <v>152770</v>
      </c>
      <c r="G65" s="68">
        <f t="shared" si="5"/>
        <v>153831</v>
      </c>
      <c r="H65" s="68">
        <f t="shared" si="6"/>
        <v>254616</v>
      </c>
      <c r="I65" s="68">
        <f t="shared" si="7"/>
        <v>185658</v>
      </c>
      <c r="J65" s="68">
        <f t="shared" si="8"/>
        <v>143222</v>
      </c>
      <c r="K65" s="68">
        <f>'Workforce &amp; Expenses'!T81</f>
        <v>3470805</v>
      </c>
      <c r="L65" s="68">
        <f t="shared" si="9"/>
        <v>4612866</v>
      </c>
      <c r="M65" s="68">
        <f t="shared" si="10"/>
        <v>31</v>
      </c>
      <c r="N65" s="68">
        <f t="shared" si="11"/>
        <v>737651</v>
      </c>
      <c r="O65" s="68">
        <f t="shared" si="12"/>
        <v>995072</v>
      </c>
      <c r="P65" s="68">
        <f t="shared" si="13"/>
        <v>703040</v>
      </c>
      <c r="Q65" s="68">
        <f t="shared" si="14"/>
        <v>346112</v>
      </c>
      <c r="R65" s="68">
        <f t="shared" si="15"/>
        <v>129792</v>
      </c>
      <c r="S65" s="68">
        <f>'Workforce &amp; Expenses'!U81</f>
        <v>1076814</v>
      </c>
      <c r="T65" s="68">
        <f t="shared" si="16"/>
        <v>4821313</v>
      </c>
      <c r="U65" s="68">
        <f t="shared" si="17"/>
        <v>9434179</v>
      </c>
      <c r="V65" s="68">
        <f t="shared" si="18"/>
        <v>0</v>
      </c>
      <c r="W65" s="27">
        <f t="shared" si="19"/>
        <v>832832</v>
      </c>
    </row>
    <row r="66" hidden="1">
      <c r="A66" s="67">
        <f>'Monthly Data'!A130</f>
        <v>46997</v>
      </c>
      <c r="B66" s="27" t="str">
        <f>IF(AND('Revenue &amp; Demand'!$B$5="Assumed approval + launch",A66&gt;='Revenue &amp; Demand'!$B$6),"Postapproval monitoring","Clinical development")</f>
        <v>Postapproval monitoring</v>
      </c>
      <c r="C66" s="27">
        <f t="shared" si="1"/>
        <v>250</v>
      </c>
      <c r="D66" s="27">
        <f t="shared" si="2"/>
        <v>8</v>
      </c>
      <c r="E66" s="68">
        <f t="shared" si="3"/>
        <v>251964</v>
      </c>
      <c r="F66" s="68">
        <f t="shared" si="4"/>
        <v>152770</v>
      </c>
      <c r="G66" s="68">
        <f t="shared" si="5"/>
        <v>153831</v>
      </c>
      <c r="H66" s="68">
        <f t="shared" si="6"/>
        <v>254616</v>
      </c>
      <c r="I66" s="68">
        <f t="shared" si="7"/>
        <v>185658</v>
      </c>
      <c r="J66" s="68">
        <f t="shared" si="8"/>
        <v>143222</v>
      </c>
      <c r="K66" s="68">
        <f>'Workforce &amp; Expenses'!T82</f>
        <v>3511402</v>
      </c>
      <c r="L66" s="68">
        <f t="shared" si="9"/>
        <v>4653463</v>
      </c>
      <c r="M66" s="68">
        <f t="shared" si="10"/>
        <v>31</v>
      </c>
      <c r="N66" s="68">
        <f t="shared" si="11"/>
        <v>737651</v>
      </c>
      <c r="O66" s="68">
        <f t="shared" si="12"/>
        <v>995072</v>
      </c>
      <c r="P66" s="68">
        <f t="shared" si="13"/>
        <v>703040</v>
      </c>
      <c r="Q66" s="68">
        <f t="shared" si="14"/>
        <v>346112</v>
      </c>
      <c r="R66" s="68">
        <f t="shared" si="15"/>
        <v>129792</v>
      </c>
      <c r="S66" s="68">
        <f>'Workforce &amp; Expenses'!U82</f>
        <v>1095379</v>
      </c>
      <c r="T66" s="68">
        <f t="shared" si="16"/>
        <v>4839878</v>
      </c>
      <c r="U66" s="68">
        <f t="shared" si="17"/>
        <v>9493341</v>
      </c>
      <c r="V66" s="68">
        <f t="shared" si="18"/>
        <v>0</v>
      </c>
      <c r="W66" s="27">
        <f t="shared" si="19"/>
        <v>832832</v>
      </c>
    </row>
    <row r="67" hidden="1">
      <c r="A67" s="67">
        <f>'Monthly Data'!A131</f>
        <v>47027</v>
      </c>
      <c r="B67" s="27" t="str">
        <f>IF(AND('Revenue &amp; Demand'!$B$5="Assumed approval + launch",A67&gt;='Revenue &amp; Demand'!$B$6),"Postapproval monitoring","Clinical development")</f>
        <v>Postapproval monitoring</v>
      </c>
      <c r="C67" s="27">
        <f t="shared" si="1"/>
        <v>250</v>
      </c>
      <c r="D67" s="27">
        <f t="shared" si="2"/>
        <v>8</v>
      </c>
      <c r="E67" s="68">
        <f t="shared" si="3"/>
        <v>251964</v>
      </c>
      <c r="F67" s="68">
        <f t="shared" si="4"/>
        <v>152770</v>
      </c>
      <c r="G67" s="68">
        <f t="shared" si="5"/>
        <v>153831</v>
      </c>
      <c r="H67" s="68">
        <f t="shared" si="6"/>
        <v>254616</v>
      </c>
      <c r="I67" s="68">
        <f t="shared" si="7"/>
        <v>185658</v>
      </c>
      <c r="J67" s="68">
        <f t="shared" si="8"/>
        <v>143222</v>
      </c>
      <c r="K67" s="68">
        <f>'Workforce &amp; Expenses'!T83</f>
        <v>3511402</v>
      </c>
      <c r="L67" s="68">
        <f t="shared" si="9"/>
        <v>4653463</v>
      </c>
      <c r="M67" s="68">
        <f t="shared" si="10"/>
        <v>31</v>
      </c>
      <c r="N67" s="68">
        <f t="shared" si="11"/>
        <v>737651</v>
      </c>
      <c r="O67" s="68">
        <f t="shared" si="12"/>
        <v>995072</v>
      </c>
      <c r="P67" s="68">
        <f t="shared" si="13"/>
        <v>703040</v>
      </c>
      <c r="Q67" s="68">
        <f t="shared" si="14"/>
        <v>346112</v>
      </c>
      <c r="R67" s="68">
        <f t="shared" si="15"/>
        <v>129792</v>
      </c>
      <c r="S67" s="68">
        <f>'Workforce &amp; Expenses'!U83</f>
        <v>1113945</v>
      </c>
      <c r="T67" s="68">
        <f t="shared" si="16"/>
        <v>4858444</v>
      </c>
      <c r="U67" s="68">
        <f t="shared" si="17"/>
        <v>9511907</v>
      </c>
      <c r="V67" s="68">
        <f t="shared" si="18"/>
        <v>0</v>
      </c>
      <c r="W67" s="27">
        <f t="shared" si="19"/>
        <v>832832</v>
      </c>
    </row>
    <row r="68" hidden="1">
      <c r="A68" s="67">
        <f>'Monthly Data'!A132</f>
        <v>47058</v>
      </c>
      <c r="B68" s="27" t="str">
        <f>IF(AND('Revenue &amp; Demand'!$B$5="Assumed approval + launch",A68&gt;='Revenue &amp; Demand'!$B$6),"Postapproval monitoring","Clinical development")</f>
        <v>Postapproval monitoring</v>
      </c>
      <c r="C68" s="27">
        <f t="shared" si="1"/>
        <v>250</v>
      </c>
      <c r="D68" s="27">
        <f t="shared" si="2"/>
        <v>8</v>
      </c>
      <c r="E68" s="68">
        <f t="shared" si="3"/>
        <v>251964</v>
      </c>
      <c r="F68" s="68">
        <f t="shared" si="4"/>
        <v>152770</v>
      </c>
      <c r="G68" s="68">
        <f t="shared" si="5"/>
        <v>153831</v>
      </c>
      <c r="H68" s="68">
        <f t="shared" si="6"/>
        <v>254616</v>
      </c>
      <c r="I68" s="68">
        <f t="shared" si="7"/>
        <v>185658</v>
      </c>
      <c r="J68" s="68">
        <f t="shared" si="8"/>
        <v>143222</v>
      </c>
      <c r="K68" s="68">
        <f>'Workforce &amp; Expenses'!T84</f>
        <v>3551999</v>
      </c>
      <c r="L68" s="68">
        <f t="shared" si="9"/>
        <v>4694060</v>
      </c>
      <c r="M68" s="68">
        <f t="shared" si="10"/>
        <v>31</v>
      </c>
      <c r="N68" s="68">
        <f t="shared" si="11"/>
        <v>737651</v>
      </c>
      <c r="O68" s="68">
        <f t="shared" si="12"/>
        <v>995072</v>
      </c>
      <c r="P68" s="68">
        <f t="shared" si="13"/>
        <v>703040</v>
      </c>
      <c r="Q68" s="68">
        <f t="shared" si="14"/>
        <v>346112</v>
      </c>
      <c r="R68" s="68">
        <f t="shared" si="15"/>
        <v>129792</v>
      </c>
      <c r="S68" s="68">
        <f>'Workforce &amp; Expenses'!U84</f>
        <v>1113945</v>
      </c>
      <c r="T68" s="68">
        <f t="shared" si="16"/>
        <v>4858444</v>
      </c>
      <c r="U68" s="68">
        <f t="shared" si="17"/>
        <v>9552504</v>
      </c>
      <c r="V68" s="68">
        <f t="shared" si="18"/>
        <v>0</v>
      </c>
      <c r="W68" s="27">
        <f t="shared" si="19"/>
        <v>832832</v>
      </c>
    </row>
    <row r="69" hidden="1">
      <c r="A69" s="67">
        <f>'Monthly Data'!A133</f>
        <v>47088</v>
      </c>
      <c r="B69" s="27" t="str">
        <f>IF(AND('Revenue &amp; Demand'!$B$5="Assumed approval + launch",A69&gt;='Revenue &amp; Demand'!$B$6),"Postapproval monitoring","Clinical development")</f>
        <v>Postapproval monitoring</v>
      </c>
      <c r="C69" s="27">
        <f t="shared" si="1"/>
        <v>250</v>
      </c>
      <c r="D69" s="27">
        <f t="shared" si="2"/>
        <v>8</v>
      </c>
      <c r="E69" s="68">
        <f t="shared" si="3"/>
        <v>251964</v>
      </c>
      <c r="F69" s="68">
        <f t="shared" si="4"/>
        <v>152770</v>
      </c>
      <c r="G69" s="68">
        <f t="shared" si="5"/>
        <v>153831</v>
      </c>
      <c r="H69" s="68">
        <f t="shared" si="6"/>
        <v>254616</v>
      </c>
      <c r="I69" s="68">
        <f t="shared" si="7"/>
        <v>185658</v>
      </c>
      <c r="J69" s="68">
        <f t="shared" si="8"/>
        <v>143222</v>
      </c>
      <c r="K69" s="68">
        <f>'Workforce &amp; Expenses'!T85</f>
        <v>3551999</v>
      </c>
      <c r="L69" s="68">
        <f t="shared" si="9"/>
        <v>4694060</v>
      </c>
      <c r="M69" s="68">
        <f t="shared" si="10"/>
        <v>31</v>
      </c>
      <c r="N69" s="68">
        <f t="shared" si="11"/>
        <v>737651</v>
      </c>
      <c r="O69" s="68">
        <f t="shared" si="12"/>
        <v>995072</v>
      </c>
      <c r="P69" s="68">
        <f t="shared" si="13"/>
        <v>703040</v>
      </c>
      <c r="Q69" s="68">
        <f t="shared" si="14"/>
        <v>346112</v>
      </c>
      <c r="R69" s="68">
        <f t="shared" si="15"/>
        <v>129792</v>
      </c>
      <c r="S69" s="68">
        <f>'Workforce &amp; Expenses'!U85</f>
        <v>1132511</v>
      </c>
      <c r="T69" s="68">
        <f t="shared" si="16"/>
        <v>4877010</v>
      </c>
      <c r="U69" s="68">
        <f t="shared" si="17"/>
        <v>9571070</v>
      </c>
      <c r="V69" s="68">
        <f t="shared" si="18"/>
        <v>0</v>
      </c>
      <c r="W69" s="27">
        <f t="shared" si="19"/>
        <v>832832</v>
      </c>
    </row>
    <row r="70" hidden="1">
      <c r="A70" s="67">
        <f>'Monthly Data'!A134</f>
        <v>47119</v>
      </c>
      <c r="B70" s="27" t="str">
        <f>IF(AND('Revenue &amp; Demand'!$B$5="Assumed approval + launch",A70&gt;='Revenue &amp; Demand'!$B$6),"Postapproval monitoring","Clinical development")</f>
        <v>Postapproval monitoring</v>
      </c>
      <c r="C70" s="27">
        <f t="shared" si="1"/>
        <v>250</v>
      </c>
      <c r="D70" s="27">
        <f t="shared" si="2"/>
        <v>8</v>
      </c>
      <c r="E70" s="68">
        <f t="shared" si="3"/>
        <v>259523</v>
      </c>
      <c r="F70" s="68">
        <f t="shared" si="4"/>
        <v>157353</v>
      </c>
      <c r="G70" s="68">
        <f t="shared" si="5"/>
        <v>158445</v>
      </c>
      <c r="H70" s="68">
        <f t="shared" si="6"/>
        <v>262254</v>
      </c>
      <c r="I70" s="68">
        <f t="shared" si="7"/>
        <v>191227</v>
      </c>
      <c r="J70" s="68">
        <f t="shared" si="8"/>
        <v>147518</v>
      </c>
      <c r="K70" s="68">
        <f>'Workforce &amp; Expenses'!T86</f>
        <v>3658560</v>
      </c>
      <c r="L70" s="68">
        <f t="shared" si="9"/>
        <v>4834880</v>
      </c>
      <c r="M70" s="68">
        <f t="shared" si="10"/>
        <v>35</v>
      </c>
      <c r="N70" s="68">
        <f t="shared" si="11"/>
        <v>866145</v>
      </c>
      <c r="O70" s="68">
        <f t="shared" si="12"/>
        <v>1034875</v>
      </c>
      <c r="P70" s="68">
        <f t="shared" si="13"/>
        <v>731162</v>
      </c>
      <c r="Q70" s="68">
        <f t="shared" si="14"/>
        <v>359956</v>
      </c>
      <c r="R70" s="68">
        <f t="shared" si="15"/>
        <v>134984</v>
      </c>
      <c r="S70" s="68">
        <f>'Workforce &amp; Expenses'!U86</f>
        <v>1185609</v>
      </c>
      <c r="T70" s="68">
        <f t="shared" si="16"/>
        <v>5178876</v>
      </c>
      <c r="U70" s="68">
        <f t="shared" si="17"/>
        <v>10013756</v>
      </c>
      <c r="V70" s="68">
        <f t="shared" si="18"/>
        <v>0</v>
      </c>
      <c r="W70" s="27">
        <f t="shared" si="19"/>
        <v>866145</v>
      </c>
    </row>
    <row r="71" hidden="1">
      <c r="A71" s="67">
        <f>'Monthly Data'!A135</f>
        <v>47150</v>
      </c>
      <c r="B71" s="27" t="str">
        <f>IF(AND('Revenue &amp; Demand'!$B$5="Assumed approval + launch",A71&gt;='Revenue &amp; Demand'!$B$6),"Postapproval monitoring","Clinical development")</f>
        <v>Postapproval monitoring</v>
      </c>
      <c r="C71" s="27">
        <f t="shared" si="1"/>
        <v>250</v>
      </c>
      <c r="D71" s="27">
        <f t="shared" si="2"/>
        <v>8</v>
      </c>
      <c r="E71" s="68">
        <f t="shared" si="3"/>
        <v>259523</v>
      </c>
      <c r="F71" s="68">
        <f t="shared" si="4"/>
        <v>157353</v>
      </c>
      <c r="G71" s="68">
        <f t="shared" si="5"/>
        <v>158445</v>
      </c>
      <c r="H71" s="68">
        <f t="shared" si="6"/>
        <v>262254</v>
      </c>
      <c r="I71" s="68">
        <f t="shared" si="7"/>
        <v>191227</v>
      </c>
      <c r="J71" s="68">
        <f t="shared" si="8"/>
        <v>147518</v>
      </c>
      <c r="K71" s="68">
        <f>'Workforce &amp; Expenses'!T87</f>
        <v>3680232</v>
      </c>
      <c r="L71" s="68">
        <f t="shared" si="9"/>
        <v>4856552</v>
      </c>
      <c r="M71" s="68">
        <f t="shared" si="10"/>
        <v>35</v>
      </c>
      <c r="N71" s="68">
        <f t="shared" si="11"/>
        <v>866145</v>
      </c>
      <c r="O71" s="68">
        <f t="shared" si="12"/>
        <v>1034875</v>
      </c>
      <c r="P71" s="68">
        <f t="shared" si="13"/>
        <v>731162</v>
      </c>
      <c r="Q71" s="68">
        <f t="shared" si="14"/>
        <v>359956</v>
      </c>
      <c r="R71" s="68">
        <f t="shared" si="15"/>
        <v>134984</v>
      </c>
      <c r="S71" s="68">
        <f>'Workforce &amp; Expenses'!U87</f>
        <v>1204732</v>
      </c>
      <c r="T71" s="68">
        <f t="shared" si="16"/>
        <v>5197999</v>
      </c>
      <c r="U71" s="68">
        <f t="shared" si="17"/>
        <v>10054551</v>
      </c>
      <c r="V71" s="68">
        <f t="shared" si="18"/>
        <v>0</v>
      </c>
      <c r="W71" s="27">
        <f t="shared" si="19"/>
        <v>866145</v>
      </c>
    </row>
    <row r="72" hidden="1">
      <c r="A72" s="67">
        <f>'Monthly Data'!A136</f>
        <v>47178</v>
      </c>
      <c r="B72" s="27" t="str">
        <f>IF(AND('Revenue &amp; Demand'!$B$5="Assumed approval + launch",A72&gt;='Revenue &amp; Demand'!$B$6),"Postapproval monitoring","Clinical development")</f>
        <v>Postapproval monitoring</v>
      </c>
      <c r="C72" s="27">
        <f t="shared" si="1"/>
        <v>250</v>
      </c>
      <c r="D72" s="27">
        <f t="shared" si="2"/>
        <v>8</v>
      </c>
      <c r="E72" s="68">
        <f t="shared" si="3"/>
        <v>259523</v>
      </c>
      <c r="F72" s="68">
        <f t="shared" si="4"/>
        <v>157353</v>
      </c>
      <c r="G72" s="68">
        <f t="shared" si="5"/>
        <v>158445</v>
      </c>
      <c r="H72" s="68">
        <f t="shared" si="6"/>
        <v>262254</v>
      </c>
      <c r="I72" s="68">
        <f t="shared" si="7"/>
        <v>191227</v>
      </c>
      <c r="J72" s="68">
        <f t="shared" si="8"/>
        <v>147518</v>
      </c>
      <c r="K72" s="68">
        <f>'Workforce &amp; Expenses'!T88</f>
        <v>3680232</v>
      </c>
      <c r="L72" s="68">
        <f t="shared" si="9"/>
        <v>4856552</v>
      </c>
      <c r="M72" s="68">
        <f t="shared" si="10"/>
        <v>35</v>
      </c>
      <c r="N72" s="68">
        <f t="shared" si="11"/>
        <v>866145</v>
      </c>
      <c r="O72" s="68">
        <f t="shared" si="12"/>
        <v>1034875</v>
      </c>
      <c r="P72" s="68">
        <f t="shared" si="13"/>
        <v>731162</v>
      </c>
      <c r="Q72" s="68">
        <f t="shared" si="14"/>
        <v>359956</v>
      </c>
      <c r="R72" s="68">
        <f t="shared" si="15"/>
        <v>134984</v>
      </c>
      <c r="S72" s="68">
        <f>'Workforce &amp; Expenses'!U88</f>
        <v>1223854</v>
      </c>
      <c r="T72" s="68">
        <f t="shared" si="16"/>
        <v>5217121</v>
      </c>
      <c r="U72" s="68">
        <f t="shared" si="17"/>
        <v>10073673</v>
      </c>
      <c r="V72" s="68">
        <f t="shared" si="18"/>
        <v>0</v>
      </c>
      <c r="W72" s="27">
        <f t="shared" si="19"/>
        <v>866145</v>
      </c>
    </row>
    <row r="73" hidden="1">
      <c r="A73" s="67">
        <f>'Monthly Data'!A137</f>
        <v>47209</v>
      </c>
      <c r="B73" s="27" t="str">
        <f>IF(AND('Revenue &amp; Demand'!$B$5="Assumed approval + launch",A73&gt;='Revenue &amp; Demand'!$B$6),"Postapproval monitoring","Clinical development")</f>
        <v>Postapproval monitoring</v>
      </c>
      <c r="C73" s="27">
        <f t="shared" si="1"/>
        <v>250</v>
      </c>
      <c r="D73" s="27">
        <f t="shared" si="2"/>
        <v>8</v>
      </c>
      <c r="E73" s="68">
        <f t="shared" si="3"/>
        <v>259523</v>
      </c>
      <c r="F73" s="68">
        <f t="shared" si="4"/>
        <v>157353</v>
      </c>
      <c r="G73" s="68">
        <f t="shared" si="5"/>
        <v>158445</v>
      </c>
      <c r="H73" s="68">
        <f t="shared" si="6"/>
        <v>262254</v>
      </c>
      <c r="I73" s="68">
        <f t="shared" si="7"/>
        <v>191227</v>
      </c>
      <c r="J73" s="68">
        <f t="shared" si="8"/>
        <v>147518</v>
      </c>
      <c r="K73" s="68">
        <f>'Workforce &amp; Expenses'!T89</f>
        <v>3701904</v>
      </c>
      <c r="L73" s="68">
        <f t="shared" si="9"/>
        <v>4878224</v>
      </c>
      <c r="M73" s="68">
        <f t="shared" si="10"/>
        <v>35</v>
      </c>
      <c r="N73" s="68">
        <f t="shared" si="11"/>
        <v>866145</v>
      </c>
      <c r="O73" s="68">
        <f t="shared" si="12"/>
        <v>1034875</v>
      </c>
      <c r="P73" s="68">
        <f t="shared" si="13"/>
        <v>731162</v>
      </c>
      <c r="Q73" s="68">
        <f t="shared" si="14"/>
        <v>359956</v>
      </c>
      <c r="R73" s="68">
        <f t="shared" si="15"/>
        <v>134984</v>
      </c>
      <c r="S73" s="68">
        <f>'Workforce &amp; Expenses'!U89</f>
        <v>1242977</v>
      </c>
      <c r="T73" s="68">
        <f t="shared" si="16"/>
        <v>5236244</v>
      </c>
      <c r="U73" s="68">
        <f t="shared" si="17"/>
        <v>10114468</v>
      </c>
      <c r="V73" s="68">
        <f t="shared" si="18"/>
        <v>0</v>
      </c>
      <c r="W73" s="27">
        <f t="shared" si="19"/>
        <v>866145</v>
      </c>
    </row>
    <row r="74" hidden="1">
      <c r="A74" s="67">
        <f>'Monthly Data'!A138</f>
        <v>47239</v>
      </c>
      <c r="B74" s="27" t="str">
        <f>IF(AND('Revenue &amp; Demand'!$B$5="Assumed approval + launch",A74&gt;='Revenue &amp; Demand'!$B$6),"Postapproval monitoring","Clinical development")</f>
        <v>Postapproval monitoring</v>
      </c>
      <c r="C74" s="27">
        <f t="shared" si="1"/>
        <v>250</v>
      </c>
      <c r="D74" s="27">
        <f t="shared" si="2"/>
        <v>8</v>
      </c>
      <c r="E74" s="68">
        <f t="shared" si="3"/>
        <v>259523</v>
      </c>
      <c r="F74" s="68">
        <f t="shared" si="4"/>
        <v>157353</v>
      </c>
      <c r="G74" s="68">
        <f t="shared" si="5"/>
        <v>158445</v>
      </c>
      <c r="H74" s="68">
        <f t="shared" si="6"/>
        <v>262254</v>
      </c>
      <c r="I74" s="68">
        <f t="shared" si="7"/>
        <v>191227</v>
      </c>
      <c r="J74" s="68">
        <f t="shared" si="8"/>
        <v>147518</v>
      </c>
      <c r="K74" s="68">
        <f>'Workforce &amp; Expenses'!T90</f>
        <v>3701904</v>
      </c>
      <c r="L74" s="68">
        <f t="shared" si="9"/>
        <v>4878224</v>
      </c>
      <c r="M74" s="68">
        <f t="shared" si="10"/>
        <v>35</v>
      </c>
      <c r="N74" s="68">
        <f t="shared" si="11"/>
        <v>866145</v>
      </c>
      <c r="O74" s="68">
        <f t="shared" si="12"/>
        <v>1034875</v>
      </c>
      <c r="P74" s="68">
        <f t="shared" si="13"/>
        <v>731162</v>
      </c>
      <c r="Q74" s="68">
        <f t="shared" si="14"/>
        <v>359956</v>
      </c>
      <c r="R74" s="68">
        <f t="shared" si="15"/>
        <v>134984</v>
      </c>
      <c r="S74" s="68">
        <f>'Workforce &amp; Expenses'!U90</f>
        <v>1262100</v>
      </c>
      <c r="T74" s="68">
        <f t="shared" si="16"/>
        <v>5255367</v>
      </c>
      <c r="U74" s="68">
        <f t="shared" si="17"/>
        <v>10133591</v>
      </c>
      <c r="V74" s="68">
        <f t="shared" si="18"/>
        <v>0</v>
      </c>
      <c r="W74" s="27">
        <f t="shared" si="19"/>
        <v>866145</v>
      </c>
    </row>
    <row r="75" hidden="1">
      <c r="A75" s="67">
        <f>'Monthly Data'!A139</f>
        <v>47270</v>
      </c>
      <c r="B75" s="27" t="str">
        <f>IF(AND('Revenue &amp; Demand'!$B$5="Assumed approval + launch",A75&gt;='Revenue &amp; Demand'!$B$6),"Postapproval monitoring","Clinical development")</f>
        <v>Postapproval monitoring</v>
      </c>
      <c r="C75" s="27">
        <f t="shared" si="1"/>
        <v>250</v>
      </c>
      <c r="D75" s="27">
        <f t="shared" si="2"/>
        <v>8</v>
      </c>
      <c r="E75" s="68">
        <f t="shared" si="3"/>
        <v>259523</v>
      </c>
      <c r="F75" s="68">
        <f t="shared" si="4"/>
        <v>157353</v>
      </c>
      <c r="G75" s="68">
        <f t="shared" si="5"/>
        <v>158445</v>
      </c>
      <c r="H75" s="68">
        <f t="shared" si="6"/>
        <v>262254</v>
      </c>
      <c r="I75" s="68">
        <f t="shared" si="7"/>
        <v>191227</v>
      </c>
      <c r="J75" s="68">
        <f t="shared" si="8"/>
        <v>147518</v>
      </c>
      <c r="K75" s="68">
        <f>'Workforce &amp; Expenses'!T91</f>
        <v>3723577</v>
      </c>
      <c r="L75" s="68">
        <f t="shared" si="9"/>
        <v>4899897</v>
      </c>
      <c r="M75" s="68">
        <f t="shared" si="10"/>
        <v>35</v>
      </c>
      <c r="N75" s="68">
        <f t="shared" si="11"/>
        <v>866145</v>
      </c>
      <c r="O75" s="68">
        <f t="shared" si="12"/>
        <v>1034875</v>
      </c>
      <c r="P75" s="68">
        <f t="shared" si="13"/>
        <v>731162</v>
      </c>
      <c r="Q75" s="68">
        <f t="shared" si="14"/>
        <v>359956</v>
      </c>
      <c r="R75" s="68">
        <f t="shared" si="15"/>
        <v>134984</v>
      </c>
      <c r="S75" s="68">
        <f>'Workforce &amp; Expenses'!U91</f>
        <v>1281222</v>
      </c>
      <c r="T75" s="68">
        <f t="shared" si="16"/>
        <v>5274489</v>
      </c>
      <c r="U75" s="68">
        <f t="shared" si="17"/>
        <v>10174386</v>
      </c>
      <c r="V75" s="68">
        <f t="shared" si="18"/>
        <v>0</v>
      </c>
      <c r="W75" s="27">
        <f t="shared" si="19"/>
        <v>866145</v>
      </c>
    </row>
    <row r="76" hidden="1">
      <c r="A76" s="67">
        <f>'Monthly Data'!A140</f>
        <v>47300</v>
      </c>
      <c r="B76" s="27" t="str">
        <f>IF(AND('Revenue &amp; Demand'!$B$5="Assumed approval + launch",A76&gt;='Revenue &amp; Demand'!$B$6),"Postapproval monitoring","Clinical development")</f>
        <v>Postapproval monitoring</v>
      </c>
      <c r="C76" s="27">
        <f t="shared" si="1"/>
        <v>250</v>
      </c>
      <c r="D76" s="27">
        <f t="shared" si="2"/>
        <v>8</v>
      </c>
      <c r="E76" s="68">
        <f t="shared" si="3"/>
        <v>259523</v>
      </c>
      <c r="F76" s="68">
        <f t="shared" si="4"/>
        <v>157353</v>
      </c>
      <c r="G76" s="68">
        <f t="shared" si="5"/>
        <v>158445</v>
      </c>
      <c r="H76" s="68">
        <f t="shared" si="6"/>
        <v>262254</v>
      </c>
      <c r="I76" s="68">
        <f t="shared" si="7"/>
        <v>191227</v>
      </c>
      <c r="J76" s="68">
        <f t="shared" si="8"/>
        <v>147518</v>
      </c>
      <c r="K76" s="68">
        <f>'Workforce &amp; Expenses'!T92</f>
        <v>3723577</v>
      </c>
      <c r="L76" s="68">
        <f t="shared" si="9"/>
        <v>4899897</v>
      </c>
      <c r="M76" s="68">
        <f t="shared" si="10"/>
        <v>35</v>
      </c>
      <c r="N76" s="68">
        <f t="shared" si="11"/>
        <v>866145</v>
      </c>
      <c r="O76" s="68">
        <f t="shared" si="12"/>
        <v>1034875</v>
      </c>
      <c r="P76" s="68">
        <f t="shared" si="13"/>
        <v>731162</v>
      </c>
      <c r="Q76" s="68">
        <f t="shared" si="14"/>
        <v>359956</v>
      </c>
      <c r="R76" s="68">
        <f t="shared" si="15"/>
        <v>134984</v>
      </c>
      <c r="S76" s="68">
        <f>'Workforce &amp; Expenses'!U92</f>
        <v>1300345</v>
      </c>
      <c r="T76" s="68">
        <f t="shared" si="16"/>
        <v>5293612</v>
      </c>
      <c r="U76" s="68">
        <f t="shared" si="17"/>
        <v>10193509</v>
      </c>
      <c r="V76" s="68">
        <f t="shared" si="18"/>
        <v>0</v>
      </c>
      <c r="W76" s="27">
        <f t="shared" si="19"/>
        <v>866145</v>
      </c>
    </row>
    <row r="77" hidden="1">
      <c r="A77" s="67">
        <f>'Monthly Data'!A141</f>
        <v>47331</v>
      </c>
      <c r="B77" s="27" t="str">
        <f>IF(AND('Revenue &amp; Demand'!$B$5="Assumed approval + launch",A77&gt;='Revenue &amp; Demand'!$B$6),"Postapproval monitoring","Clinical development")</f>
        <v>Postapproval monitoring</v>
      </c>
      <c r="C77" s="27">
        <f t="shared" si="1"/>
        <v>250</v>
      </c>
      <c r="D77" s="27">
        <f t="shared" si="2"/>
        <v>8</v>
      </c>
      <c r="E77" s="68">
        <f t="shared" si="3"/>
        <v>259523</v>
      </c>
      <c r="F77" s="68">
        <f t="shared" si="4"/>
        <v>157353</v>
      </c>
      <c r="G77" s="68">
        <f t="shared" si="5"/>
        <v>158445</v>
      </c>
      <c r="H77" s="68">
        <f t="shared" si="6"/>
        <v>262254</v>
      </c>
      <c r="I77" s="68">
        <f t="shared" si="7"/>
        <v>191227</v>
      </c>
      <c r="J77" s="68">
        <f t="shared" si="8"/>
        <v>147518</v>
      </c>
      <c r="K77" s="68">
        <f>'Workforce &amp; Expenses'!T93</f>
        <v>3723577</v>
      </c>
      <c r="L77" s="68">
        <f t="shared" si="9"/>
        <v>4899897</v>
      </c>
      <c r="M77" s="68">
        <f t="shared" si="10"/>
        <v>35</v>
      </c>
      <c r="N77" s="68">
        <f t="shared" si="11"/>
        <v>866145</v>
      </c>
      <c r="O77" s="68">
        <f t="shared" si="12"/>
        <v>1034875</v>
      </c>
      <c r="P77" s="68">
        <f t="shared" si="13"/>
        <v>731162</v>
      </c>
      <c r="Q77" s="68">
        <f t="shared" si="14"/>
        <v>359956</v>
      </c>
      <c r="R77" s="68">
        <f t="shared" si="15"/>
        <v>134984</v>
      </c>
      <c r="S77" s="68">
        <f>'Workforce &amp; Expenses'!U93</f>
        <v>1319468</v>
      </c>
      <c r="T77" s="68">
        <f t="shared" si="16"/>
        <v>5312735</v>
      </c>
      <c r="U77" s="68">
        <f t="shared" si="17"/>
        <v>10212632</v>
      </c>
      <c r="V77" s="68">
        <f t="shared" si="18"/>
        <v>0</v>
      </c>
      <c r="W77" s="27">
        <f t="shared" si="19"/>
        <v>866145</v>
      </c>
    </row>
    <row r="78" hidden="1">
      <c r="A78" s="67">
        <f>'Monthly Data'!A142</f>
        <v>47362</v>
      </c>
      <c r="B78" s="27" t="str">
        <f>IF(AND('Revenue &amp; Demand'!$B$5="Assumed approval + launch",A78&gt;='Revenue &amp; Demand'!$B$6),"Postapproval monitoring","Clinical development")</f>
        <v>Postapproval monitoring</v>
      </c>
      <c r="C78" s="27">
        <f t="shared" si="1"/>
        <v>250</v>
      </c>
      <c r="D78" s="27">
        <f t="shared" si="2"/>
        <v>8</v>
      </c>
      <c r="E78" s="68">
        <f t="shared" si="3"/>
        <v>259523</v>
      </c>
      <c r="F78" s="68">
        <f t="shared" si="4"/>
        <v>157353</v>
      </c>
      <c r="G78" s="68">
        <f t="shared" si="5"/>
        <v>158445</v>
      </c>
      <c r="H78" s="68">
        <f t="shared" si="6"/>
        <v>262254</v>
      </c>
      <c r="I78" s="68">
        <f t="shared" si="7"/>
        <v>191227</v>
      </c>
      <c r="J78" s="68">
        <f t="shared" si="8"/>
        <v>147518</v>
      </c>
      <c r="K78" s="68">
        <f>'Workforce &amp; Expenses'!T94</f>
        <v>3745249</v>
      </c>
      <c r="L78" s="68">
        <f t="shared" si="9"/>
        <v>4921569</v>
      </c>
      <c r="M78" s="68">
        <f t="shared" si="10"/>
        <v>35</v>
      </c>
      <c r="N78" s="68">
        <f t="shared" si="11"/>
        <v>866145</v>
      </c>
      <c r="O78" s="68">
        <f t="shared" si="12"/>
        <v>1034875</v>
      </c>
      <c r="P78" s="68">
        <f t="shared" si="13"/>
        <v>731162</v>
      </c>
      <c r="Q78" s="68">
        <f t="shared" si="14"/>
        <v>359956</v>
      </c>
      <c r="R78" s="68">
        <f t="shared" si="15"/>
        <v>134984</v>
      </c>
      <c r="S78" s="68">
        <f>'Workforce &amp; Expenses'!U94</f>
        <v>1338591</v>
      </c>
      <c r="T78" s="68">
        <f t="shared" si="16"/>
        <v>5331858</v>
      </c>
      <c r="U78" s="68">
        <f t="shared" si="17"/>
        <v>10253427</v>
      </c>
      <c r="V78" s="68">
        <f t="shared" si="18"/>
        <v>0</v>
      </c>
      <c r="W78" s="27">
        <f t="shared" si="19"/>
        <v>866145</v>
      </c>
    </row>
    <row r="79" hidden="1">
      <c r="A79" s="67">
        <f>'Monthly Data'!A143</f>
        <v>47392</v>
      </c>
      <c r="B79" s="27" t="str">
        <f>IF(AND('Revenue &amp; Demand'!$B$5="Assumed approval + launch",A79&gt;='Revenue &amp; Demand'!$B$6),"Postapproval monitoring","Clinical development")</f>
        <v>Postapproval monitoring</v>
      </c>
      <c r="C79" s="27">
        <f t="shared" si="1"/>
        <v>250</v>
      </c>
      <c r="D79" s="27">
        <f t="shared" si="2"/>
        <v>8</v>
      </c>
      <c r="E79" s="68">
        <f t="shared" si="3"/>
        <v>259523</v>
      </c>
      <c r="F79" s="68">
        <f t="shared" si="4"/>
        <v>157353</v>
      </c>
      <c r="G79" s="68">
        <f t="shared" si="5"/>
        <v>158445</v>
      </c>
      <c r="H79" s="68">
        <f t="shared" si="6"/>
        <v>262254</v>
      </c>
      <c r="I79" s="68">
        <f t="shared" si="7"/>
        <v>191227</v>
      </c>
      <c r="J79" s="68">
        <f t="shared" si="8"/>
        <v>147518</v>
      </c>
      <c r="K79" s="68">
        <f>'Workforce &amp; Expenses'!T95</f>
        <v>3745249</v>
      </c>
      <c r="L79" s="68">
        <f t="shared" si="9"/>
        <v>4921569</v>
      </c>
      <c r="M79" s="68">
        <f t="shared" si="10"/>
        <v>35</v>
      </c>
      <c r="N79" s="68">
        <f t="shared" si="11"/>
        <v>866145</v>
      </c>
      <c r="O79" s="68">
        <f t="shared" si="12"/>
        <v>1034875</v>
      </c>
      <c r="P79" s="68">
        <f t="shared" si="13"/>
        <v>731162</v>
      </c>
      <c r="Q79" s="68">
        <f t="shared" si="14"/>
        <v>359956</v>
      </c>
      <c r="R79" s="68">
        <f t="shared" si="15"/>
        <v>134984</v>
      </c>
      <c r="S79" s="68">
        <f>'Workforce &amp; Expenses'!U95</f>
        <v>1357713</v>
      </c>
      <c r="T79" s="68">
        <f t="shared" si="16"/>
        <v>5350980</v>
      </c>
      <c r="U79" s="68">
        <f t="shared" si="17"/>
        <v>10272549</v>
      </c>
      <c r="V79" s="68">
        <f t="shared" si="18"/>
        <v>0</v>
      </c>
      <c r="W79" s="27">
        <f t="shared" si="19"/>
        <v>866145</v>
      </c>
    </row>
    <row r="80" hidden="1">
      <c r="A80" s="67">
        <f>'Monthly Data'!A144</f>
        <v>47423</v>
      </c>
      <c r="B80" s="27" t="str">
        <f>IF(AND('Revenue &amp; Demand'!$B$5="Assumed approval + launch",A80&gt;='Revenue &amp; Demand'!$B$6),"Postapproval monitoring","Clinical development")</f>
        <v>Postapproval monitoring</v>
      </c>
      <c r="C80" s="27">
        <f t="shared" si="1"/>
        <v>250</v>
      </c>
      <c r="D80" s="27">
        <f t="shared" si="2"/>
        <v>8</v>
      </c>
      <c r="E80" s="68">
        <f t="shared" si="3"/>
        <v>259523</v>
      </c>
      <c r="F80" s="68">
        <f t="shared" si="4"/>
        <v>157353</v>
      </c>
      <c r="G80" s="68">
        <f t="shared" si="5"/>
        <v>158445</v>
      </c>
      <c r="H80" s="68">
        <f t="shared" si="6"/>
        <v>262254</v>
      </c>
      <c r="I80" s="68">
        <f t="shared" si="7"/>
        <v>191227</v>
      </c>
      <c r="J80" s="68">
        <f t="shared" si="8"/>
        <v>147518</v>
      </c>
      <c r="K80" s="68">
        <f>'Workforce &amp; Expenses'!T96</f>
        <v>3766922</v>
      </c>
      <c r="L80" s="68">
        <f t="shared" si="9"/>
        <v>4943242</v>
      </c>
      <c r="M80" s="68">
        <f t="shared" si="10"/>
        <v>35</v>
      </c>
      <c r="N80" s="68">
        <f t="shared" si="11"/>
        <v>866145</v>
      </c>
      <c r="O80" s="68">
        <f t="shared" si="12"/>
        <v>1034875</v>
      </c>
      <c r="P80" s="68">
        <f t="shared" si="13"/>
        <v>731162</v>
      </c>
      <c r="Q80" s="68">
        <f t="shared" si="14"/>
        <v>359956</v>
      </c>
      <c r="R80" s="68">
        <f t="shared" si="15"/>
        <v>134984</v>
      </c>
      <c r="S80" s="68">
        <f>'Workforce &amp; Expenses'!U96</f>
        <v>1376836</v>
      </c>
      <c r="T80" s="68">
        <f t="shared" si="16"/>
        <v>5370103</v>
      </c>
      <c r="U80" s="68">
        <f t="shared" si="17"/>
        <v>10313345</v>
      </c>
      <c r="V80" s="68">
        <f t="shared" si="18"/>
        <v>0</v>
      </c>
      <c r="W80" s="27">
        <f t="shared" si="19"/>
        <v>866145</v>
      </c>
    </row>
    <row r="81" hidden="1">
      <c r="A81" s="67">
        <f>'Monthly Data'!A145</f>
        <v>47453</v>
      </c>
      <c r="B81" s="27" t="str">
        <f>IF(AND('Revenue &amp; Demand'!$B$5="Assumed approval + launch",A81&gt;='Revenue &amp; Demand'!$B$6),"Postapproval monitoring","Clinical development")</f>
        <v>Postapproval monitoring</v>
      </c>
      <c r="C81" s="27">
        <f t="shared" si="1"/>
        <v>250</v>
      </c>
      <c r="D81" s="27">
        <f t="shared" si="2"/>
        <v>8</v>
      </c>
      <c r="E81" s="68">
        <f t="shared" si="3"/>
        <v>259523</v>
      </c>
      <c r="F81" s="68">
        <f t="shared" si="4"/>
        <v>157353</v>
      </c>
      <c r="G81" s="68">
        <f t="shared" si="5"/>
        <v>158445</v>
      </c>
      <c r="H81" s="68">
        <f t="shared" si="6"/>
        <v>262254</v>
      </c>
      <c r="I81" s="68">
        <f t="shared" si="7"/>
        <v>191227</v>
      </c>
      <c r="J81" s="68">
        <f t="shared" si="8"/>
        <v>147518</v>
      </c>
      <c r="K81" s="68">
        <f>'Workforce &amp; Expenses'!T97</f>
        <v>3766922</v>
      </c>
      <c r="L81" s="68">
        <f t="shared" si="9"/>
        <v>4943242</v>
      </c>
      <c r="M81" s="68">
        <f t="shared" si="10"/>
        <v>35</v>
      </c>
      <c r="N81" s="68">
        <f t="shared" si="11"/>
        <v>866145</v>
      </c>
      <c r="O81" s="68">
        <f t="shared" si="12"/>
        <v>1034875</v>
      </c>
      <c r="P81" s="68">
        <f t="shared" si="13"/>
        <v>731162</v>
      </c>
      <c r="Q81" s="68">
        <f t="shared" si="14"/>
        <v>359956</v>
      </c>
      <c r="R81" s="68">
        <f t="shared" si="15"/>
        <v>134984</v>
      </c>
      <c r="S81" s="68">
        <f>'Workforce &amp; Expenses'!U97</f>
        <v>1395959</v>
      </c>
      <c r="T81" s="68">
        <f t="shared" si="16"/>
        <v>5389226</v>
      </c>
      <c r="U81" s="68">
        <f t="shared" si="17"/>
        <v>10332468</v>
      </c>
      <c r="V81" s="68">
        <f t="shared" si="18"/>
        <v>0</v>
      </c>
      <c r="W81" s="27">
        <f t="shared" si="19"/>
        <v>866145</v>
      </c>
    </row>
    <row r="82" hidden="1">
      <c r="A82" s="67">
        <f>'Monthly Data'!A146</f>
        <v>47484</v>
      </c>
      <c r="B82" s="27" t="str">
        <f>IF(AND('Revenue &amp; Demand'!$B$5="Assumed approval + launch",A82&gt;='Revenue &amp; Demand'!$B$6),"Postapproval monitoring","Clinical development")</f>
        <v>Postapproval monitoring</v>
      </c>
      <c r="C82" s="27">
        <f t="shared" si="1"/>
        <v>250</v>
      </c>
      <c r="D82" s="27">
        <f t="shared" si="2"/>
        <v>8</v>
      </c>
      <c r="E82" s="68">
        <f t="shared" si="3"/>
        <v>267308</v>
      </c>
      <c r="F82" s="68">
        <f t="shared" si="4"/>
        <v>162073</v>
      </c>
      <c r="G82" s="68">
        <f t="shared" si="5"/>
        <v>163199</v>
      </c>
      <c r="H82" s="68">
        <f t="shared" si="6"/>
        <v>270122</v>
      </c>
      <c r="I82" s="68">
        <f t="shared" si="7"/>
        <v>196964</v>
      </c>
      <c r="J82" s="68">
        <f t="shared" si="8"/>
        <v>151944</v>
      </c>
      <c r="K82" s="68">
        <f>'Workforce &amp; Expenses'!T98</f>
        <v>3879929</v>
      </c>
      <c r="L82" s="68">
        <f t="shared" si="9"/>
        <v>5091539</v>
      </c>
      <c r="M82" s="68">
        <f t="shared" si="10"/>
        <v>38</v>
      </c>
      <c r="N82" s="68">
        <f t="shared" si="11"/>
        <v>978002</v>
      </c>
      <c r="O82" s="68">
        <f t="shared" si="12"/>
        <v>1076270</v>
      </c>
      <c r="P82" s="68">
        <f t="shared" si="13"/>
        <v>760408</v>
      </c>
      <c r="Q82" s="68">
        <f t="shared" si="14"/>
        <v>374355</v>
      </c>
      <c r="R82" s="68">
        <f t="shared" si="15"/>
        <v>140383</v>
      </c>
      <c r="S82" s="68">
        <f>'Workforce &amp; Expenses'!U98</f>
        <v>1457534</v>
      </c>
      <c r="T82" s="68">
        <f t="shared" si="16"/>
        <v>5687743</v>
      </c>
      <c r="U82" s="68"/>
      <c r="V82" s="68">
        <f t="shared" si="18"/>
        <v>-10779282</v>
      </c>
      <c r="W82" s="27">
        <f t="shared" si="19"/>
        <v>900791</v>
      </c>
    </row>
    <row r="83" hidden="1">
      <c r="A83" s="67">
        <f>'Monthly Data'!A147</f>
        <v>47515</v>
      </c>
      <c r="B83" s="27" t="str">
        <f>IF(AND('Revenue &amp; Demand'!$B$5="Assumed approval + launch",A83&gt;='Revenue &amp; Demand'!$B$6),"Postapproval monitoring","Clinical development")</f>
        <v>Postapproval monitoring</v>
      </c>
      <c r="C83" s="27">
        <f t="shared" si="1"/>
        <v>250</v>
      </c>
      <c r="D83" s="27">
        <f t="shared" si="2"/>
        <v>8</v>
      </c>
      <c r="E83" s="68">
        <f t="shared" si="3"/>
        <v>267308</v>
      </c>
      <c r="F83" s="68">
        <f t="shared" si="4"/>
        <v>162073</v>
      </c>
      <c r="G83" s="68">
        <f t="shared" si="5"/>
        <v>163199</v>
      </c>
      <c r="H83" s="68">
        <f t="shared" si="6"/>
        <v>270122</v>
      </c>
      <c r="I83" s="68">
        <f t="shared" si="7"/>
        <v>196964</v>
      </c>
      <c r="J83" s="68">
        <f t="shared" si="8"/>
        <v>151944</v>
      </c>
      <c r="K83" s="68">
        <f>'Workforce &amp; Expenses'!T99</f>
        <v>3902252</v>
      </c>
      <c r="L83" s="68">
        <f t="shared" si="9"/>
        <v>5113862</v>
      </c>
      <c r="M83" s="68">
        <f t="shared" si="10"/>
        <v>38</v>
      </c>
      <c r="N83" s="68">
        <f t="shared" si="11"/>
        <v>978002</v>
      </c>
      <c r="O83" s="68">
        <f t="shared" si="12"/>
        <v>1076270</v>
      </c>
      <c r="P83" s="68">
        <f t="shared" si="13"/>
        <v>760408</v>
      </c>
      <c r="Q83" s="68">
        <f t="shared" si="14"/>
        <v>374355</v>
      </c>
      <c r="R83" s="68">
        <f t="shared" si="15"/>
        <v>140383</v>
      </c>
      <c r="S83" s="68">
        <f>'Workforce &amp; Expenses'!U99</f>
        <v>1477230</v>
      </c>
      <c r="T83" s="68">
        <f t="shared" si="16"/>
        <v>5707439</v>
      </c>
      <c r="U83" s="68"/>
      <c r="V83" s="68">
        <f t="shared" si="18"/>
        <v>-10821301</v>
      </c>
      <c r="W83" s="27">
        <f t="shared" si="19"/>
        <v>900791</v>
      </c>
    </row>
    <row r="84" hidden="1">
      <c r="A84" s="67">
        <f>'Monthly Data'!A148</f>
        <v>47543</v>
      </c>
      <c r="B84" s="27" t="str">
        <f>IF(AND('Revenue &amp; Demand'!$B$5="Assumed approval + launch",A84&gt;='Revenue &amp; Demand'!$B$6),"Postapproval monitoring","Clinical development")</f>
        <v>Postapproval monitoring</v>
      </c>
      <c r="C84" s="27">
        <f t="shared" si="1"/>
        <v>250</v>
      </c>
      <c r="D84" s="27">
        <f t="shared" si="2"/>
        <v>8</v>
      </c>
      <c r="E84" s="68">
        <f t="shared" si="3"/>
        <v>267308</v>
      </c>
      <c r="F84" s="68">
        <f t="shared" si="4"/>
        <v>162073</v>
      </c>
      <c r="G84" s="68">
        <f t="shared" si="5"/>
        <v>163199</v>
      </c>
      <c r="H84" s="68">
        <f t="shared" si="6"/>
        <v>270122</v>
      </c>
      <c r="I84" s="68">
        <f t="shared" si="7"/>
        <v>196964</v>
      </c>
      <c r="J84" s="68">
        <f t="shared" si="8"/>
        <v>151944</v>
      </c>
      <c r="K84" s="68">
        <f>'Workforce &amp; Expenses'!T100</f>
        <v>3902252</v>
      </c>
      <c r="L84" s="68">
        <f t="shared" si="9"/>
        <v>5113862</v>
      </c>
      <c r="M84" s="68">
        <f t="shared" si="10"/>
        <v>38</v>
      </c>
      <c r="N84" s="68">
        <f t="shared" si="11"/>
        <v>978002</v>
      </c>
      <c r="O84" s="68">
        <f t="shared" si="12"/>
        <v>1076270</v>
      </c>
      <c r="P84" s="68">
        <f t="shared" si="13"/>
        <v>760408</v>
      </c>
      <c r="Q84" s="68">
        <f t="shared" si="14"/>
        <v>374355</v>
      </c>
      <c r="R84" s="68">
        <f t="shared" si="15"/>
        <v>140383</v>
      </c>
      <c r="S84" s="68">
        <f>'Workforce &amp; Expenses'!U100</f>
        <v>1496927</v>
      </c>
      <c r="T84" s="68">
        <f t="shared" si="16"/>
        <v>5727136</v>
      </c>
      <c r="U84" s="68"/>
      <c r="V84" s="68">
        <f t="shared" si="18"/>
        <v>-10840998</v>
      </c>
      <c r="W84" s="27">
        <f t="shared" si="19"/>
        <v>900791</v>
      </c>
    </row>
    <row r="85" hidden="1">
      <c r="A85" s="67">
        <f>'Monthly Data'!A149</f>
        <v>47574</v>
      </c>
      <c r="B85" s="27" t="str">
        <f>IF(AND('Revenue &amp; Demand'!$B$5="Assumed approval + launch",A85&gt;='Revenue &amp; Demand'!$B$6),"Postapproval monitoring","Clinical development")</f>
        <v>Postapproval monitoring</v>
      </c>
      <c r="C85" s="27">
        <f t="shared" si="1"/>
        <v>250</v>
      </c>
      <c r="D85" s="27">
        <f t="shared" si="2"/>
        <v>8</v>
      </c>
      <c r="E85" s="68">
        <f t="shared" si="3"/>
        <v>267308</v>
      </c>
      <c r="F85" s="68">
        <f t="shared" si="4"/>
        <v>162073</v>
      </c>
      <c r="G85" s="68">
        <f t="shared" si="5"/>
        <v>163199</v>
      </c>
      <c r="H85" s="68">
        <f t="shared" si="6"/>
        <v>270122</v>
      </c>
      <c r="I85" s="68">
        <f t="shared" si="7"/>
        <v>196964</v>
      </c>
      <c r="J85" s="68">
        <f t="shared" si="8"/>
        <v>151944</v>
      </c>
      <c r="K85" s="68">
        <f>'Workforce &amp; Expenses'!T101</f>
        <v>3881505</v>
      </c>
      <c r="L85" s="68">
        <f t="shared" si="9"/>
        <v>5093115</v>
      </c>
      <c r="M85" s="68">
        <f t="shared" si="10"/>
        <v>38</v>
      </c>
      <c r="N85" s="68">
        <f t="shared" si="11"/>
        <v>978002</v>
      </c>
      <c r="O85" s="68">
        <f t="shared" si="12"/>
        <v>1076270</v>
      </c>
      <c r="P85" s="68">
        <f t="shared" si="13"/>
        <v>760408</v>
      </c>
      <c r="Q85" s="68">
        <f t="shared" si="14"/>
        <v>374355</v>
      </c>
      <c r="R85" s="68">
        <f t="shared" si="15"/>
        <v>140383</v>
      </c>
      <c r="S85" s="68">
        <f>'Workforce &amp; Expenses'!U101</f>
        <v>1516623</v>
      </c>
      <c r="T85" s="68">
        <f t="shared" si="16"/>
        <v>5746832</v>
      </c>
      <c r="U85" s="68"/>
      <c r="V85" s="68">
        <f t="shared" si="18"/>
        <v>-10839947</v>
      </c>
      <c r="W85" s="27">
        <f t="shared" si="19"/>
        <v>900791</v>
      </c>
    </row>
    <row r="86" hidden="1">
      <c r="A86" s="67">
        <f>'Monthly Data'!A150</f>
        <v>47604</v>
      </c>
      <c r="B86" s="27" t="str">
        <f>IF(AND('Revenue &amp; Demand'!$B$5="Assumed approval + launch",A86&gt;='Revenue &amp; Demand'!$B$6),"Postapproval monitoring","Clinical development")</f>
        <v>Postapproval monitoring</v>
      </c>
      <c r="C86" s="27">
        <f t="shared" si="1"/>
        <v>250</v>
      </c>
      <c r="D86" s="27">
        <f t="shared" si="2"/>
        <v>8</v>
      </c>
      <c r="E86" s="68">
        <f t="shared" si="3"/>
        <v>267308</v>
      </c>
      <c r="F86" s="68">
        <f t="shared" si="4"/>
        <v>162073</v>
      </c>
      <c r="G86" s="68">
        <f t="shared" si="5"/>
        <v>163199</v>
      </c>
      <c r="H86" s="68">
        <f t="shared" si="6"/>
        <v>270122</v>
      </c>
      <c r="I86" s="68">
        <f t="shared" si="7"/>
        <v>196964</v>
      </c>
      <c r="J86" s="68">
        <f t="shared" si="8"/>
        <v>151944</v>
      </c>
      <c r="K86" s="68">
        <f>'Workforce &amp; Expenses'!T102</f>
        <v>3881505</v>
      </c>
      <c r="L86" s="68">
        <f t="shared" si="9"/>
        <v>5093115</v>
      </c>
      <c r="M86" s="68">
        <f t="shared" si="10"/>
        <v>38</v>
      </c>
      <c r="N86" s="68">
        <f t="shared" si="11"/>
        <v>978002</v>
      </c>
      <c r="O86" s="68">
        <f t="shared" si="12"/>
        <v>1076270</v>
      </c>
      <c r="P86" s="68">
        <f t="shared" si="13"/>
        <v>760408</v>
      </c>
      <c r="Q86" s="68">
        <f t="shared" si="14"/>
        <v>374355</v>
      </c>
      <c r="R86" s="68">
        <f t="shared" si="15"/>
        <v>140383</v>
      </c>
      <c r="S86" s="68">
        <f>'Workforce &amp; Expenses'!U102</f>
        <v>1536320</v>
      </c>
      <c r="T86" s="68">
        <f t="shared" si="16"/>
        <v>5766529</v>
      </c>
      <c r="U86" s="68"/>
      <c r="V86" s="68">
        <f t="shared" si="18"/>
        <v>-10859644</v>
      </c>
      <c r="W86" s="27">
        <f t="shared" si="19"/>
        <v>900791</v>
      </c>
    </row>
    <row r="87" hidden="1">
      <c r="A87" s="67">
        <f>'Monthly Data'!A151</f>
        <v>47635</v>
      </c>
      <c r="B87" s="27" t="str">
        <f>IF(AND('Revenue &amp; Demand'!$B$5="Assumed approval + launch",A87&gt;='Revenue &amp; Demand'!$B$6),"Postapproval monitoring","Clinical development")</f>
        <v>Postapproval monitoring</v>
      </c>
      <c r="C87" s="27">
        <f t="shared" si="1"/>
        <v>250</v>
      </c>
      <c r="D87" s="27">
        <f t="shared" si="2"/>
        <v>8</v>
      </c>
      <c r="E87" s="68">
        <f t="shared" si="3"/>
        <v>267308</v>
      </c>
      <c r="F87" s="68">
        <f t="shared" si="4"/>
        <v>162073</v>
      </c>
      <c r="G87" s="68">
        <f t="shared" si="5"/>
        <v>163199</v>
      </c>
      <c r="H87" s="68">
        <f t="shared" si="6"/>
        <v>270122</v>
      </c>
      <c r="I87" s="68">
        <f t="shared" si="7"/>
        <v>196964</v>
      </c>
      <c r="J87" s="68">
        <f t="shared" si="8"/>
        <v>151944</v>
      </c>
      <c r="K87" s="68">
        <f>'Workforce &amp; Expenses'!T103</f>
        <v>3903827</v>
      </c>
      <c r="L87" s="68">
        <f t="shared" si="9"/>
        <v>5115437</v>
      </c>
      <c r="M87" s="68">
        <f t="shared" si="10"/>
        <v>38</v>
      </c>
      <c r="N87" s="68">
        <f t="shared" si="11"/>
        <v>978002</v>
      </c>
      <c r="O87" s="68">
        <f t="shared" si="12"/>
        <v>1076270</v>
      </c>
      <c r="P87" s="68">
        <f t="shared" si="13"/>
        <v>760408</v>
      </c>
      <c r="Q87" s="68">
        <f t="shared" si="14"/>
        <v>374355</v>
      </c>
      <c r="R87" s="68">
        <f t="shared" si="15"/>
        <v>140383</v>
      </c>
      <c r="S87" s="68">
        <f>'Workforce &amp; Expenses'!U103</f>
        <v>1575712</v>
      </c>
      <c r="T87" s="68">
        <f t="shared" si="16"/>
        <v>5805921</v>
      </c>
      <c r="U87" s="68"/>
      <c r="V87" s="68">
        <f t="shared" si="18"/>
        <v>-10921358</v>
      </c>
      <c r="W87" s="27">
        <f t="shared" si="19"/>
        <v>900791</v>
      </c>
    </row>
    <row r="88" hidden="1">
      <c r="A88" s="67">
        <f>'Monthly Data'!A152</f>
        <v>47665</v>
      </c>
      <c r="B88" s="27" t="str">
        <f>IF(AND('Revenue &amp; Demand'!$B$5="Assumed approval + launch",A88&gt;='Revenue &amp; Demand'!$B$6),"Postapproval monitoring","Clinical development")</f>
        <v>Postapproval monitoring</v>
      </c>
      <c r="C88" s="27">
        <f t="shared" si="1"/>
        <v>250</v>
      </c>
      <c r="D88" s="27">
        <f t="shared" si="2"/>
        <v>8</v>
      </c>
      <c r="E88" s="68">
        <f t="shared" si="3"/>
        <v>267308</v>
      </c>
      <c r="F88" s="68">
        <f t="shared" si="4"/>
        <v>162073</v>
      </c>
      <c r="G88" s="68">
        <f t="shared" si="5"/>
        <v>163199</v>
      </c>
      <c r="H88" s="68">
        <f t="shared" si="6"/>
        <v>270122</v>
      </c>
      <c r="I88" s="68">
        <f t="shared" si="7"/>
        <v>196964</v>
      </c>
      <c r="J88" s="68">
        <f t="shared" si="8"/>
        <v>151944</v>
      </c>
      <c r="K88" s="68">
        <f>'Workforce &amp; Expenses'!T104</f>
        <v>3903827</v>
      </c>
      <c r="L88" s="68">
        <f t="shared" si="9"/>
        <v>5115437</v>
      </c>
      <c r="M88" s="68">
        <f t="shared" si="10"/>
        <v>38</v>
      </c>
      <c r="N88" s="68">
        <f t="shared" si="11"/>
        <v>978002</v>
      </c>
      <c r="O88" s="68">
        <f t="shared" si="12"/>
        <v>1076270</v>
      </c>
      <c r="P88" s="68">
        <f t="shared" si="13"/>
        <v>760408</v>
      </c>
      <c r="Q88" s="68">
        <f t="shared" si="14"/>
        <v>374355</v>
      </c>
      <c r="R88" s="68">
        <f t="shared" si="15"/>
        <v>140383</v>
      </c>
      <c r="S88" s="68">
        <f>'Workforce &amp; Expenses'!U104</f>
        <v>1595409</v>
      </c>
      <c r="T88" s="68">
        <f t="shared" si="16"/>
        <v>5825618</v>
      </c>
      <c r="U88" s="68"/>
      <c r="V88" s="68">
        <f t="shared" si="18"/>
        <v>-10941055</v>
      </c>
      <c r="W88" s="27">
        <f t="shared" si="19"/>
        <v>900791</v>
      </c>
    </row>
    <row r="89" hidden="1">
      <c r="A89" s="67">
        <f>'Monthly Data'!A153</f>
        <v>47696</v>
      </c>
      <c r="B89" s="27" t="str">
        <f>IF(AND('Revenue &amp; Demand'!$B$5="Assumed approval + launch",A89&gt;='Revenue &amp; Demand'!$B$6),"Postapproval monitoring","Clinical development")</f>
        <v>Postapproval monitoring</v>
      </c>
      <c r="C89" s="27">
        <f t="shared" si="1"/>
        <v>250</v>
      </c>
      <c r="D89" s="27">
        <f t="shared" si="2"/>
        <v>8</v>
      </c>
      <c r="E89" s="68">
        <f t="shared" si="3"/>
        <v>267308</v>
      </c>
      <c r="F89" s="68">
        <f t="shared" si="4"/>
        <v>162073</v>
      </c>
      <c r="G89" s="68">
        <f t="shared" si="5"/>
        <v>163199</v>
      </c>
      <c r="H89" s="68">
        <f t="shared" si="6"/>
        <v>270122</v>
      </c>
      <c r="I89" s="68">
        <f t="shared" si="7"/>
        <v>196964</v>
      </c>
      <c r="J89" s="68">
        <f t="shared" si="8"/>
        <v>151944</v>
      </c>
      <c r="K89" s="68">
        <f>'Workforce &amp; Expenses'!T105</f>
        <v>3903827</v>
      </c>
      <c r="L89" s="68">
        <f t="shared" si="9"/>
        <v>5115437</v>
      </c>
      <c r="M89" s="68">
        <f t="shared" si="10"/>
        <v>38</v>
      </c>
      <c r="N89" s="68">
        <f t="shared" si="11"/>
        <v>978002</v>
      </c>
      <c r="O89" s="68">
        <f t="shared" si="12"/>
        <v>1076270</v>
      </c>
      <c r="P89" s="68">
        <f t="shared" si="13"/>
        <v>760408</v>
      </c>
      <c r="Q89" s="68">
        <f t="shared" si="14"/>
        <v>374355</v>
      </c>
      <c r="R89" s="68">
        <f t="shared" si="15"/>
        <v>140383</v>
      </c>
      <c r="S89" s="68">
        <f>'Workforce &amp; Expenses'!U105</f>
        <v>1615105</v>
      </c>
      <c r="T89" s="68">
        <f t="shared" si="16"/>
        <v>5845314</v>
      </c>
      <c r="U89" s="68"/>
      <c r="V89" s="68">
        <f t="shared" si="18"/>
        <v>-10960751</v>
      </c>
      <c r="W89" s="27">
        <f t="shared" si="19"/>
        <v>900791</v>
      </c>
    </row>
    <row r="90" hidden="1">
      <c r="A90" s="67">
        <f>'Monthly Data'!A154</f>
        <v>47727</v>
      </c>
      <c r="B90" s="27" t="str">
        <f>IF(AND('Revenue &amp; Demand'!$B$5="Assumed approval + launch",A90&gt;='Revenue &amp; Demand'!$B$6),"Postapproval monitoring","Clinical development")</f>
        <v>Postapproval monitoring</v>
      </c>
      <c r="C90" s="27">
        <f t="shared" si="1"/>
        <v>250</v>
      </c>
      <c r="D90" s="27">
        <f t="shared" si="2"/>
        <v>8</v>
      </c>
      <c r="E90" s="68">
        <f t="shared" si="3"/>
        <v>267308</v>
      </c>
      <c r="F90" s="68">
        <f t="shared" si="4"/>
        <v>162073</v>
      </c>
      <c r="G90" s="68">
        <f t="shared" si="5"/>
        <v>163199</v>
      </c>
      <c r="H90" s="68">
        <f t="shared" si="6"/>
        <v>270122</v>
      </c>
      <c r="I90" s="68">
        <f t="shared" si="7"/>
        <v>196964</v>
      </c>
      <c r="J90" s="68">
        <f t="shared" si="8"/>
        <v>151944</v>
      </c>
      <c r="K90" s="68">
        <f>'Workforce &amp; Expenses'!T106</f>
        <v>3903827</v>
      </c>
      <c r="L90" s="68">
        <f t="shared" si="9"/>
        <v>5115437</v>
      </c>
      <c r="M90" s="68">
        <f t="shared" si="10"/>
        <v>38</v>
      </c>
      <c r="N90" s="68">
        <f t="shared" si="11"/>
        <v>978002</v>
      </c>
      <c r="O90" s="68">
        <f t="shared" si="12"/>
        <v>1076270</v>
      </c>
      <c r="P90" s="68">
        <f t="shared" si="13"/>
        <v>760408</v>
      </c>
      <c r="Q90" s="68">
        <f t="shared" si="14"/>
        <v>374355</v>
      </c>
      <c r="R90" s="68">
        <f t="shared" si="15"/>
        <v>140383</v>
      </c>
      <c r="S90" s="68">
        <f>'Workforce &amp; Expenses'!U106</f>
        <v>1634802</v>
      </c>
      <c r="T90" s="68">
        <f t="shared" si="16"/>
        <v>5865011</v>
      </c>
      <c r="U90" s="68"/>
      <c r="V90" s="68">
        <f t="shared" si="18"/>
        <v>-10980448</v>
      </c>
      <c r="W90" s="27">
        <f t="shared" si="19"/>
        <v>900791</v>
      </c>
    </row>
    <row r="91" hidden="1">
      <c r="A91" s="67">
        <f>'Monthly Data'!A155</f>
        <v>47757</v>
      </c>
      <c r="B91" s="27" t="str">
        <f>IF(AND('Revenue &amp; Demand'!$B$5="Assumed approval + launch",A91&gt;='Revenue &amp; Demand'!$B$6),"Postapproval monitoring","Clinical development")</f>
        <v>Postapproval monitoring</v>
      </c>
      <c r="C91" s="27">
        <f t="shared" si="1"/>
        <v>250</v>
      </c>
      <c r="D91" s="27">
        <f t="shared" si="2"/>
        <v>8</v>
      </c>
      <c r="E91" s="68">
        <f t="shared" si="3"/>
        <v>267308</v>
      </c>
      <c r="F91" s="68">
        <f t="shared" si="4"/>
        <v>162073</v>
      </c>
      <c r="G91" s="68">
        <f t="shared" si="5"/>
        <v>163199</v>
      </c>
      <c r="H91" s="68">
        <f t="shared" si="6"/>
        <v>270122</v>
      </c>
      <c r="I91" s="68">
        <f t="shared" si="7"/>
        <v>196964</v>
      </c>
      <c r="J91" s="68">
        <f t="shared" si="8"/>
        <v>151944</v>
      </c>
      <c r="K91" s="68">
        <f>'Workforce &amp; Expenses'!T107</f>
        <v>3905403</v>
      </c>
      <c r="L91" s="68">
        <f t="shared" si="9"/>
        <v>5117013</v>
      </c>
      <c r="M91" s="68">
        <f t="shared" si="10"/>
        <v>38</v>
      </c>
      <c r="N91" s="68">
        <f t="shared" si="11"/>
        <v>978002</v>
      </c>
      <c r="O91" s="68">
        <f t="shared" si="12"/>
        <v>1076270</v>
      </c>
      <c r="P91" s="68">
        <f t="shared" si="13"/>
        <v>760408</v>
      </c>
      <c r="Q91" s="68">
        <f t="shared" si="14"/>
        <v>374355</v>
      </c>
      <c r="R91" s="68">
        <f t="shared" si="15"/>
        <v>140383</v>
      </c>
      <c r="S91" s="68">
        <f>'Workforce &amp; Expenses'!U107</f>
        <v>1654498</v>
      </c>
      <c r="T91" s="68">
        <f t="shared" si="16"/>
        <v>5884707</v>
      </c>
      <c r="U91" s="68"/>
      <c r="V91" s="68">
        <f t="shared" si="18"/>
        <v>-11001720</v>
      </c>
      <c r="W91" s="27">
        <f t="shared" si="19"/>
        <v>900791</v>
      </c>
    </row>
    <row r="92" hidden="1">
      <c r="A92" s="67">
        <f>'Monthly Data'!A156</f>
        <v>47788</v>
      </c>
      <c r="B92" s="27" t="str">
        <f>IF(AND('Revenue &amp; Demand'!$B$5="Assumed approval + launch",A92&gt;='Revenue &amp; Demand'!$B$6),"Postapproval monitoring","Clinical development")</f>
        <v>Postapproval monitoring</v>
      </c>
      <c r="C92" s="27">
        <f t="shared" si="1"/>
        <v>250</v>
      </c>
      <c r="D92" s="27">
        <f t="shared" si="2"/>
        <v>8</v>
      </c>
      <c r="E92" s="68">
        <f t="shared" si="3"/>
        <v>267308</v>
      </c>
      <c r="F92" s="68">
        <f t="shared" si="4"/>
        <v>162073</v>
      </c>
      <c r="G92" s="68">
        <f t="shared" si="5"/>
        <v>163199</v>
      </c>
      <c r="H92" s="68">
        <f t="shared" si="6"/>
        <v>270122</v>
      </c>
      <c r="I92" s="68">
        <f t="shared" si="7"/>
        <v>196964</v>
      </c>
      <c r="J92" s="68">
        <f t="shared" si="8"/>
        <v>151944</v>
      </c>
      <c r="K92" s="68">
        <f>'Workforce &amp; Expenses'!T108</f>
        <v>3905403</v>
      </c>
      <c r="L92" s="68">
        <f t="shared" si="9"/>
        <v>5117013</v>
      </c>
      <c r="M92" s="68">
        <f t="shared" si="10"/>
        <v>38</v>
      </c>
      <c r="N92" s="68">
        <f t="shared" si="11"/>
        <v>978002</v>
      </c>
      <c r="O92" s="68">
        <f t="shared" si="12"/>
        <v>1076270</v>
      </c>
      <c r="P92" s="68">
        <f t="shared" si="13"/>
        <v>760408</v>
      </c>
      <c r="Q92" s="68">
        <f t="shared" si="14"/>
        <v>374355</v>
      </c>
      <c r="R92" s="68">
        <f t="shared" si="15"/>
        <v>140383</v>
      </c>
      <c r="S92" s="68">
        <f>'Workforce &amp; Expenses'!U108</f>
        <v>1674194</v>
      </c>
      <c r="T92" s="68">
        <f t="shared" si="16"/>
        <v>5904403</v>
      </c>
      <c r="U92" s="68"/>
      <c r="V92" s="68">
        <f t="shared" si="18"/>
        <v>-11021416</v>
      </c>
      <c r="W92" s="27">
        <f t="shared" si="19"/>
        <v>900791</v>
      </c>
    </row>
    <row r="93" hidden="1">
      <c r="A93" s="67">
        <f>'Monthly Data'!A157</f>
        <v>47818</v>
      </c>
      <c r="B93" s="27" t="str">
        <f>IF(AND('Revenue &amp; Demand'!$B$5="Assumed approval + launch",A93&gt;='Revenue &amp; Demand'!$B$6),"Postapproval monitoring","Clinical development")</f>
        <v>Postapproval monitoring</v>
      </c>
      <c r="C93" s="27">
        <f t="shared" si="1"/>
        <v>250</v>
      </c>
      <c r="D93" s="27">
        <f t="shared" si="2"/>
        <v>8</v>
      </c>
      <c r="E93" s="68">
        <f t="shared" si="3"/>
        <v>267308</v>
      </c>
      <c r="F93" s="68">
        <f t="shared" si="4"/>
        <v>162073</v>
      </c>
      <c r="G93" s="68">
        <f t="shared" si="5"/>
        <v>163199</v>
      </c>
      <c r="H93" s="68">
        <f t="shared" si="6"/>
        <v>270122</v>
      </c>
      <c r="I93" s="68">
        <f t="shared" si="7"/>
        <v>196964</v>
      </c>
      <c r="J93" s="68">
        <f t="shared" si="8"/>
        <v>151944</v>
      </c>
      <c r="K93" s="68">
        <f>'Workforce &amp; Expenses'!T109</f>
        <v>3905403</v>
      </c>
      <c r="L93" s="68">
        <f t="shared" si="9"/>
        <v>5117013</v>
      </c>
      <c r="M93" s="68">
        <f t="shared" si="10"/>
        <v>38</v>
      </c>
      <c r="N93" s="68">
        <f t="shared" si="11"/>
        <v>978002</v>
      </c>
      <c r="O93" s="68">
        <f t="shared" si="12"/>
        <v>1076270</v>
      </c>
      <c r="P93" s="68">
        <f t="shared" si="13"/>
        <v>760408</v>
      </c>
      <c r="Q93" s="68">
        <f t="shared" si="14"/>
        <v>374355</v>
      </c>
      <c r="R93" s="68">
        <f t="shared" si="15"/>
        <v>140383</v>
      </c>
      <c r="S93" s="68">
        <f>'Workforce &amp; Expenses'!U109</f>
        <v>1693891</v>
      </c>
      <c r="T93" s="68">
        <f t="shared" si="16"/>
        <v>5924100</v>
      </c>
      <c r="U93" s="68"/>
      <c r="V93" s="68">
        <f t="shared" si="18"/>
        <v>-11041113</v>
      </c>
      <c r="W93" s="27">
        <f t="shared" si="19"/>
        <v>900791</v>
      </c>
    </row>
    <row r="94" hidden="1">
      <c r="A94" s="67">
        <f>'Monthly Data'!A158</f>
        <v>47849</v>
      </c>
      <c r="B94" s="27" t="str">
        <f>IF(AND('Revenue &amp; Demand'!$B$5="Assumed approval + launch",A94&gt;='Revenue &amp; Demand'!$B$6),"Postapproval monitoring","Clinical development")</f>
        <v>Postapproval monitoring</v>
      </c>
      <c r="C94" s="27">
        <f t="shared" si="1"/>
        <v>250</v>
      </c>
      <c r="D94" s="27">
        <f t="shared" si="2"/>
        <v>8</v>
      </c>
      <c r="E94" s="68">
        <f t="shared" si="3"/>
        <v>275328</v>
      </c>
      <c r="F94" s="68">
        <f t="shared" si="4"/>
        <v>166935</v>
      </c>
      <c r="G94" s="68">
        <f t="shared" si="5"/>
        <v>168095</v>
      </c>
      <c r="H94" s="68">
        <f t="shared" si="6"/>
        <v>278226</v>
      </c>
      <c r="I94" s="68">
        <f t="shared" si="7"/>
        <v>202873</v>
      </c>
      <c r="J94" s="68">
        <f t="shared" si="8"/>
        <v>156502</v>
      </c>
      <c r="K94" s="68">
        <f>'Workforce &amp; Expenses'!T110</f>
        <v>4022566</v>
      </c>
      <c r="L94" s="68">
        <f t="shared" si="9"/>
        <v>5270525</v>
      </c>
      <c r="M94" s="68">
        <f t="shared" si="10"/>
        <v>42</v>
      </c>
      <c r="N94" s="68">
        <f t="shared" si="11"/>
        <v>1124187</v>
      </c>
      <c r="O94" s="68">
        <f t="shared" si="12"/>
        <v>1119321</v>
      </c>
      <c r="P94" s="68">
        <f t="shared" si="13"/>
        <v>790824</v>
      </c>
      <c r="Q94" s="68">
        <f t="shared" si="14"/>
        <v>389329</v>
      </c>
      <c r="R94" s="68">
        <f t="shared" si="15"/>
        <v>145998</v>
      </c>
      <c r="S94" s="68">
        <f>'Workforce &amp; Expenses'!U110</f>
        <v>1764995</v>
      </c>
      <c r="T94" s="68">
        <f t="shared" si="16"/>
        <v>6271477</v>
      </c>
      <c r="U94" s="68"/>
      <c r="V94" s="68">
        <f t="shared" si="18"/>
        <v>-11542002</v>
      </c>
      <c r="W94" s="27">
        <f t="shared" si="19"/>
        <v>936823</v>
      </c>
    </row>
    <row r="95" hidden="1">
      <c r="A95" s="67">
        <f>'Monthly Data'!A159</f>
        <v>47880</v>
      </c>
      <c r="B95" s="27" t="str">
        <f>IF(AND('Revenue &amp; Demand'!$B$5="Assumed approval + launch",A95&gt;='Revenue &amp; Demand'!$B$6),"Postapproval monitoring","Clinical development")</f>
        <v>Postapproval monitoring</v>
      </c>
      <c r="C95" s="27">
        <f t="shared" si="1"/>
        <v>250</v>
      </c>
      <c r="D95" s="27">
        <f t="shared" si="2"/>
        <v>8</v>
      </c>
      <c r="E95" s="68">
        <f t="shared" si="3"/>
        <v>275328</v>
      </c>
      <c r="F95" s="68">
        <f t="shared" si="4"/>
        <v>166935</v>
      </c>
      <c r="G95" s="68">
        <f t="shared" si="5"/>
        <v>168095</v>
      </c>
      <c r="H95" s="68">
        <f t="shared" si="6"/>
        <v>278226</v>
      </c>
      <c r="I95" s="68">
        <f t="shared" si="7"/>
        <v>202873</v>
      </c>
      <c r="J95" s="68">
        <f t="shared" si="8"/>
        <v>156502</v>
      </c>
      <c r="K95" s="68">
        <f>'Workforce &amp; Expenses'!T111</f>
        <v>4045558</v>
      </c>
      <c r="L95" s="68">
        <f t="shared" si="9"/>
        <v>5293517</v>
      </c>
      <c r="M95" s="68">
        <f t="shared" si="10"/>
        <v>42</v>
      </c>
      <c r="N95" s="68">
        <f t="shared" si="11"/>
        <v>1124187</v>
      </c>
      <c r="O95" s="68">
        <f t="shared" si="12"/>
        <v>1119321</v>
      </c>
      <c r="P95" s="68">
        <f t="shared" si="13"/>
        <v>790824</v>
      </c>
      <c r="Q95" s="68">
        <f t="shared" si="14"/>
        <v>389329</v>
      </c>
      <c r="R95" s="68">
        <f t="shared" si="15"/>
        <v>145998</v>
      </c>
      <c r="S95" s="68">
        <f>'Workforce &amp; Expenses'!U111</f>
        <v>1785282</v>
      </c>
      <c r="T95" s="68">
        <f t="shared" si="16"/>
        <v>6291764</v>
      </c>
      <c r="U95" s="68"/>
      <c r="V95" s="68">
        <f t="shared" si="18"/>
        <v>-11585281</v>
      </c>
      <c r="W95" s="27">
        <f t="shared" si="19"/>
        <v>936823</v>
      </c>
    </row>
    <row r="96" hidden="1">
      <c r="A96" s="67">
        <f>'Monthly Data'!A160</f>
        <v>47908</v>
      </c>
      <c r="B96" s="27" t="str">
        <f>IF(AND('Revenue &amp; Demand'!$B$5="Assumed approval + launch",A96&gt;='Revenue &amp; Demand'!$B$6),"Postapproval monitoring","Clinical development")</f>
        <v>Postapproval monitoring</v>
      </c>
      <c r="C96" s="27">
        <f t="shared" si="1"/>
        <v>250</v>
      </c>
      <c r="D96" s="27">
        <f t="shared" si="2"/>
        <v>8</v>
      </c>
      <c r="E96" s="68">
        <f t="shared" si="3"/>
        <v>275328</v>
      </c>
      <c r="F96" s="68">
        <f t="shared" si="4"/>
        <v>166935</v>
      </c>
      <c r="G96" s="68">
        <f t="shared" si="5"/>
        <v>168095</v>
      </c>
      <c r="H96" s="68">
        <f t="shared" si="6"/>
        <v>278226</v>
      </c>
      <c r="I96" s="68">
        <f t="shared" si="7"/>
        <v>202873</v>
      </c>
      <c r="J96" s="68">
        <f t="shared" si="8"/>
        <v>156502</v>
      </c>
      <c r="K96" s="68">
        <f>'Workforce &amp; Expenses'!T112</f>
        <v>4045558</v>
      </c>
      <c r="L96" s="68">
        <f t="shared" si="9"/>
        <v>5293517</v>
      </c>
      <c r="M96" s="68">
        <f t="shared" si="10"/>
        <v>42</v>
      </c>
      <c r="N96" s="68">
        <f t="shared" si="11"/>
        <v>1124187</v>
      </c>
      <c r="O96" s="68">
        <f t="shared" si="12"/>
        <v>1119321</v>
      </c>
      <c r="P96" s="68">
        <f t="shared" si="13"/>
        <v>790824</v>
      </c>
      <c r="Q96" s="68">
        <f t="shared" si="14"/>
        <v>389329</v>
      </c>
      <c r="R96" s="68">
        <f t="shared" si="15"/>
        <v>145998</v>
      </c>
      <c r="S96" s="68">
        <f>'Workforce &amp; Expenses'!U112</f>
        <v>1805569</v>
      </c>
      <c r="T96" s="68">
        <f t="shared" si="16"/>
        <v>6312051</v>
      </c>
      <c r="U96" s="68"/>
      <c r="V96" s="68">
        <f t="shared" si="18"/>
        <v>-11605568</v>
      </c>
      <c r="W96" s="27">
        <f t="shared" si="19"/>
        <v>936823</v>
      </c>
    </row>
    <row r="97" hidden="1">
      <c r="A97" s="67">
        <f>'Monthly Data'!A161</f>
        <v>47939</v>
      </c>
      <c r="B97" s="27" t="str">
        <f>IF(AND('Revenue &amp; Demand'!$B$5="Assumed approval + launch",A97&gt;='Revenue &amp; Demand'!$B$6),"Postapproval monitoring","Clinical development")</f>
        <v>Postapproval monitoring</v>
      </c>
      <c r="C97" s="27">
        <f t="shared" si="1"/>
        <v>250</v>
      </c>
      <c r="D97" s="27">
        <f t="shared" si="2"/>
        <v>8</v>
      </c>
      <c r="E97" s="68">
        <f t="shared" si="3"/>
        <v>275328</v>
      </c>
      <c r="F97" s="68">
        <f t="shared" si="4"/>
        <v>166935</v>
      </c>
      <c r="G97" s="68">
        <f t="shared" si="5"/>
        <v>168095</v>
      </c>
      <c r="H97" s="68">
        <f t="shared" si="6"/>
        <v>278226</v>
      </c>
      <c r="I97" s="68">
        <f t="shared" si="7"/>
        <v>202873</v>
      </c>
      <c r="J97" s="68">
        <f t="shared" si="8"/>
        <v>156502</v>
      </c>
      <c r="K97" s="68">
        <f>'Workforce &amp; Expenses'!T113</f>
        <v>4024188</v>
      </c>
      <c r="L97" s="68">
        <f t="shared" si="9"/>
        <v>5272147</v>
      </c>
      <c r="M97" s="68">
        <f t="shared" si="10"/>
        <v>42</v>
      </c>
      <c r="N97" s="68">
        <f t="shared" si="11"/>
        <v>1124187</v>
      </c>
      <c r="O97" s="68">
        <f t="shared" si="12"/>
        <v>1119321</v>
      </c>
      <c r="P97" s="68">
        <f t="shared" si="13"/>
        <v>790824</v>
      </c>
      <c r="Q97" s="68">
        <f t="shared" si="14"/>
        <v>389329</v>
      </c>
      <c r="R97" s="68">
        <f t="shared" si="15"/>
        <v>145998</v>
      </c>
      <c r="S97" s="68">
        <f>'Workforce &amp; Expenses'!U113</f>
        <v>1825857</v>
      </c>
      <c r="T97" s="68">
        <f t="shared" si="16"/>
        <v>6332339</v>
      </c>
      <c r="U97" s="68"/>
      <c r="V97" s="68">
        <f t="shared" si="18"/>
        <v>-11604486</v>
      </c>
      <c r="W97" s="27">
        <f t="shared" si="19"/>
        <v>936823</v>
      </c>
    </row>
    <row r="98" hidden="1">
      <c r="A98" s="67">
        <f>'Monthly Data'!A162</f>
        <v>47969</v>
      </c>
      <c r="B98" s="27" t="str">
        <f>IF(AND('Revenue &amp; Demand'!$B$5="Assumed approval + launch",A98&gt;='Revenue &amp; Demand'!$B$6),"Postapproval monitoring","Clinical development")</f>
        <v>Postapproval monitoring</v>
      </c>
      <c r="C98" s="27">
        <f t="shared" si="1"/>
        <v>250</v>
      </c>
      <c r="D98" s="27">
        <f t="shared" si="2"/>
        <v>8</v>
      </c>
      <c r="E98" s="68">
        <f t="shared" si="3"/>
        <v>275328</v>
      </c>
      <c r="F98" s="68">
        <f t="shared" si="4"/>
        <v>166935</v>
      </c>
      <c r="G98" s="68">
        <f t="shared" si="5"/>
        <v>168095</v>
      </c>
      <c r="H98" s="68">
        <f t="shared" si="6"/>
        <v>278226</v>
      </c>
      <c r="I98" s="68">
        <f t="shared" si="7"/>
        <v>202873</v>
      </c>
      <c r="J98" s="68">
        <f t="shared" si="8"/>
        <v>156502</v>
      </c>
      <c r="K98" s="68">
        <f>'Workforce &amp; Expenses'!T114</f>
        <v>4024188</v>
      </c>
      <c r="L98" s="68">
        <f t="shared" si="9"/>
        <v>5272147</v>
      </c>
      <c r="M98" s="68">
        <f t="shared" si="10"/>
        <v>42</v>
      </c>
      <c r="N98" s="68">
        <f t="shared" si="11"/>
        <v>1124187</v>
      </c>
      <c r="O98" s="68">
        <f t="shared" si="12"/>
        <v>1119321</v>
      </c>
      <c r="P98" s="68">
        <f t="shared" si="13"/>
        <v>790824</v>
      </c>
      <c r="Q98" s="68">
        <f t="shared" si="14"/>
        <v>389329</v>
      </c>
      <c r="R98" s="68">
        <f t="shared" si="15"/>
        <v>145998</v>
      </c>
      <c r="S98" s="68">
        <f>'Workforce &amp; Expenses'!U114</f>
        <v>1846144</v>
      </c>
      <c r="T98" s="68">
        <f t="shared" si="16"/>
        <v>6352626</v>
      </c>
      <c r="U98" s="68"/>
      <c r="V98" s="68">
        <f t="shared" si="18"/>
        <v>-11624773</v>
      </c>
      <c r="W98" s="27">
        <f t="shared" si="19"/>
        <v>936823</v>
      </c>
    </row>
    <row r="99" hidden="1">
      <c r="A99" s="67">
        <f>'Monthly Data'!A163</f>
        <v>48000</v>
      </c>
      <c r="B99" s="27" t="str">
        <f>IF(AND('Revenue &amp; Demand'!$B$5="Assumed approval + launch",A99&gt;='Revenue &amp; Demand'!$B$6),"Postapproval monitoring","Clinical development")</f>
        <v>Postapproval monitoring</v>
      </c>
      <c r="C99" s="27">
        <f t="shared" si="1"/>
        <v>250</v>
      </c>
      <c r="D99" s="27">
        <f t="shared" si="2"/>
        <v>8</v>
      </c>
      <c r="E99" s="68">
        <f t="shared" si="3"/>
        <v>275328</v>
      </c>
      <c r="F99" s="68">
        <f t="shared" si="4"/>
        <v>166935</v>
      </c>
      <c r="G99" s="68">
        <f t="shared" si="5"/>
        <v>168095</v>
      </c>
      <c r="H99" s="68">
        <f t="shared" si="6"/>
        <v>278226</v>
      </c>
      <c r="I99" s="68">
        <f t="shared" si="7"/>
        <v>202873</v>
      </c>
      <c r="J99" s="68">
        <f t="shared" si="8"/>
        <v>156502</v>
      </c>
      <c r="K99" s="68">
        <f>'Workforce &amp; Expenses'!T115</f>
        <v>4047180</v>
      </c>
      <c r="L99" s="68">
        <f t="shared" si="9"/>
        <v>5295139</v>
      </c>
      <c r="M99" s="68">
        <f t="shared" si="10"/>
        <v>42</v>
      </c>
      <c r="N99" s="68">
        <f t="shared" si="11"/>
        <v>1124187</v>
      </c>
      <c r="O99" s="68">
        <f t="shared" si="12"/>
        <v>1119321</v>
      </c>
      <c r="P99" s="68">
        <f t="shared" si="13"/>
        <v>790824</v>
      </c>
      <c r="Q99" s="68">
        <f t="shared" si="14"/>
        <v>389329</v>
      </c>
      <c r="R99" s="68">
        <f t="shared" si="15"/>
        <v>145998</v>
      </c>
      <c r="S99" s="68">
        <f>'Workforce &amp; Expenses'!U115</f>
        <v>1886719</v>
      </c>
      <c r="T99" s="68">
        <f t="shared" si="16"/>
        <v>6393201</v>
      </c>
      <c r="U99" s="68"/>
      <c r="V99" s="68">
        <f t="shared" si="18"/>
        <v>-11688340</v>
      </c>
      <c r="W99" s="27">
        <f t="shared" si="19"/>
        <v>936823</v>
      </c>
    </row>
    <row r="100" hidden="1">
      <c r="A100" s="67">
        <f>'Monthly Data'!A164</f>
        <v>48030</v>
      </c>
      <c r="B100" s="27" t="str">
        <f>IF(AND('Revenue &amp; Demand'!$B$5="Assumed approval + launch",A100&gt;='Revenue &amp; Demand'!$B$6),"Postapproval monitoring","Clinical development")</f>
        <v>Postapproval monitoring</v>
      </c>
      <c r="C100" s="27">
        <f t="shared" si="1"/>
        <v>250</v>
      </c>
      <c r="D100" s="27">
        <f t="shared" si="2"/>
        <v>8</v>
      </c>
      <c r="E100" s="68">
        <f t="shared" si="3"/>
        <v>275328</v>
      </c>
      <c r="F100" s="68">
        <f t="shared" si="4"/>
        <v>166935</v>
      </c>
      <c r="G100" s="68">
        <f t="shared" si="5"/>
        <v>168095</v>
      </c>
      <c r="H100" s="68">
        <f t="shared" si="6"/>
        <v>278226</v>
      </c>
      <c r="I100" s="68">
        <f t="shared" si="7"/>
        <v>202873</v>
      </c>
      <c r="J100" s="68">
        <f t="shared" si="8"/>
        <v>156502</v>
      </c>
      <c r="K100" s="68">
        <f>'Workforce &amp; Expenses'!T116</f>
        <v>4047180</v>
      </c>
      <c r="L100" s="68">
        <f t="shared" si="9"/>
        <v>5295139</v>
      </c>
      <c r="M100" s="68">
        <f t="shared" si="10"/>
        <v>42</v>
      </c>
      <c r="N100" s="68">
        <f t="shared" si="11"/>
        <v>1124187</v>
      </c>
      <c r="O100" s="68">
        <f t="shared" si="12"/>
        <v>1119321</v>
      </c>
      <c r="P100" s="68">
        <f t="shared" si="13"/>
        <v>790824</v>
      </c>
      <c r="Q100" s="68">
        <f t="shared" si="14"/>
        <v>389329</v>
      </c>
      <c r="R100" s="68">
        <f t="shared" si="15"/>
        <v>145998</v>
      </c>
      <c r="S100" s="68">
        <f>'Workforce &amp; Expenses'!U116</f>
        <v>1907006</v>
      </c>
      <c r="T100" s="68">
        <f t="shared" si="16"/>
        <v>6413488</v>
      </c>
      <c r="U100" s="68"/>
      <c r="V100" s="68">
        <f t="shared" si="18"/>
        <v>-11708627</v>
      </c>
      <c r="W100" s="27">
        <f t="shared" si="19"/>
        <v>936823</v>
      </c>
    </row>
    <row r="101" hidden="1">
      <c r="A101" s="67">
        <f>'Monthly Data'!A165</f>
        <v>48061</v>
      </c>
      <c r="B101" s="27" t="str">
        <f>IF(AND('Revenue &amp; Demand'!$B$5="Assumed approval + launch",A101&gt;='Revenue &amp; Demand'!$B$6),"Postapproval monitoring","Clinical development")</f>
        <v>Postapproval monitoring</v>
      </c>
      <c r="C101" s="27">
        <f t="shared" si="1"/>
        <v>250</v>
      </c>
      <c r="D101" s="27">
        <f t="shared" si="2"/>
        <v>8</v>
      </c>
      <c r="E101" s="68">
        <f t="shared" si="3"/>
        <v>275328</v>
      </c>
      <c r="F101" s="68">
        <f t="shared" si="4"/>
        <v>166935</v>
      </c>
      <c r="G101" s="68">
        <f t="shared" si="5"/>
        <v>168095</v>
      </c>
      <c r="H101" s="68">
        <f t="shared" si="6"/>
        <v>278226</v>
      </c>
      <c r="I101" s="68">
        <f t="shared" si="7"/>
        <v>202873</v>
      </c>
      <c r="J101" s="68">
        <f t="shared" si="8"/>
        <v>156502</v>
      </c>
      <c r="K101" s="68">
        <f>'Workforce &amp; Expenses'!T117</f>
        <v>4047180</v>
      </c>
      <c r="L101" s="68">
        <f t="shared" si="9"/>
        <v>5295139</v>
      </c>
      <c r="M101" s="68">
        <f t="shared" si="10"/>
        <v>42</v>
      </c>
      <c r="N101" s="68">
        <f t="shared" si="11"/>
        <v>1124187</v>
      </c>
      <c r="O101" s="68">
        <f t="shared" si="12"/>
        <v>1119321</v>
      </c>
      <c r="P101" s="68">
        <f t="shared" si="13"/>
        <v>790824</v>
      </c>
      <c r="Q101" s="68">
        <f t="shared" si="14"/>
        <v>389329</v>
      </c>
      <c r="R101" s="68">
        <f t="shared" si="15"/>
        <v>145998</v>
      </c>
      <c r="S101" s="68">
        <f>'Workforce &amp; Expenses'!U117</f>
        <v>1927293</v>
      </c>
      <c r="T101" s="68">
        <f t="shared" si="16"/>
        <v>6433775</v>
      </c>
      <c r="U101" s="68"/>
      <c r="V101" s="68">
        <f t="shared" si="18"/>
        <v>-11728914</v>
      </c>
      <c r="W101" s="27">
        <f t="shared" si="19"/>
        <v>936823</v>
      </c>
    </row>
    <row r="102" hidden="1">
      <c r="A102" s="67">
        <f>'Monthly Data'!A166</f>
        <v>48092</v>
      </c>
      <c r="B102" s="27" t="str">
        <f>IF(AND('Revenue &amp; Demand'!$B$5="Assumed approval + launch",A102&gt;='Revenue &amp; Demand'!$B$6),"Postapproval monitoring","Clinical development")</f>
        <v>Postapproval monitoring</v>
      </c>
      <c r="C102" s="27">
        <f t="shared" si="1"/>
        <v>250</v>
      </c>
      <c r="D102" s="27">
        <f t="shared" si="2"/>
        <v>8</v>
      </c>
      <c r="E102" s="68">
        <f t="shared" si="3"/>
        <v>275328</v>
      </c>
      <c r="F102" s="68">
        <f t="shared" si="4"/>
        <v>166935</v>
      </c>
      <c r="G102" s="68">
        <f t="shared" si="5"/>
        <v>168095</v>
      </c>
      <c r="H102" s="68">
        <f t="shared" si="6"/>
        <v>278226</v>
      </c>
      <c r="I102" s="68">
        <f t="shared" si="7"/>
        <v>202873</v>
      </c>
      <c r="J102" s="68">
        <f t="shared" si="8"/>
        <v>156502</v>
      </c>
      <c r="K102" s="68">
        <f>'Workforce &amp; Expenses'!T118</f>
        <v>4047180</v>
      </c>
      <c r="L102" s="68">
        <f t="shared" si="9"/>
        <v>5295139</v>
      </c>
      <c r="M102" s="68">
        <f t="shared" si="10"/>
        <v>42</v>
      </c>
      <c r="N102" s="68">
        <f t="shared" si="11"/>
        <v>1124187</v>
      </c>
      <c r="O102" s="68">
        <f t="shared" si="12"/>
        <v>1119321</v>
      </c>
      <c r="P102" s="68">
        <f t="shared" si="13"/>
        <v>790824</v>
      </c>
      <c r="Q102" s="68">
        <f t="shared" si="14"/>
        <v>389329</v>
      </c>
      <c r="R102" s="68">
        <f t="shared" si="15"/>
        <v>145998</v>
      </c>
      <c r="S102" s="68">
        <f>'Workforce &amp; Expenses'!U118</f>
        <v>1947580</v>
      </c>
      <c r="T102" s="68">
        <f t="shared" si="16"/>
        <v>6454062</v>
      </c>
      <c r="U102" s="68"/>
      <c r="V102" s="68">
        <f t="shared" si="18"/>
        <v>-11749201</v>
      </c>
      <c r="W102" s="27">
        <f t="shared" si="19"/>
        <v>936823</v>
      </c>
    </row>
    <row r="103" hidden="1">
      <c r="A103" s="67">
        <f>'Monthly Data'!A167</f>
        <v>48122</v>
      </c>
      <c r="B103" s="27" t="str">
        <f>IF(AND('Revenue &amp; Demand'!$B$5="Assumed approval + launch",A103&gt;='Revenue &amp; Demand'!$B$6),"Postapproval monitoring","Clinical development")</f>
        <v>Postapproval monitoring</v>
      </c>
      <c r="C103" s="27">
        <f t="shared" si="1"/>
        <v>250</v>
      </c>
      <c r="D103" s="27">
        <f t="shared" si="2"/>
        <v>8</v>
      </c>
      <c r="E103" s="68">
        <f t="shared" si="3"/>
        <v>275328</v>
      </c>
      <c r="F103" s="68">
        <f t="shared" si="4"/>
        <v>166935</v>
      </c>
      <c r="G103" s="68">
        <f t="shared" si="5"/>
        <v>168095</v>
      </c>
      <c r="H103" s="68">
        <f t="shared" si="6"/>
        <v>278226</v>
      </c>
      <c r="I103" s="68">
        <f t="shared" si="7"/>
        <v>202873</v>
      </c>
      <c r="J103" s="68">
        <f t="shared" si="8"/>
        <v>156502</v>
      </c>
      <c r="K103" s="68">
        <f>'Workforce &amp; Expenses'!T119</f>
        <v>4048803</v>
      </c>
      <c r="L103" s="68">
        <f t="shared" si="9"/>
        <v>5296762</v>
      </c>
      <c r="M103" s="68">
        <f t="shared" si="10"/>
        <v>42</v>
      </c>
      <c r="N103" s="68">
        <f t="shared" si="11"/>
        <v>1124187</v>
      </c>
      <c r="O103" s="68">
        <f t="shared" si="12"/>
        <v>1119321</v>
      </c>
      <c r="P103" s="68">
        <f t="shared" si="13"/>
        <v>790824</v>
      </c>
      <c r="Q103" s="68">
        <f t="shared" si="14"/>
        <v>389329</v>
      </c>
      <c r="R103" s="68">
        <f t="shared" si="15"/>
        <v>145998</v>
      </c>
      <c r="S103" s="68">
        <f>'Workforce &amp; Expenses'!U119</f>
        <v>1967868</v>
      </c>
      <c r="T103" s="68">
        <f t="shared" si="16"/>
        <v>6474350</v>
      </c>
      <c r="U103" s="68"/>
      <c r="V103" s="68">
        <f t="shared" si="18"/>
        <v>-11771112</v>
      </c>
      <c r="W103" s="27">
        <f t="shared" si="19"/>
        <v>936823</v>
      </c>
    </row>
    <row r="104" hidden="1">
      <c r="A104" s="67">
        <f>'Monthly Data'!A168</f>
        <v>48153</v>
      </c>
      <c r="B104" s="27" t="str">
        <f>IF(AND('Revenue &amp; Demand'!$B$5="Assumed approval + launch",A104&gt;='Revenue &amp; Demand'!$B$6),"Postapproval monitoring","Clinical development")</f>
        <v>Postapproval monitoring</v>
      </c>
      <c r="C104" s="27">
        <f t="shared" si="1"/>
        <v>250</v>
      </c>
      <c r="D104" s="27">
        <f t="shared" si="2"/>
        <v>8</v>
      </c>
      <c r="E104" s="68">
        <f t="shared" si="3"/>
        <v>275328</v>
      </c>
      <c r="F104" s="68">
        <f t="shared" si="4"/>
        <v>166935</v>
      </c>
      <c r="G104" s="68">
        <f t="shared" si="5"/>
        <v>168095</v>
      </c>
      <c r="H104" s="68">
        <f t="shared" si="6"/>
        <v>278226</v>
      </c>
      <c r="I104" s="68">
        <f t="shared" si="7"/>
        <v>202873</v>
      </c>
      <c r="J104" s="68">
        <f t="shared" si="8"/>
        <v>156502</v>
      </c>
      <c r="K104" s="68">
        <f>'Workforce &amp; Expenses'!T120</f>
        <v>4048803</v>
      </c>
      <c r="L104" s="68">
        <f t="shared" si="9"/>
        <v>5296762</v>
      </c>
      <c r="M104" s="68">
        <f t="shared" si="10"/>
        <v>42</v>
      </c>
      <c r="N104" s="68">
        <f t="shared" si="11"/>
        <v>1124187</v>
      </c>
      <c r="O104" s="68">
        <f t="shared" si="12"/>
        <v>1119321</v>
      </c>
      <c r="P104" s="68">
        <f t="shared" si="13"/>
        <v>790824</v>
      </c>
      <c r="Q104" s="68">
        <f t="shared" si="14"/>
        <v>389329</v>
      </c>
      <c r="R104" s="68">
        <f t="shared" si="15"/>
        <v>145998</v>
      </c>
      <c r="S104" s="68">
        <f>'Workforce &amp; Expenses'!U120</f>
        <v>1988155</v>
      </c>
      <c r="T104" s="68">
        <f t="shared" si="16"/>
        <v>6494637</v>
      </c>
      <c r="U104" s="68"/>
      <c r="V104" s="68">
        <f t="shared" si="18"/>
        <v>-11791399</v>
      </c>
      <c r="W104" s="27">
        <f t="shared" si="19"/>
        <v>936823</v>
      </c>
    </row>
    <row r="105" hidden="1">
      <c r="A105" s="67">
        <f>'Monthly Data'!A169</f>
        <v>48183</v>
      </c>
      <c r="B105" s="27" t="str">
        <f>IF(AND('Revenue &amp; Demand'!$B$5="Assumed approval + launch",A105&gt;='Revenue &amp; Demand'!$B$6),"Postapproval monitoring","Clinical development")</f>
        <v>Postapproval monitoring</v>
      </c>
      <c r="C105" s="27">
        <f t="shared" si="1"/>
        <v>250</v>
      </c>
      <c r="D105" s="27">
        <f t="shared" si="2"/>
        <v>8</v>
      </c>
      <c r="E105" s="68">
        <f t="shared" si="3"/>
        <v>275328</v>
      </c>
      <c r="F105" s="68">
        <f t="shared" si="4"/>
        <v>166935</v>
      </c>
      <c r="G105" s="68">
        <f t="shared" si="5"/>
        <v>168095</v>
      </c>
      <c r="H105" s="68">
        <f t="shared" si="6"/>
        <v>278226</v>
      </c>
      <c r="I105" s="68">
        <f t="shared" si="7"/>
        <v>202873</v>
      </c>
      <c r="J105" s="68">
        <f t="shared" si="8"/>
        <v>156502</v>
      </c>
      <c r="K105" s="68">
        <f>'Workforce &amp; Expenses'!T121</f>
        <v>4048803</v>
      </c>
      <c r="L105" s="68">
        <f t="shared" si="9"/>
        <v>5296762</v>
      </c>
      <c r="M105" s="68">
        <f t="shared" si="10"/>
        <v>42</v>
      </c>
      <c r="N105" s="68">
        <f t="shared" si="11"/>
        <v>1124187</v>
      </c>
      <c r="O105" s="68">
        <f t="shared" si="12"/>
        <v>1119321</v>
      </c>
      <c r="P105" s="68">
        <f t="shared" si="13"/>
        <v>790824</v>
      </c>
      <c r="Q105" s="68">
        <f t="shared" si="14"/>
        <v>389329</v>
      </c>
      <c r="R105" s="68">
        <f t="shared" si="15"/>
        <v>145998</v>
      </c>
      <c r="S105" s="68">
        <f>'Workforce &amp; Expenses'!U121</f>
        <v>2008442</v>
      </c>
      <c r="T105" s="68">
        <f t="shared" si="16"/>
        <v>6514924</v>
      </c>
      <c r="U105" s="68"/>
      <c r="V105" s="68">
        <f t="shared" si="18"/>
        <v>-11811686</v>
      </c>
      <c r="W105" s="27">
        <f t="shared" si="19"/>
        <v>936823</v>
      </c>
    </row>
    <row r="106" hidden="1">
      <c r="A106" s="67">
        <f>'Monthly Data'!A170</f>
        <v>48214</v>
      </c>
      <c r="B106" s="27" t="str">
        <f>IF(AND('Revenue &amp; Demand'!$B$5="Assumed approval + launch",A106&gt;='Revenue &amp; Demand'!$B$6),"Postapproval monitoring","Clinical development")</f>
        <v>Postapproval monitoring</v>
      </c>
      <c r="C106" s="27">
        <f t="shared" si="1"/>
        <v>250</v>
      </c>
      <c r="D106" s="27">
        <f t="shared" si="2"/>
        <v>8</v>
      </c>
      <c r="E106" s="68">
        <f t="shared" si="3"/>
        <v>283587</v>
      </c>
      <c r="F106" s="68">
        <f t="shared" si="4"/>
        <v>171944</v>
      </c>
      <c r="G106" s="68">
        <f t="shared" si="5"/>
        <v>173138</v>
      </c>
      <c r="H106" s="68">
        <f t="shared" si="6"/>
        <v>286573</v>
      </c>
      <c r="I106" s="68">
        <f t="shared" si="7"/>
        <v>208959</v>
      </c>
      <c r="J106" s="68">
        <f t="shared" si="8"/>
        <v>161197</v>
      </c>
      <c r="K106" s="68">
        <f>'Workforce &amp; Expenses'!T122</f>
        <v>4170268</v>
      </c>
      <c r="L106" s="68">
        <f t="shared" si="9"/>
        <v>5455666</v>
      </c>
      <c r="M106" s="68">
        <f t="shared" si="10"/>
        <v>46</v>
      </c>
      <c r="N106" s="68">
        <f t="shared" si="11"/>
        <v>1280503</v>
      </c>
      <c r="O106" s="68">
        <f t="shared" si="12"/>
        <v>1164093</v>
      </c>
      <c r="P106" s="68">
        <f t="shared" si="13"/>
        <v>822457</v>
      </c>
      <c r="Q106" s="68">
        <f t="shared" si="14"/>
        <v>404902</v>
      </c>
      <c r="R106" s="68">
        <f t="shared" si="15"/>
        <v>151838</v>
      </c>
      <c r="S106" s="68">
        <f>'Workforce &amp; Expenses'!U122</f>
        <v>2089592</v>
      </c>
      <c r="T106" s="68">
        <f t="shared" si="16"/>
        <v>6887681</v>
      </c>
      <c r="U106" s="68"/>
      <c r="V106" s="68">
        <f t="shared" si="18"/>
        <v>-12343347</v>
      </c>
      <c r="W106" s="27">
        <f t="shared" si="19"/>
        <v>974296</v>
      </c>
    </row>
    <row r="107" hidden="1">
      <c r="A107" s="67">
        <f>'Monthly Data'!A171</f>
        <v>48245</v>
      </c>
      <c r="B107" s="27" t="str">
        <f>IF(AND('Revenue &amp; Demand'!$B$5="Assumed approval + launch",A107&gt;='Revenue &amp; Demand'!$B$6),"Postapproval monitoring","Clinical development")</f>
        <v>Postapproval monitoring</v>
      </c>
      <c r="C107" s="27">
        <f t="shared" si="1"/>
        <v>250</v>
      </c>
      <c r="D107" s="27">
        <f t="shared" si="2"/>
        <v>8</v>
      </c>
      <c r="E107" s="68">
        <f t="shared" si="3"/>
        <v>283587</v>
      </c>
      <c r="F107" s="68">
        <f t="shared" si="4"/>
        <v>171944</v>
      </c>
      <c r="G107" s="68">
        <f t="shared" si="5"/>
        <v>173138</v>
      </c>
      <c r="H107" s="68">
        <f t="shared" si="6"/>
        <v>286573</v>
      </c>
      <c r="I107" s="68">
        <f t="shared" si="7"/>
        <v>208959</v>
      </c>
      <c r="J107" s="68">
        <f t="shared" si="8"/>
        <v>161197</v>
      </c>
      <c r="K107" s="68">
        <f>'Workforce &amp; Expenses'!T123</f>
        <v>4193950</v>
      </c>
      <c r="L107" s="68">
        <f t="shared" si="9"/>
        <v>5479348</v>
      </c>
      <c r="M107" s="68">
        <f t="shared" si="10"/>
        <v>46</v>
      </c>
      <c r="N107" s="68">
        <f t="shared" si="11"/>
        <v>1280503</v>
      </c>
      <c r="O107" s="68">
        <f t="shared" si="12"/>
        <v>1164093</v>
      </c>
      <c r="P107" s="68">
        <f t="shared" si="13"/>
        <v>822457</v>
      </c>
      <c r="Q107" s="68">
        <f t="shared" si="14"/>
        <v>404902</v>
      </c>
      <c r="R107" s="68">
        <f t="shared" si="15"/>
        <v>151838</v>
      </c>
      <c r="S107" s="68">
        <f>'Workforce &amp; Expenses'!U123</f>
        <v>2110487</v>
      </c>
      <c r="T107" s="68">
        <f t="shared" si="16"/>
        <v>6908576</v>
      </c>
      <c r="U107" s="68"/>
      <c r="V107" s="68">
        <f t="shared" si="18"/>
        <v>-12387924</v>
      </c>
      <c r="W107" s="27">
        <f t="shared" si="19"/>
        <v>974296</v>
      </c>
    </row>
    <row r="108" hidden="1">
      <c r="A108" s="67">
        <f>'Monthly Data'!A172</f>
        <v>48274</v>
      </c>
      <c r="B108" s="27" t="str">
        <f>IF(AND('Revenue &amp; Demand'!$B$5="Assumed approval + launch",A108&gt;='Revenue &amp; Demand'!$B$6),"Postapproval monitoring","Clinical development")</f>
        <v>Postapproval monitoring</v>
      </c>
      <c r="C108" s="27">
        <f t="shared" si="1"/>
        <v>250</v>
      </c>
      <c r="D108" s="27">
        <f t="shared" si="2"/>
        <v>8</v>
      </c>
      <c r="E108" s="68">
        <f t="shared" si="3"/>
        <v>283587</v>
      </c>
      <c r="F108" s="68">
        <f t="shared" si="4"/>
        <v>171944</v>
      </c>
      <c r="G108" s="68">
        <f t="shared" si="5"/>
        <v>173138</v>
      </c>
      <c r="H108" s="68">
        <f t="shared" si="6"/>
        <v>286573</v>
      </c>
      <c r="I108" s="68">
        <f t="shared" si="7"/>
        <v>208959</v>
      </c>
      <c r="J108" s="68">
        <f t="shared" si="8"/>
        <v>161197</v>
      </c>
      <c r="K108" s="68">
        <f>'Workforce &amp; Expenses'!T124</f>
        <v>4171939</v>
      </c>
      <c r="L108" s="68">
        <f t="shared" si="9"/>
        <v>5457337</v>
      </c>
      <c r="M108" s="68">
        <f t="shared" si="10"/>
        <v>46</v>
      </c>
      <c r="N108" s="68">
        <f t="shared" si="11"/>
        <v>1280503</v>
      </c>
      <c r="O108" s="68">
        <f t="shared" si="12"/>
        <v>1164093</v>
      </c>
      <c r="P108" s="68">
        <f t="shared" si="13"/>
        <v>822457</v>
      </c>
      <c r="Q108" s="68">
        <f t="shared" si="14"/>
        <v>404902</v>
      </c>
      <c r="R108" s="68">
        <f t="shared" si="15"/>
        <v>151838</v>
      </c>
      <c r="S108" s="68">
        <f>'Workforce &amp; Expenses'!U124</f>
        <v>2131383</v>
      </c>
      <c r="T108" s="68">
        <f t="shared" si="16"/>
        <v>6929472</v>
      </c>
      <c r="U108" s="68"/>
      <c r="V108" s="68">
        <f t="shared" si="18"/>
        <v>-12386809</v>
      </c>
      <c r="W108" s="27">
        <f t="shared" si="19"/>
        <v>974296</v>
      </c>
    </row>
    <row r="109" hidden="1">
      <c r="A109" s="67">
        <f>'Monthly Data'!A173</f>
        <v>48305</v>
      </c>
      <c r="B109" s="27" t="str">
        <f>IF(AND('Revenue &amp; Demand'!$B$5="Assumed approval + launch",A109&gt;='Revenue &amp; Demand'!$B$6),"Postapproval monitoring","Clinical development")</f>
        <v>Postapproval monitoring</v>
      </c>
      <c r="C109" s="27">
        <f t="shared" si="1"/>
        <v>250</v>
      </c>
      <c r="D109" s="27">
        <f t="shared" si="2"/>
        <v>8</v>
      </c>
      <c r="E109" s="68">
        <f t="shared" si="3"/>
        <v>283587</v>
      </c>
      <c r="F109" s="68">
        <f t="shared" si="4"/>
        <v>171944</v>
      </c>
      <c r="G109" s="68">
        <f t="shared" si="5"/>
        <v>173138</v>
      </c>
      <c r="H109" s="68">
        <f t="shared" si="6"/>
        <v>286573</v>
      </c>
      <c r="I109" s="68">
        <f t="shared" si="7"/>
        <v>208959</v>
      </c>
      <c r="J109" s="68">
        <f t="shared" si="8"/>
        <v>161197</v>
      </c>
      <c r="K109" s="68">
        <f>'Workforce &amp; Expenses'!T125</f>
        <v>4171939</v>
      </c>
      <c r="L109" s="68">
        <f t="shared" si="9"/>
        <v>5457337</v>
      </c>
      <c r="M109" s="68">
        <f t="shared" si="10"/>
        <v>46</v>
      </c>
      <c r="N109" s="68">
        <f t="shared" si="11"/>
        <v>1280503</v>
      </c>
      <c r="O109" s="68">
        <f t="shared" si="12"/>
        <v>1164093</v>
      </c>
      <c r="P109" s="68">
        <f t="shared" si="13"/>
        <v>822457</v>
      </c>
      <c r="Q109" s="68">
        <f t="shared" si="14"/>
        <v>404902</v>
      </c>
      <c r="R109" s="68">
        <f t="shared" si="15"/>
        <v>151838</v>
      </c>
      <c r="S109" s="68">
        <f>'Workforce &amp; Expenses'!U125</f>
        <v>2152279</v>
      </c>
      <c r="T109" s="68">
        <f t="shared" si="16"/>
        <v>6950368</v>
      </c>
      <c r="U109" s="68"/>
      <c r="V109" s="68">
        <f t="shared" si="18"/>
        <v>-12407705</v>
      </c>
      <c r="W109" s="27">
        <f t="shared" si="19"/>
        <v>974296</v>
      </c>
    </row>
    <row r="110" hidden="1">
      <c r="A110" s="67">
        <f>'Monthly Data'!A174</f>
        <v>48335</v>
      </c>
      <c r="B110" s="27" t="str">
        <f>IF(AND('Revenue &amp; Demand'!$B$5="Assumed approval + launch",A110&gt;='Revenue &amp; Demand'!$B$6),"Postapproval monitoring","Clinical development")</f>
        <v>Postapproval monitoring</v>
      </c>
      <c r="C110" s="27">
        <f t="shared" si="1"/>
        <v>250</v>
      </c>
      <c r="D110" s="27">
        <f t="shared" si="2"/>
        <v>8</v>
      </c>
      <c r="E110" s="68">
        <f t="shared" si="3"/>
        <v>283587</v>
      </c>
      <c r="F110" s="68">
        <f t="shared" si="4"/>
        <v>171944</v>
      </c>
      <c r="G110" s="68">
        <f t="shared" si="5"/>
        <v>173138</v>
      </c>
      <c r="H110" s="68">
        <f t="shared" si="6"/>
        <v>286573</v>
      </c>
      <c r="I110" s="68">
        <f t="shared" si="7"/>
        <v>208959</v>
      </c>
      <c r="J110" s="68">
        <f t="shared" si="8"/>
        <v>161197</v>
      </c>
      <c r="K110" s="68">
        <f>'Workforce &amp; Expenses'!T126</f>
        <v>4171939</v>
      </c>
      <c r="L110" s="68">
        <f t="shared" si="9"/>
        <v>5457337</v>
      </c>
      <c r="M110" s="68">
        <f t="shared" si="10"/>
        <v>46</v>
      </c>
      <c r="N110" s="68">
        <f t="shared" si="11"/>
        <v>1280503</v>
      </c>
      <c r="O110" s="68">
        <f t="shared" si="12"/>
        <v>1164093</v>
      </c>
      <c r="P110" s="68">
        <f t="shared" si="13"/>
        <v>822457</v>
      </c>
      <c r="Q110" s="68">
        <f t="shared" si="14"/>
        <v>404902</v>
      </c>
      <c r="R110" s="68">
        <f t="shared" si="15"/>
        <v>151838</v>
      </c>
      <c r="S110" s="68">
        <f>'Workforce &amp; Expenses'!U126</f>
        <v>2173175</v>
      </c>
      <c r="T110" s="68">
        <f t="shared" si="16"/>
        <v>6971264</v>
      </c>
      <c r="U110" s="68"/>
      <c r="V110" s="68">
        <f t="shared" si="18"/>
        <v>-12428601</v>
      </c>
      <c r="W110" s="27">
        <f t="shared" si="19"/>
        <v>974296</v>
      </c>
    </row>
    <row r="111" hidden="1">
      <c r="A111" s="67">
        <f>'Monthly Data'!A175</f>
        <v>48366</v>
      </c>
      <c r="B111" s="27" t="str">
        <f>IF(AND('Revenue &amp; Demand'!$B$5="Assumed approval + launch",A111&gt;='Revenue &amp; Demand'!$B$6),"Postapproval monitoring","Clinical development")</f>
        <v>Postapproval monitoring</v>
      </c>
      <c r="C111" s="27">
        <f t="shared" si="1"/>
        <v>250</v>
      </c>
      <c r="D111" s="27">
        <f t="shared" si="2"/>
        <v>8</v>
      </c>
      <c r="E111" s="68">
        <f t="shared" si="3"/>
        <v>283587</v>
      </c>
      <c r="F111" s="68">
        <f t="shared" si="4"/>
        <v>171944</v>
      </c>
      <c r="G111" s="68">
        <f t="shared" si="5"/>
        <v>173138</v>
      </c>
      <c r="H111" s="68">
        <f t="shared" si="6"/>
        <v>286573</v>
      </c>
      <c r="I111" s="68">
        <f t="shared" si="7"/>
        <v>208959</v>
      </c>
      <c r="J111" s="68">
        <f t="shared" si="8"/>
        <v>161197</v>
      </c>
      <c r="K111" s="68">
        <f>'Workforce &amp; Expenses'!T127</f>
        <v>4195621</v>
      </c>
      <c r="L111" s="68">
        <f t="shared" si="9"/>
        <v>5481019</v>
      </c>
      <c r="M111" s="68">
        <f t="shared" si="10"/>
        <v>46</v>
      </c>
      <c r="N111" s="68">
        <f t="shared" si="11"/>
        <v>1280503</v>
      </c>
      <c r="O111" s="68">
        <f t="shared" si="12"/>
        <v>1164093</v>
      </c>
      <c r="P111" s="68">
        <f t="shared" si="13"/>
        <v>822457</v>
      </c>
      <c r="Q111" s="68">
        <f t="shared" si="14"/>
        <v>404902</v>
      </c>
      <c r="R111" s="68">
        <f t="shared" si="15"/>
        <v>151838</v>
      </c>
      <c r="S111" s="68">
        <f>'Workforce &amp; Expenses'!U127</f>
        <v>2194071</v>
      </c>
      <c r="T111" s="68">
        <f t="shared" si="16"/>
        <v>6992160</v>
      </c>
      <c r="U111" s="68"/>
      <c r="V111" s="68">
        <f t="shared" si="18"/>
        <v>-12473179</v>
      </c>
      <c r="W111" s="27">
        <f t="shared" si="19"/>
        <v>974296</v>
      </c>
    </row>
    <row r="112" hidden="1">
      <c r="A112" s="67">
        <f>'Monthly Data'!A176</f>
        <v>48396</v>
      </c>
      <c r="B112" s="27" t="str">
        <f>IF(AND('Revenue &amp; Demand'!$B$5="Assumed approval + launch",A112&gt;='Revenue &amp; Demand'!$B$6),"Postapproval monitoring","Clinical development")</f>
        <v>Postapproval monitoring</v>
      </c>
      <c r="C112" s="27">
        <f t="shared" si="1"/>
        <v>250</v>
      </c>
      <c r="D112" s="27">
        <f t="shared" si="2"/>
        <v>8</v>
      </c>
      <c r="E112" s="68">
        <f t="shared" si="3"/>
        <v>283587</v>
      </c>
      <c r="F112" s="68">
        <f t="shared" si="4"/>
        <v>171944</v>
      </c>
      <c r="G112" s="68">
        <f t="shared" si="5"/>
        <v>173138</v>
      </c>
      <c r="H112" s="68">
        <f t="shared" si="6"/>
        <v>286573</v>
      </c>
      <c r="I112" s="68">
        <f t="shared" si="7"/>
        <v>208959</v>
      </c>
      <c r="J112" s="68">
        <f t="shared" si="8"/>
        <v>161197</v>
      </c>
      <c r="K112" s="68">
        <f>'Workforce &amp; Expenses'!T128</f>
        <v>4173611</v>
      </c>
      <c r="L112" s="68">
        <f t="shared" si="9"/>
        <v>5459009</v>
      </c>
      <c r="M112" s="68">
        <f t="shared" si="10"/>
        <v>46</v>
      </c>
      <c r="N112" s="68">
        <f t="shared" si="11"/>
        <v>1280503</v>
      </c>
      <c r="O112" s="68">
        <f t="shared" si="12"/>
        <v>1164093</v>
      </c>
      <c r="P112" s="68">
        <f t="shared" si="13"/>
        <v>822457</v>
      </c>
      <c r="Q112" s="68">
        <f t="shared" si="14"/>
        <v>404902</v>
      </c>
      <c r="R112" s="68">
        <f t="shared" si="15"/>
        <v>151838</v>
      </c>
      <c r="S112" s="68">
        <f>'Workforce &amp; Expenses'!U128</f>
        <v>2214967</v>
      </c>
      <c r="T112" s="68">
        <f t="shared" si="16"/>
        <v>7013056</v>
      </c>
      <c r="U112" s="68"/>
      <c r="V112" s="68">
        <f t="shared" si="18"/>
        <v>-12472065</v>
      </c>
      <c r="W112" s="27">
        <f t="shared" si="19"/>
        <v>974296</v>
      </c>
    </row>
    <row r="113" hidden="1">
      <c r="A113" s="67">
        <f>'Monthly Data'!A177</f>
        <v>48427</v>
      </c>
      <c r="B113" s="27" t="str">
        <f>IF(AND('Revenue &amp; Demand'!$B$5="Assumed approval + launch",A113&gt;='Revenue &amp; Demand'!$B$6),"Postapproval monitoring","Clinical development")</f>
        <v>Postapproval monitoring</v>
      </c>
      <c r="C113" s="27">
        <f t="shared" si="1"/>
        <v>250</v>
      </c>
      <c r="D113" s="27">
        <f t="shared" si="2"/>
        <v>8</v>
      </c>
      <c r="E113" s="68">
        <f t="shared" si="3"/>
        <v>283587</v>
      </c>
      <c r="F113" s="68">
        <f t="shared" si="4"/>
        <v>171944</v>
      </c>
      <c r="G113" s="68">
        <f t="shared" si="5"/>
        <v>173138</v>
      </c>
      <c r="H113" s="68">
        <f t="shared" si="6"/>
        <v>286573</v>
      </c>
      <c r="I113" s="68">
        <f t="shared" si="7"/>
        <v>208959</v>
      </c>
      <c r="J113" s="68">
        <f t="shared" si="8"/>
        <v>161197</v>
      </c>
      <c r="K113" s="68">
        <f>'Workforce &amp; Expenses'!T129</f>
        <v>4173611</v>
      </c>
      <c r="L113" s="68">
        <f t="shared" si="9"/>
        <v>5459009</v>
      </c>
      <c r="M113" s="68">
        <f t="shared" si="10"/>
        <v>46</v>
      </c>
      <c r="N113" s="68">
        <f t="shared" si="11"/>
        <v>1280503</v>
      </c>
      <c r="O113" s="68">
        <f t="shared" si="12"/>
        <v>1164093</v>
      </c>
      <c r="P113" s="68">
        <f t="shared" si="13"/>
        <v>822457</v>
      </c>
      <c r="Q113" s="68">
        <f t="shared" si="14"/>
        <v>404902</v>
      </c>
      <c r="R113" s="68">
        <f t="shared" si="15"/>
        <v>151838</v>
      </c>
      <c r="S113" s="68">
        <f>'Workforce &amp; Expenses'!U129</f>
        <v>2235863</v>
      </c>
      <c r="T113" s="68">
        <f t="shared" si="16"/>
        <v>7033952</v>
      </c>
      <c r="U113" s="68"/>
      <c r="V113" s="68">
        <f t="shared" si="18"/>
        <v>-12492961</v>
      </c>
      <c r="W113" s="27">
        <f t="shared" si="19"/>
        <v>974296</v>
      </c>
    </row>
    <row r="114" hidden="1">
      <c r="A114" s="67">
        <f>'Monthly Data'!A178</f>
        <v>48458</v>
      </c>
      <c r="B114" s="27" t="str">
        <f>IF(AND('Revenue &amp; Demand'!$B$5="Assumed approval + launch",A114&gt;='Revenue &amp; Demand'!$B$6),"Postapproval monitoring","Clinical development")</f>
        <v>Postapproval monitoring</v>
      </c>
      <c r="C114" s="27">
        <f t="shared" si="1"/>
        <v>250</v>
      </c>
      <c r="D114" s="27">
        <f t="shared" si="2"/>
        <v>8</v>
      </c>
      <c r="E114" s="68">
        <f t="shared" si="3"/>
        <v>283587</v>
      </c>
      <c r="F114" s="68">
        <f t="shared" si="4"/>
        <v>171944</v>
      </c>
      <c r="G114" s="68">
        <f t="shared" si="5"/>
        <v>173138</v>
      </c>
      <c r="H114" s="68">
        <f t="shared" si="6"/>
        <v>286573</v>
      </c>
      <c r="I114" s="68">
        <f t="shared" si="7"/>
        <v>208959</v>
      </c>
      <c r="J114" s="68">
        <f t="shared" si="8"/>
        <v>161197</v>
      </c>
      <c r="K114" s="68">
        <f>'Workforce &amp; Expenses'!T130</f>
        <v>4173611</v>
      </c>
      <c r="L114" s="68">
        <f t="shared" si="9"/>
        <v>5459009</v>
      </c>
      <c r="M114" s="68">
        <f t="shared" si="10"/>
        <v>46</v>
      </c>
      <c r="N114" s="68">
        <f t="shared" si="11"/>
        <v>1280503</v>
      </c>
      <c r="O114" s="68">
        <f t="shared" si="12"/>
        <v>1164093</v>
      </c>
      <c r="P114" s="68">
        <f t="shared" si="13"/>
        <v>822457</v>
      </c>
      <c r="Q114" s="68">
        <f t="shared" si="14"/>
        <v>404902</v>
      </c>
      <c r="R114" s="68">
        <f t="shared" si="15"/>
        <v>151838</v>
      </c>
      <c r="S114" s="68">
        <f>'Workforce &amp; Expenses'!U130</f>
        <v>2256759</v>
      </c>
      <c r="T114" s="68">
        <f t="shared" si="16"/>
        <v>7054848</v>
      </c>
      <c r="U114" s="68"/>
      <c r="V114" s="68">
        <f t="shared" si="18"/>
        <v>-12513857</v>
      </c>
      <c r="W114" s="27">
        <f t="shared" si="19"/>
        <v>974296</v>
      </c>
    </row>
    <row r="115" hidden="1">
      <c r="A115" s="67">
        <f>'Monthly Data'!A179</f>
        <v>48488</v>
      </c>
      <c r="B115" s="27" t="str">
        <f>IF(AND('Revenue &amp; Demand'!$B$5="Assumed approval + launch",A115&gt;='Revenue &amp; Demand'!$B$6),"Postapproval monitoring","Clinical development")</f>
        <v>Postapproval monitoring</v>
      </c>
      <c r="C115" s="27">
        <f t="shared" si="1"/>
        <v>250</v>
      </c>
      <c r="D115" s="27">
        <f t="shared" si="2"/>
        <v>8</v>
      </c>
      <c r="E115" s="68">
        <f t="shared" si="3"/>
        <v>283587</v>
      </c>
      <c r="F115" s="68">
        <f t="shared" si="4"/>
        <v>171944</v>
      </c>
      <c r="G115" s="68">
        <f t="shared" si="5"/>
        <v>173138</v>
      </c>
      <c r="H115" s="68">
        <f t="shared" si="6"/>
        <v>286573</v>
      </c>
      <c r="I115" s="68">
        <f t="shared" si="7"/>
        <v>208959</v>
      </c>
      <c r="J115" s="68">
        <f t="shared" si="8"/>
        <v>161197</v>
      </c>
      <c r="K115" s="68">
        <f>'Workforce &amp; Expenses'!T131</f>
        <v>4197293</v>
      </c>
      <c r="L115" s="68">
        <f t="shared" si="9"/>
        <v>5482691</v>
      </c>
      <c r="M115" s="68">
        <f t="shared" si="10"/>
        <v>46</v>
      </c>
      <c r="N115" s="68">
        <f t="shared" si="11"/>
        <v>1280503</v>
      </c>
      <c r="O115" s="68">
        <f t="shared" si="12"/>
        <v>1164093</v>
      </c>
      <c r="P115" s="68">
        <f t="shared" si="13"/>
        <v>822457</v>
      </c>
      <c r="Q115" s="68">
        <f t="shared" si="14"/>
        <v>404902</v>
      </c>
      <c r="R115" s="68">
        <f t="shared" si="15"/>
        <v>151838</v>
      </c>
      <c r="S115" s="68">
        <f>'Workforce &amp; Expenses'!U131</f>
        <v>2277655</v>
      </c>
      <c r="T115" s="68">
        <f t="shared" si="16"/>
        <v>7075744</v>
      </c>
      <c r="U115" s="68"/>
      <c r="V115" s="68">
        <f t="shared" si="18"/>
        <v>-12558435</v>
      </c>
      <c r="W115" s="27">
        <f t="shared" si="19"/>
        <v>974296</v>
      </c>
    </row>
    <row r="116" hidden="1">
      <c r="A116" s="67">
        <f>'Monthly Data'!A180</f>
        <v>48519</v>
      </c>
      <c r="B116" s="27" t="str">
        <f>IF(AND('Revenue &amp; Demand'!$B$5="Assumed approval + launch",A116&gt;='Revenue &amp; Demand'!$B$6),"Postapproval monitoring","Clinical development")</f>
        <v>Postapproval monitoring</v>
      </c>
      <c r="C116" s="27">
        <f t="shared" si="1"/>
        <v>250</v>
      </c>
      <c r="D116" s="27">
        <f t="shared" si="2"/>
        <v>8</v>
      </c>
      <c r="E116" s="68">
        <f t="shared" si="3"/>
        <v>283587</v>
      </c>
      <c r="F116" s="68">
        <f t="shared" si="4"/>
        <v>171944</v>
      </c>
      <c r="G116" s="68">
        <f t="shared" si="5"/>
        <v>173138</v>
      </c>
      <c r="H116" s="68">
        <f t="shared" si="6"/>
        <v>286573</v>
      </c>
      <c r="I116" s="68">
        <f t="shared" si="7"/>
        <v>208959</v>
      </c>
      <c r="J116" s="68">
        <f t="shared" si="8"/>
        <v>161197</v>
      </c>
      <c r="K116" s="68">
        <f>'Workforce &amp; Expenses'!T132</f>
        <v>4175283</v>
      </c>
      <c r="L116" s="68">
        <f t="shared" si="9"/>
        <v>5460681</v>
      </c>
      <c r="M116" s="68">
        <f t="shared" si="10"/>
        <v>46</v>
      </c>
      <c r="N116" s="68">
        <f t="shared" si="11"/>
        <v>1280503</v>
      </c>
      <c r="O116" s="68">
        <f t="shared" si="12"/>
        <v>1164093</v>
      </c>
      <c r="P116" s="68">
        <f t="shared" si="13"/>
        <v>822457</v>
      </c>
      <c r="Q116" s="68">
        <f t="shared" si="14"/>
        <v>404902</v>
      </c>
      <c r="R116" s="68">
        <f t="shared" si="15"/>
        <v>151838</v>
      </c>
      <c r="S116" s="68">
        <f>'Workforce &amp; Expenses'!U132</f>
        <v>2298551</v>
      </c>
      <c r="T116" s="68">
        <f t="shared" si="16"/>
        <v>7096640</v>
      </c>
      <c r="U116" s="68"/>
      <c r="V116" s="68">
        <f t="shared" si="18"/>
        <v>-12557321</v>
      </c>
      <c r="W116" s="27">
        <f t="shared" si="19"/>
        <v>974296</v>
      </c>
    </row>
    <row r="117" hidden="1">
      <c r="A117" s="67">
        <f>'Monthly Data'!A181</f>
        <v>48549</v>
      </c>
      <c r="B117" s="27" t="str">
        <f>IF(AND('Revenue &amp; Demand'!$B$5="Assumed approval + launch",A117&gt;='Revenue &amp; Demand'!$B$6),"Postapproval monitoring","Clinical development")</f>
        <v>Postapproval monitoring</v>
      </c>
      <c r="C117" s="27">
        <f t="shared" si="1"/>
        <v>250</v>
      </c>
      <c r="D117" s="27">
        <f t="shared" si="2"/>
        <v>8</v>
      </c>
      <c r="E117" s="68">
        <f t="shared" si="3"/>
        <v>283587</v>
      </c>
      <c r="F117" s="68">
        <f t="shared" si="4"/>
        <v>171944</v>
      </c>
      <c r="G117" s="68">
        <f t="shared" si="5"/>
        <v>173138</v>
      </c>
      <c r="H117" s="68">
        <f t="shared" si="6"/>
        <v>286573</v>
      </c>
      <c r="I117" s="68">
        <f t="shared" si="7"/>
        <v>208959</v>
      </c>
      <c r="J117" s="68">
        <f t="shared" si="8"/>
        <v>161197</v>
      </c>
      <c r="K117" s="68">
        <f>'Workforce &amp; Expenses'!T133</f>
        <v>4175283</v>
      </c>
      <c r="L117" s="68">
        <f t="shared" si="9"/>
        <v>5460681</v>
      </c>
      <c r="M117" s="68">
        <f t="shared" si="10"/>
        <v>46</v>
      </c>
      <c r="N117" s="68">
        <f t="shared" si="11"/>
        <v>1280503</v>
      </c>
      <c r="O117" s="68">
        <f t="shared" si="12"/>
        <v>1164093</v>
      </c>
      <c r="P117" s="68">
        <f t="shared" si="13"/>
        <v>822457</v>
      </c>
      <c r="Q117" s="68">
        <f t="shared" si="14"/>
        <v>404902</v>
      </c>
      <c r="R117" s="68">
        <f t="shared" si="15"/>
        <v>151838</v>
      </c>
      <c r="S117" s="68">
        <f>'Workforce &amp; Expenses'!U133</f>
        <v>2319447</v>
      </c>
      <c r="T117" s="68">
        <f t="shared" si="16"/>
        <v>7117536</v>
      </c>
      <c r="U117" s="68"/>
      <c r="V117" s="68">
        <f t="shared" si="18"/>
        <v>-12578217</v>
      </c>
      <c r="W117" s="27">
        <f t="shared" si="19"/>
        <v>974296</v>
      </c>
    </row>
    <row r="118" hidden="1"/>
    <row r="119" hidden="1"/>
    <row r="120" hidden="1">
      <c r="A120" s="83" t="s">
        <v>403</v>
      </c>
    </row>
    <row r="121" hidden="1">
      <c r="A121" s="16" t="s">
        <v>404</v>
      </c>
    </row>
    <row r="122" hidden="1">
      <c r="A122" s="16" t="s">
        <v>405</v>
      </c>
    </row>
    <row r="123" hidden="1">
      <c r="A123" s="16" t="s">
        <v>406</v>
      </c>
    </row>
    <row r="124" hidden="1">
      <c r="A124" s="16" t="s">
        <v>407</v>
      </c>
    </row>
    <row r="125" hidden="1"/>
    <row r="126" hidden="1">
      <c r="A126" s="16" t="s">
        <v>408</v>
      </c>
    </row>
    <row r="127" hidden="1">
      <c r="A127" s="16" t="s">
        <v>409</v>
      </c>
    </row>
    <row r="128" hidden="1">
      <c r="A128" s="16" t="s">
        <v>2</v>
      </c>
      <c r="B128" s="16" t="s">
        <v>410</v>
      </c>
      <c r="C128" s="16" t="s">
        <v>411</v>
      </c>
      <c r="D128" s="16" t="s">
        <v>412</v>
      </c>
      <c r="E128" s="16" t="s">
        <v>413</v>
      </c>
      <c r="F128" s="16" t="s">
        <v>414</v>
      </c>
      <c r="G128" s="16" t="s">
        <v>415</v>
      </c>
      <c r="H128" s="16" t="s">
        <v>416</v>
      </c>
      <c r="I128" s="16" t="s">
        <v>417</v>
      </c>
      <c r="J128" s="16" t="s">
        <v>418</v>
      </c>
      <c r="K128" s="16" t="s">
        <v>419</v>
      </c>
    </row>
    <row r="129" hidden="1">
      <c r="A129" s="27">
        <f>'Revenue &amp; Demand'!A124</f>
        <v>43101</v>
      </c>
      <c r="B129" s="16">
        <v>96895.0</v>
      </c>
      <c r="C129" s="27" t="str">
        <f>'Workforce &amp; Expenses'!G241</f>
        <v/>
      </c>
      <c r="D129" s="27">
        <f t="shared" ref="D129:D203" si="20">B129-C129</f>
        <v>96895</v>
      </c>
      <c r="E129" s="27">
        <f t="shared" ref="E129:E203" si="21">C129+D129</f>
        <v>96895</v>
      </c>
      <c r="F129" s="16">
        <v>0.0</v>
      </c>
      <c r="G129" s="27" t="str">
        <f>'Workforce &amp; Expenses'!H241</f>
        <v/>
      </c>
      <c r="H129" s="27">
        <f t="shared" ref="H129:H203" si="22">F129-G129</f>
        <v>0</v>
      </c>
      <c r="I129" s="27">
        <f t="shared" ref="I129:I203" si="23">G129+H129</f>
        <v>0</v>
      </c>
      <c r="J129" s="27">
        <f t="shared" ref="J129:J203" si="24">E129+I129</f>
        <v>96895</v>
      </c>
      <c r="K129" s="16" t="s">
        <v>420</v>
      </c>
    </row>
    <row r="130" hidden="1">
      <c r="A130" s="27">
        <f>'Revenue &amp; Demand'!A125</f>
        <v>43132</v>
      </c>
      <c r="B130" s="16">
        <v>99034.0</v>
      </c>
      <c r="C130" s="27" t="str">
        <f>'Workforce &amp; Expenses'!G242</f>
        <v/>
      </c>
      <c r="D130" s="27">
        <f t="shared" si="20"/>
        <v>99034</v>
      </c>
      <c r="E130" s="27">
        <f t="shared" si="21"/>
        <v>99034</v>
      </c>
      <c r="F130" s="16">
        <v>0.0</v>
      </c>
      <c r="G130" s="27" t="str">
        <f>'Workforce &amp; Expenses'!H242</f>
        <v/>
      </c>
      <c r="H130" s="27">
        <f t="shared" si="22"/>
        <v>0</v>
      </c>
      <c r="I130" s="27">
        <f t="shared" si="23"/>
        <v>0</v>
      </c>
      <c r="J130" s="27">
        <f t="shared" si="24"/>
        <v>99034</v>
      </c>
      <c r="K130" s="16" t="s">
        <v>420</v>
      </c>
    </row>
    <row r="131" hidden="1">
      <c r="A131" s="27">
        <f>'Revenue &amp; Demand'!A126</f>
        <v>43160</v>
      </c>
      <c r="B131" s="16">
        <v>99028.0</v>
      </c>
      <c r="C131" s="27" t="str">
        <f>'Workforce &amp; Expenses'!G243</f>
        <v/>
      </c>
      <c r="D131" s="27">
        <f t="shared" si="20"/>
        <v>99028</v>
      </c>
      <c r="E131" s="27">
        <f t="shared" si="21"/>
        <v>99028</v>
      </c>
      <c r="F131" s="16">
        <v>0.0</v>
      </c>
      <c r="G131" s="27" t="str">
        <f>'Workforce &amp; Expenses'!H243</f>
        <v/>
      </c>
      <c r="H131" s="27">
        <f t="shared" si="22"/>
        <v>0</v>
      </c>
      <c r="I131" s="27">
        <f t="shared" si="23"/>
        <v>0</v>
      </c>
      <c r="J131" s="27">
        <f t="shared" si="24"/>
        <v>99028</v>
      </c>
      <c r="K131" s="16" t="s">
        <v>420</v>
      </c>
    </row>
    <row r="132" hidden="1">
      <c r="A132" s="27">
        <f>'Revenue &amp; Demand'!A127</f>
        <v>43191</v>
      </c>
      <c r="B132" s="16">
        <v>97167.0</v>
      </c>
      <c r="C132" s="27" t="str">
        <f>'Workforce &amp; Expenses'!G244</f>
        <v/>
      </c>
      <c r="D132" s="27">
        <f t="shared" si="20"/>
        <v>97167</v>
      </c>
      <c r="E132" s="27">
        <f t="shared" si="21"/>
        <v>97167</v>
      </c>
      <c r="F132" s="16">
        <v>0.0</v>
      </c>
      <c r="G132" s="27" t="str">
        <f>'Workforce &amp; Expenses'!H244</f>
        <v/>
      </c>
      <c r="H132" s="27">
        <f t="shared" si="22"/>
        <v>0</v>
      </c>
      <c r="I132" s="27">
        <f t="shared" si="23"/>
        <v>0</v>
      </c>
      <c r="J132" s="27">
        <f t="shared" si="24"/>
        <v>97167</v>
      </c>
      <c r="K132" s="16" t="s">
        <v>420</v>
      </c>
    </row>
    <row r="133" hidden="1">
      <c r="A133" s="27">
        <f>'Revenue &amp; Demand'!A128</f>
        <v>43221</v>
      </c>
      <c r="B133" s="16">
        <v>94233.0</v>
      </c>
      <c r="C133" s="27" t="str">
        <f>'Workforce &amp; Expenses'!G245</f>
        <v/>
      </c>
      <c r="D133" s="27">
        <f t="shared" si="20"/>
        <v>94233</v>
      </c>
      <c r="E133" s="27">
        <f t="shared" si="21"/>
        <v>94233</v>
      </c>
      <c r="F133" s="16">
        <v>0.0</v>
      </c>
      <c r="G133" s="27" t="str">
        <f>'Workforce &amp; Expenses'!H245</f>
        <v/>
      </c>
      <c r="H133" s="27">
        <f t="shared" si="22"/>
        <v>0</v>
      </c>
      <c r="I133" s="27">
        <f t="shared" si="23"/>
        <v>0</v>
      </c>
      <c r="J133" s="27">
        <f t="shared" si="24"/>
        <v>94233</v>
      </c>
      <c r="K133" s="16" t="s">
        <v>420</v>
      </c>
    </row>
    <row r="134" hidden="1">
      <c r="A134" s="27">
        <f>'Revenue &amp; Demand'!A129</f>
        <v>43252</v>
      </c>
      <c r="B134" s="16">
        <v>91299.0</v>
      </c>
      <c r="C134" s="27" t="str">
        <f>'Workforce &amp; Expenses'!G246</f>
        <v/>
      </c>
      <c r="D134" s="27">
        <f t="shared" si="20"/>
        <v>91299</v>
      </c>
      <c r="E134" s="27">
        <f t="shared" si="21"/>
        <v>91299</v>
      </c>
      <c r="F134" s="16">
        <v>0.0</v>
      </c>
      <c r="G134" s="27" t="str">
        <f>'Workforce &amp; Expenses'!H246</f>
        <v/>
      </c>
      <c r="H134" s="27">
        <f t="shared" si="22"/>
        <v>0</v>
      </c>
      <c r="I134" s="27">
        <f t="shared" si="23"/>
        <v>0</v>
      </c>
      <c r="J134" s="27">
        <f t="shared" si="24"/>
        <v>91299</v>
      </c>
      <c r="K134" s="16" t="s">
        <v>420</v>
      </c>
    </row>
    <row r="135" hidden="1">
      <c r="A135" s="27">
        <f>'Revenue &amp; Demand'!A130</f>
        <v>43282</v>
      </c>
      <c r="B135" s="16">
        <v>89438.0</v>
      </c>
      <c r="C135" s="27" t="str">
        <f>'Workforce &amp; Expenses'!G247</f>
        <v/>
      </c>
      <c r="D135" s="27">
        <f t="shared" si="20"/>
        <v>89438</v>
      </c>
      <c r="E135" s="27">
        <f t="shared" si="21"/>
        <v>89438</v>
      </c>
      <c r="F135" s="16">
        <v>0.0</v>
      </c>
      <c r="G135" s="27" t="str">
        <f>'Workforce &amp; Expenses'!H247</f>
        <v/>
      </c>
      <c r="H135" s="27">
        <f t="shared" si="22"/>
        <v>0</v>
      </c>
      <c r="I135" s="27">
        <f t="shared" si="23"/>
        <v>0</v>
      </c>
      <c r="J135" s="27">
        <f t="shared" si="24"/>
        <v>89438</v>
      </c>
      <c r="K135" s="16" t="s">
        <v>420</v>
      </c>
    </row>
    <row r="136" hidden="1">
      <c r="A136" s="27">
        <f>'Revenue &amp; Demand'!A131</f>
        <v>43313</v>
      </c>
      <c r="B136" s="16">
        <v>89433.0</v>
      </c>
      <c r="C136" s="27" t="str">
        <f>'Workforce &amp; Expenses'!G248</f>
        <v/>
      </c>
      <c r="D136" s="27">
        <f t="shared" si="20"/>
        <v>89433</v>
      </c>
      <c r="E136" s="27">
        <f t="shared" si="21"/>
        <v>89433</v>
      </c>
      <c r="F136" s="16">
        <v>0.0</v>
      </c>
      <c r="G136" s="27" t="str">
        <f>'Workforce &amp; Expenses'!H248</f>
        <v/>
      </c>
      <c r="H136" s="27">
        <f t="shared" si="22"/>
        <v>0</v>
      </c>
      <c r="I136" s="27">
        <f t="shared" si="23"/>
        <v>0</v>
      </c>
      <c r="J136" s="27">
        <f t="shared" si="24"/>
        <v>89433</v>
      </c>
      <c r="K136" s="16" t="s">
        <v>420</v>
      </c>
    </row>
    <row r="137" hidden="1">
      <c r="A137" s="27">
        <f>'Revenue &amp; Demand'!A132</f>
        <v>43344</v>
      </c>
      <c r="B137" s="16">
        <v>91572.0</v>
      </c>
      <c r="C137" s="27" t="str">
        <f>'Workforce &amp; Expenses'!G249</f>
        <v/>
      </c>
      <c r="D137" s="27">
        <f t="shared" si="20"/>
        <v>91572</v>
      </c>
      <c r="E137" s="27">
        <f t="shared" si="21"/>
        <v>91572</v>
      </c>
      <c r="F137" s="16">
        <v>0.0</v>
      </c>
      <c r="G137" s="27" t="str">
        <f>'Workforce &amp; Expenses'!H249</f>
        <v/>
      </c>
      <c r="H137" s="27">
        <f t="shared" si="22"/>
        <v>0</v>
      </c>
      <c r="I137" s="27">
        <f t="shared" si="23"/>
        <v>0</v>
      </c>
      <c r="J137" s="27">
        <f t="shared" si="24"/>
        <v>91572</v>
      </c>
      <c r="K137" s="16" t="s">
        <v>420</v>
      </c>
    </row>
    <row r="138" hidden="1">
      <c r="A138" s="27">
        <f>'Revenue &amp; Demand'!A133</f>
        <v>43374</v>
      </c>
      <c r="B138" s="16">
        <v>95567.0</v>
      </c>
      <c r="C138" s="27">
        <f>'Workforce &amp; Expenses'!G250</f>
        <v>43005</v>
      </c>
      <c r="D138" s="27">
        <f t="shared" si="20"/>
        <v>52562</v>
      </c>
      <c r="E138" s="27">
        <f t="shared" si="21"/>
        <v>95567</v>
      </c>
      <c r="F138" s="16">
        <v>0.0</v>
      </c>
      <c r="G138" s="27">
        <f>'Workforce &amp; Expenses'!H250</f>
        <v>0</v>
      </c>
      <c r="H138" s="27">
        <f t="shared" si="22"/>
        <v>0</v>
      </c>
      <c r="I138" s="27">
        <f t="shared" si="23"/>
        <v>0</v>
      </c>
      <c r="J138" s="27">
        <f t="shared" si="24"/>
        <v>95567</v>
      </c>
      <c r="K138" s="16" t="s">
        <v>420</v>
      </c>
    </row>
    <row r="139" hidden="1">
      <c r="A139" s="27">
        <f>'Revenue &amp; Demand'!A134</f>
        <v>43405</v>
      </c>
      <c r="B139" s="16">
        <v>100634.0</v>
      </c>
      <c r="C139" s="27">
        <f>'Workforce &amp; Expenses'!G251</f>
        <v>45285</v>
      </c>
      <c r="D139" s="27">
        <f t="shared" si="20"/>
        <v>55349</v>
      </c>
      <c r="E139" s="27">
        <f t="shared" si="21"/>
        <v>100634</v>
      </c>
      <c r="F139" s="16">
        <v>0.0</v>
      </c>
      <c r="G139" s="27">
        <f>'Workforce &amp; Expenses'!H251</f>
        <v>0</v>
      </c>
      <c r="H139" s="27">
        <f t="shared" si="22"/>
        <v>0</v>
      </c>
      <c r="I139" s="27">
        <f t="shared" si="23"/>
        <v>0</v>
      </c>
      <c r="J139" s="27">
        <f t="shared" si="24"/>
        <v>100634</v>
      </c>
      <c r="K139" s="16" t="s">
        <v>420</v>
      </c>
    </row>
    <row r="140" hidden="1">
      <c r="A140" s="27">
        <f>'Revenue &amp; Demand'!A135</f>
        <v>43435</v>
      </c>
      <c r="B140" s="16">
        <v>105700.0</v>
      </c>
      <c r="C140" s="27">
        <f>'Workforce &amp; Expenses'!G252</f>
        <v>47565</v>
      </c>
      <c r="D140" s="27">
        <f t="shared" si="20"/>
        <v>58135</v>
      </c>
      <c r="E140" s="27">
        <f t="shared" si="21"/>
        <v>105700</v>
      </c>
      <c r="F140" s="16">
        <v>0.0</v>
      </c>
      <c r="G140" s="27">
        <f>'Workforce &amp; Expenses'!H252</f>
        <v>0</v>
      </c>
      <c r="H140" s="27">
        <f t="shared" si="22"/>
        <v>0</v>
      </c>
      <c r="I140" s="27">
        <f t="shared" si="23"/>
        <v>0</v>
      </c>
      <c r="J140" s="27">
        <f t="shared" si="24"/>
        <v>105700</v>
      </c>
      <c r="K140" s="16" t="s">
        <v>420</v>
      </c>
    </row>
    <row r="141" hidden="1">
      <c r="A141" s="27">
        <f>'Revenue &amp; Demand'!A136</f>
        <v>43466</v>
      </c>
      <c r="B141" s="16">
        <v>139023.0</v>
      </c>
      <c r="C141" s="27">
        <f>'Workforce &amp; Expenses'!G253</f>
        <v>62560</v>
      </c>
      <c r="D141" s="27">
        <f t="shared" si="20"/>
        <v>76463</v>
      </c>
      <c r="E141" s="27">
        <f t="shared" si="21"/>
        <v>139023</v>
      </c>
      <c r="F141" s="16">
        <v>0.0</v>
      </c>
      <c r="G141" s="27">
        <f>'Workforce &amp; Expenses'!H253</f>
        <v>0</v>
      </c>
      <c r="H141" s="27">
        <f t="shared" si="22"/>
        <v>0</v>
      </c>
      <c r="I141" s="27">
        <f t="shared" si="23"/>
        <v>0</v>
      </c>
      <c r="J141" s="27">
        <f t="shared" si="24"/>
        <v>139023</v>
      </c>
      <c r="K141" s="16" t="s">
        <v>420</v>
      </c>
    </row>
    <row r="142" hidden="1">
      <c r="A142" s="27">
        <f>'Revenue &amp; Demand'!A137</f>
        <v>43497</v>
      </c>
      <c r="B142" s="16">
        <v>142092.0</v>
      </c>
      <c r="C142" s="27">
        <f>'Workforce &amp; Expenses'!G254</f>
        <v>63941</v>
      </c>
      <c r="D142" s="27">
        <f t="shared" si="20"/>
        <v>78151</v>
      </c>
      <c r="E142" s="27">
        <f t="shared" si="21"/>
        <v>142092</v>
      </c>
      <c r="F142" s="16">
        <v>0.0</v>
      </c>
      <c r="G142" s="27">
        <f>'Workforce &amp; Expenses'!H254</f>
        <v>0</v>
      </c>
      <c r="H142" s="27">
        <f t="shared" si="22"/>
        <v>0</v>
      </c>
      <c r="I142" s="27">
        <f t="shared" si="23"/>
        <v>0</v>
      </c>
      <c r="J142" s="27">
        <f t="shared" si="24"/>
        <v>142092</v>
      </c>
      <c r="K142" s="16" t="s">
        <v>420</v>
      </c>
    </row>
    <row r="143" hidden="1">
      <c r="A143" s="27">
        <f>'Revenue &amp; Demand'!A138</f>
        <v>43525</v>
      </c>
      <c r="B143" s="16">
        <v>142084.0</v>
      </c>
      <c r="C143" s="27" t="str">
        <f>'Workforce &amp; Expenses'!G255</f>
        <v/>
      </c>
      <c r="D143" s="27">
        <f t="shared" si="20"/>
        <v>142084</v>
      </c>
      <c r="E143" s="27">
        <f t="shared" si="21"/>
        <v>142084</v>
      </c>
      <c r="F143" s="16">
        <v>0.0</v>
      </c>
      <c r="G143" s="27" t="str">
        <f>'Workforce &amp; Expenses'!H255</f>
        <v/>
      </c>
      <c r="H143" s="27">
        <f t="shared" si="22"/>
        <v>0</v>
      </c>
      <c r="I143" s="27">
        <f t="shared" si="23"/>
        <v>0</v>
      </c>
      <c r="J143" s="27">
        <f t="shared" si="24"/>
        <v>142084</v>
      </c>
      <c r="K143" s="16" t="s">
        <v>420</v>
      </c>
    </row>
    <row r="144" hidden="1">
      <c r="A144" s="27">
        <f>'Revenue &amp; Demand'!A139</f>
        <v>43556</v>
      </c>
      <c r="B144" s="16">
        <v>139413.0</v>
      </c>
      <c r="C144" s="27" t="str">
        <f>'Workforce &amp; Expenses'!G256</f>
        <v/>
      </c>
      <c r="D144" s="27">
        <f t="shared" si="20"/>
        <v>139413</v>
      </c>
      <c r="E144" s="27">
        <f t="shared" si="21"/>
        <v>139413</v>
      </c>
      <c r="F144" s="16">
        <v>0.0</v>
      </c>
      <c r="G144" s="27" t="str">
        <f>'Workforce &amp; Expenses'!H256</f>
        <v/>
      </c>
      <c r="H144" s="27">
        <f t="shared" si="22"/>
        <v>0</v>
      </c>
      <c r="I144" s="27">
        <f t="shared" si="23"/>
        <v>0</v>
      </c>
      <c r="J144" s="27">
        <f t="shared" si="24"/>
        <v>139413</v>
      </c>
      <c r="K144" s="16" t="s">
        <v>420</v>
      </c>
    </row>
    <row r="145" hidden="1">
      <c r="A145" s="27">
        <f>'Revenue &amp; Demand'!A140</f>
        <v>43586</v>
      </c>
      <c r="B145" s="16">
        <v>135204.0</v>
      </c>
      <c r="C145" s="27">
        <f>IF(ISNUMBER('Workforce &amp; Expenses'!G257),'Workforce &amp; Expenses'!G257,0)</f>
        <v>0</v>
      </c>
      <c r="D145" s="27">
        <f t="shared" si="20"/>
        <v>135204</v>
      </c>
      <c r="E145" s="27">
        <f t="shared" si="21"/>
        <v>135204</v>
      </c>
      <c r="F145" s="16">
        <v>0.0</v>
      </c>
      <c r="G145" s="27">
        <f>IF(ISNUMBER('Workforce &amp; Expenses'!H257),'Workforce &amp; Expenses'!H257,0)</f>
        <v>0</v>
      </c>
      <c r="H145" s="27">
        <f t="shared" si="22"/>
        <v>0</v>
      </c>
      <c r="I145" s="27">
        <f t="shared" si="23"/>
        <v>0</v>
      </c>
      <c r="J145" s="27">
        <f t="shared" si="24"/>
        <v>135204</v>
      </c>
      <c r="K145" s="16" t="s">
        <v>420</v>
      </c>
    </row>
    <row r="146" hidden="1">
      <c r="A146" s="27">
        <f>'Revenue &amp; Demand'!A141</f>
        <v>43617</v>
      </c>
      <c r="B146" s="16">
        <v>130995.0</v>
      </c>
      <c r="C146" s="84">
        <f>'Workforce &amp; Expenses'!G258</f>
        <v>0</v>
      </c>
      <c r="D146" s="84">
        <f t="shared" si="20"/>
        <v>130995</v>
      </c>
      <c r="E146" s="84">
        <f t="shared" si="21"/>
        <v>130995</v>
      </c>
      <c r="F146" s="16">
        <v>0.0</v>
      </c>
      <c r="G146" s="84">
        <f>'Workforce &amp; Expenses'!H258</f>
        <v>4200</v>
      </c>
      <c r="H146" s="84">
        <f t="shared" si="22"/>
        <v>-4200</v>
      </c>
      <c r="I146" s="84">
        <f t="shared" si="23"/>
        <v>0</v>
      </c>
      <c r="J146" s="84">
        <f t="shared" si="24"/>
        <v>130995</v>
      </c>
      <c r="K146" s="16" t="s">
        <v>420</v>
      </c>
    </row>
    <row r="147" hidden="1">
      <c r="A147" s="27">
        <f>'Revenue &amp; Demand'!A142</f>
        <v>43647</v>
      </c>
      <c r="B147" s="16">
        <v>128324.0</v>
      </c>
      <c r="C147" s="84">
        <f>'Workforce &amp; Expenses'!G259</f>
        <v>0</v>
      </c>
      <c r="D147" s="84">
        <f t="shared" si="20"/>
        <v>128324</v>
      </c>
      <c r="E147" s="84">
        <f t="shared" si="21"/>
        <v>128324</v>
      </c>
      <c r="F147" s="16">
        <v>0.0</v>
      </c>
      <c r="G147" s="84">
        <f>'Workforce &amp; Expenses'!H259</f>
        <v>6300</v>
      </c>
      <c r="H147" s="84">
        <f t="shared" si="22"/>
        <v>-6300</v>
      </c>
      <c r="I147" s="84">
        <f t="shared" si="23"/>
        <v>0</v>
      </c>
      <c r="J147" s="84">
        <f t="shared" si="24"/>
        <v>128324</v>
      </c>
      <c r="K147" s="16" t="s">
        <v>420</v>
      </c>
    </row>
    <row r="148" hidden="1">
      <c r="A148" s="27">
        <f>'Revenue &amp; Demand'!A143</f>
        <v>43678</v>
      </c>
      <c r="B148" s="16">
        <v>128316.0</v>
      </c>
      <c r="C148" s="84">
        <f>'Workforce &amp; Expenses'!G260</f>
        <v>0</v>
      </c>
      <c r="D148" s="84">
        <f t="shared" si="20"/>
        <v>128316</v>
      </c>
      <c r="E148" s="84">
        <f t="shared" si="21"/>
        <v>128316</v>
      </c>
      <c r="F148" s="16">
        <v>0.0</v>
      </c>
      <c r="G148" s="84">
        <f>'Workforce &amp; Expenses'!H260</f>
        <v>6300</v>
      </c>
      <c r="H148" s="84">
        <f t="shared" si="22"/>
        <v>-6300</v>
      </c>
      <c r="I148" s="84">
        <f t="shared" si="23"/>
        <v>0</v>
      </c>
      <c r="J148" s="84">
        <f t="shared" si="24"/>
        <v>128316</v>
      </c>
      <c r="K148" s="16" t="s">
        <v>420</v>
      </c>
    </row>
    <row r="149" hidden="1">
      <c r="A149" s="27">
        <f>'Revenue &amp; Demand'!A144</f>
        <v>43709</v>
      </c>
      <c r="B149" s="16">
        <v>131385.0</v>
      </c>
      <c r="C149" s="84">
        <f>'Workforce &amp; Expenses'!G261</f>
        <v>0</v>
      </c>
      <c r="D149" s="84">
        <f t="shared" si="20"/>
        <v>131385</v>
      </c>
      <c r="E149" s="84">
        <f t="shared" si="21"/>
        <v>131385</v>
      </c>
      <c r="F149" s="16">
        <v>0.0</v>
      </c>
      <c r="G149" s="84">
        <f>'Workforce &amp; Expenses'!H261</f>
        <v>6300</v>
      </c>
      <c r="H149" s="84">
        <f t="shared" si="22"/>
        <v>-6300</v>
      </c>
      <c r="I149" s="84">
        <f t="shared" si="23"/>
        <v>0</v>
      </c>
      <c r="J149" s="84">
        <f t="shared" si="24"/>
        <v>131385</v>
      </c>
      <c r="K149" s="16" t="s">
        <v>420</v>
      </c>
    </row>
    <row r="150" hidden="1">
      <c r="A150" s="27">
        <f>'Revenue &amp; Demand'!A145</f>
        <v>43739</v>
      </c>
      <c r="B150" s="16">
        <v>137117.0</v>
      </c>
      <c r="C150" s="84">
        <f>'Workforce &amp; Expenses'!G262</f>
        <v>0</v>
      </c>
      <c r="D150" s="84">
        <f t="shared" si="20"/>
        <v>137117</v>
      </c>
      <c r="E150" s="84">
        <f t="shared" si="21"/>
        <v>137117</v>
      </c>
      <c r="F150" s="16">
        <v>0.0</v>
      </c>
      <c r="G150" s="84">
        <f>'Workforce &amp; Expenses'!H262</f>
        <v>8400</v>
      </c>
      <c r="H150" s="84">
        <f t="shared" si="22"/>
        <v>-8400</v>
      </c>
      <c r="I150" s="84">
        <f t="shared" si="23"/>
        <v>0</v>
      </c>
      <c r="J150" s="84">
        <f t="shared" si="24"/>
        <v>137117</v>
      </c>
      <c r="K150" s="16" t="s">
        <v>420</v>
      </c>
    </row>
    <row r="151" hidden="1">
      <c r="A151" s="27">
        <f>'Revenue &amp; Demand'!A146</f>
        <v>43770</v>
      </c>
      <c r="B151" s="16">
        <v>144388.0</v>
      </c>
      <c r="C151" s="84">
        <f>'Workforce &amp; Expenses'!G263</f>
        <v>0</v>
      </c>
      <c r="D151" s="84">
        <f t="shared" si="20"/>
        <v>144388</v>
      </c>
      <c r="E151" s="84">
        <f t="shared" si="21"/>
        <v>144388</v>
      </c>
      <c r="F151" s="16">
        <v>0.0</v>
      </c>
      <c r="G151" s="84">
        <f>'Workforce &amp; Expenses'!H263</f>
        <v>8400</v>
      </c>
      <c r="H151" s="84">
        <f t="shared" si="22"/>
        <v>-8400</v>
      </c>
      <c r="I151" s="84">
        <f t="shared" si="23"/>
        <v>0</v>
      </c>
      <c r="J151" s="84">
        <f t="shared" si="24"/>
        <v>144388</v>
      </c>
      <c r="K151" s="16" t="s">
        <v>420</v>
      </c>
    </row>
    <row r="152" hidden="1">
      <c r="A152" s="27">
        <f>'Revenue &amp; Demand'!A147</f>
        <v>43800</v>
      </c>
      <c r="B152" s="16">
        <v>151659.0</v>
      </c>
      <c r="C152" s="84">
        <f>'Workforce &amp; Expenses'!G264</f>
        <v>0</v>
      </c>
      <c r="D152" s="84">
        <f t="shared" si="20"/>
        <v>151659</v>
      </c>
      <c r="E152" s="84">
        <f t="shared" si="21"/>
        <v>151659</v>
      </c>
      <c r="F152" s="16">
        <v>0.0</v>
      </c>
      <c r="G152" s="84">
        <f>'Workforce &amp; Expenses'!H264</f>
        <v>8400</v>
      </c>
      <c r="H152" s="84">
        <f t="shared" si="22"/>
        <v>-8400</v>
      </c>
      <c r="I152" s="84">
        <f t="shared" si="23"/>
        <v>0</v>
      </c>
      <c r="J152" s="84">
        <f t="shared" si="24"/>
        <v>151659</v>
      </c>
      <c r="K152" s="16" t="s">
        <v>420</v>
      </c>
    </row>
    <row r="153" hidden="1">
      <c r="A153" s="27">
        <f>'Revenue &amp; Demand'!A148</f>
        <v>43831</v>
      </c>
      <c r="B153" s="16">
        <v>231705.0</v>
      </c>
      <c r="C153" s="84">
        <f>'Workforce &amp; Expenses'!G265</f>
        <v>0</v>
      </c>
      <c r="D153" s="84">
        <f t="shared" si="20"/>
        <v>231705</v>
      </c>
      <c r="E153" s="84">
        <f t="shared" si="21"/>
        <v>231705</v>
      </c>
      <c r="F153" s="16">
        <v>0.0</v>
      </c>
      <c r="G153" s="84">
        <f>'Workforce &amp; Expenses'!H265</f>
        <v>10500</v>
      </c>
      <c r="H153" s="84">
        <f t="shared" si="22"/>
        <v>-10500</v>
      </c>
      <c r="I153" s="84">
        <f t="shared" si="23"/>
        <v>0</v>
      </c>
      <c r="J153" s="84">
        <f t="shared" si="24"/>
        <v>231705</v>
      </c>
      <c r="K153" s="16" t="s">
        <v>420</v>
      </c>
    </row>
    <row r="154" hidden="1">
      <c r="A154" s="27">
        <f>'Revenue &amp; Demand'!A149</f>
        <v>43862</v>
      </c>
      <c r="B154" s="16">
        <v>236820.0</v>
      </c>
      <c r="C154" s="84">
        <f>'Workforce &amp; Expenses'!G266</f>
        <v>0</v>
      </c>
      <c r="D154" s="84">
        <f t="shared" si="20"/>
        <v>236820</v>
      </c>
      <c r="E154" s="84">
        <f t="shared" si="21"/>
        <v>236820</v>
      </c>
      <c r="F154" s="16">
        <v>0.0</v>
      </c>
      <c r="G154" s="84">
        <f>'Workforce &amp; Expenses'!H266</f>
        <v>10500</v>
      </c>
      <c r="H154" s="84">
        <f t="shared" si="22"/>
        <v>-10500</v>
      </c>
      <c r="I154" s="84">
        <f t="shared" si="23"/>
        <v>0</v>
      </c>
      <c r="J154" s="84">
        <f t="shared" si="24"/>
        <v>236820</v>
      </c>
      <c r="K154" s="16" t="s">
        <v>420</v>
      </c>
    </row>
    <row r="155" hidden="1">
      <c r="A155" s="27">
        <f>'Revenue &amp; Demand'!A150</f>
        <v>43891</v>
      </c>
      <c r="B155" s="16">
        <v>236807.0</v>
      </c>
      <c r="C155" s="84">
        <f>'Workforce &amp; Expenses'!G267</f>
        <v>0</v>
      </c>
      <c r="D155" s="84">
        <f t="shared" si="20"/>
        <v>236807</v>
      </c>
      <c r="E155" s="84">
        <f t="shared" si="21"/>
        <v>236807</v>
      </c>
      <c r="F155" s="16">
        <v>0.0</v>
      </c>
      <c r="G155" s="84">
        <f>'Workforce &amp; Expenses'!H267</f>
        <v>10500</v>
      </c>
      <c r="H155" s="84">
        <f t="shared" si="22"/>
        <v>-10500</v>
      </c>
      <c r="I155" s="84">
        <f t="shared" si="23"/>
        <v>0</v>
      </c>
      <c r="J155" s="84">
        <f t="shared" si="24"/>
        <v>236807</v>
      </c>
      <c r="K155" s="16" t="s">
        <v>420</v>
      </c>
    </row>
    <row r="156" hidden="1">
      <c r="A156" s="27">
        <f>'Revenue &amp; Demand'!A151</f>
        <v>43922</v>
      </c>
      <c r="B156" s="16">
        <v>232355.0</v>
      </c>
      <c r="C156" s="84">
        <f>'Workforce &amp; Expenses'!G268</f>
        <v>0</v>
      </c>
      <c r="D156" s="84">
        <f t="shared" si="20"/>
        <v>232355</v>
      </c>
      <c r="E156" s="84">
        <f t="shared" si="21"/>
        <v>232355</v>
      </c>
      <c r="F156" s="16">
        <v>0.0</v>
      </c>
      <c r="G156" s="84">
        <f>'Workforce &amp; Expenses'!H268</f>
        <v>12600</v>
      </c>
      <c r="H156" s="84">
        <f t="shared" si="22"/>
        <v>-12600</v>
      </c>
      <c r="I156" s="84">
        <f t="shared" si="23"/>
        <v>0</v>
      </c>
      <c r="J156" s="84">
        <f t="shared" si="24"/>
        <v>232355</v>
      </c>
      <c r="K156" s="16" t="s">
        <v>420</v>
      </c>
    </row>
    <row r="157" hidden="1">
      <c r="A157" s="27">
        <f>'Revenue &amp; Demand'!A152</f>
        <v>43952</v>
      </c>
      <c r="B157" s="16">
        <v>225340.0</v>
      </c>
      <c r="C157" s="84">
        <f>'Workforce &amp; Expenses'!G269</f>
        <v>0</v>
      </c>
      <c r="D157" s="84">
        <f t="shared" si="20"/>
        <v>225340</v>
      </c>
      <c r="E157" s="84">
        <f t="shared" si="21"/>
        <v>225340</v>
      </c>
      <c r="F157" s="16">
        <v>0.0</v>
      </c>
      <c r="G157" s="84">
        <f>'Workforce &amp; Expenses'!H269</f>
        <v>12600</v>
      </c>
      <c r="H157" s="84">
        <f t="shared" si="22"/>
        <v>-12600</v>
      </c>
      <c r="I157" s="84">
        <f t="shared" si="23"/>
        <v>0</v>
      </c>
      <c r="J157" s="84">
        <f t="shared" si="24"/>
        <v>225340</v>
      </c>
      <c r="K157" s="16" t="s">
        <v>420</v>
      </c>
    </row>
    <row r="158" hidden="1">
      <c r="A158" s="27">
        <f>'Revenue &amp; Demand'!A153</f>
        <v>43983</v>
      </c>
      <c r="B158" s="16">
        <v>218325.0</v>
      </c>
      <c r="C158" s="84">
        <f>'Workforce &amp; Expenses'!G270</f>
        <v>0</v>
      </c>
      <c r="D158" s="84">
        <f t="shared" si="20"/>
        <v>218325</v>
      </c>
      <c r="E158" s="84">
        <f t="shared" si="21"/>
        <v>218325</v>
      </c>
      <c r="F158" s="16">
        <v>0.0</v>
      </c>
      <c r="G158" s="84">
        <f>'Workforce &amp; Expenses'!H270</f>
        <v>15141</v>
      </c>
      <c r="H158" s="84">
        <f t="shared" si="22"/>
        <v>-15141</v>
      </c>
      <c r="I158" s="84">
        <f t="shared" si="23"/>
        <v>0</v>
      </c>
      <c r="J158" s="84">
        <f t="shared" si="24"/>
        <v>218325</v>
      </c>
      <c r="K158" s="16" t="s">
        <v>420</v>
      </c>
    </row>
    <row r="159" hidden="1">
      <c r="A159" s="27">
        <f>'Revenue &amp; Demand'!A154</f>
        <v>44013</v>
      </c>
      <c r="B159" s="16">
        <v>213873.0</v>
      </c>
      <c r="C159" s="84">
        <f>'Workforce &amp; Expenses'!G271</f>
        <v>0</v>
      </c>
      <c r="D159" s="84">
        <f t="shared" si="20"/>
        <v>213873</v>
      </c>
      <c r="E159" s="84">
        <f t="shared" si="21"/>
        <v>213873</v>
      </c>
      <c r="F159" s="16">
        <v>0.0</v>
      </c>
      <c r="G159" s="84">
        <f>'Workforce &amp; Expenses'!H271</f>
        <v>15141</v>
      </c>
      <c r="H159" s="84">
        <f t="shared" si="22"/>
        <v>-15141</v>
      </c>
      <c r="I159" s="84">
        <f t="shared" si="23"/>
        <v>0</v>
      </c>
      <c r="J159" s="84">
        <f t="shared" si="24"/>
        <v>213873</v>
      </c>
      <c r="K159" s="16" t="s">
        <v>420</v>
      </c>
    </row>
    <row r="160" hidden="1">
      <c r="A160" s="27">
        <f>'Revenue &amp; Demand'!A155</f>
        <v>44044</v>
      </c>
      <c r="B160" s="16">
        <v>213861.0</v>
      </c>
      <c r="C160" s="84">
        <f>'Workforce &amp; Expenses'!G272</f>
        <v>0</v>
      </c>
      <c r="D160" s="84">
        <f t="shared" si="20"/>
        <v>213861</v>
      </c>
      <c r="E160" s="84">
        <f t="shared" si="21"/>
        <v>213861</v>
      </c>
      <c r="F160" s="16">
        <v>0.0</v>
      </c>
      <c r="G160" s="84">
        <f>'Workforce &amp; Expenses'!H272</f>
        <v>17304</v>
      </c>
      <c r="H160" s="84">
        <f t="shared" si="22"/>
        <v>-17304</v>
      </c>
      <c r="I160" s="84">
        <f t="shared" si="23"/>
        <v>0</v>
      </c>
      <c r="J160" s="84">
        <f t="shared" si="24"/>
        <v>213861</v>
      </c>
      <c r="K160" s="16" t="s">
        <v>420</v>
      </c>
    </row>
    <row r="161" hidden="1">
      <c r="A161" s="27">
        <f>'Revenue &amp; Demand'!A156</f>
        <v>44075</v>
      </c>
      <c r="B161" s="16">
        <v>218975.0</v>
      </c>
      <c r="C161" s="84">
        <f>'Workforce &amp; Expenses'!G273</f>
        <v>0</v>
      </c>
      <c r="D161" s="84">
        <f t="shared" si="20"/>
        <v>218975</v>
      </c>
      <c r="E161" s="84">
        <f t="shared" si="21"/>
        <v>218975</v>
      </c>
      <c r="F161" s="16">
        <v>0.0</v>
      </c>
      <c r="G161" s="84">
        <f>'Workforce &amp; Expenses'!H273</f>
        <v>17304</v>
      </c>
      <c r="H161" s="84">
        <f t="shared" si="22"/>
        <v>-17304</v>
      </c>
      <c r="I161" s="84">
        <f t="shared" si="23"/>
        <v>0</v>
      </c>
      <c r="J161" s="84">
        <f t="shared" si="24"/>
        <v>218975</v>
      </c>
      <c r="K161" s="16" t="s">
        <v>420</v>
      </c>
    </row>
    <row r="162" hidden="1">
      <c r="A162" s="27">
        <f>'Revenue &amp; Demand'!A157</f>
        <v>44105</v>
      </c>
      <c r="B162" s="16">
        <v>228529.0</v>
      </c>
      <c r="C162" s="84">
        <f>'Workforce &amp; Expenses'!G274</f>
        <v>0</v>
      </c>
      <c r="D162" s="84">
        <f t="shared" si="20"/>
        <v>228529</v>
      </c>
      <c r="E162" s="84">
        <f t="shared" si="21"/>
        <v>228529</v>
      </c>
      <c r="F162" s="16">
        <v>0.0</v>
      </c>
      <c r="G162" s="84">
        <f>'Workforce &amp; Expenses'!H274</f>
        <v>19467</v>
      </c>
      <c r="H162" s="84">
        <f t="shared" si="22"/>
        <v>-19467</v>
      </c>
      <c r="I162" s="84">
        <f t="shared" si="23"/>
        <v>0</v>
      </c>
      <c r="J162" s="84">
        <f t="shared" si="24"/>
        <v>228529</v>
      </c>
      <c r="K162" s="16" t="s">
        <v>420</v>
      </c>
    </row>
    <row r="163" hidden="1">
      <c r="A163" s="27">
        <f>'Revenue &amp; Demand'!A158</f>
        <v>44136</v>
      </c>
      <c r="B163" s="16">
        <v>240646.0</v>
      </c>
      <c r="C163" s="84">
        <f>'Workforce &amp; Expenses'!G275</f>
        <v>0</v>
      </c>
      <c r="D163" s="84">
        <f t="shared" si="20"/>
        <v>240646</v>
      </c>
      <c r="E163" s="84">
        <f t="shared" si="21"/>
        <v>240646</v>
      </c>
      <c r="F163" s="16">
        <v>0.0</v>
      </c>
      <c r="G163" s="84">
        <f>'Workforce &amp; Expenses'!H275</f>
        <v>19467</v>
      </c>
      <c r="H163" s="84">
        <f t="shared" si="22"/>
        <v>-19467</v>
      </c>
      <c r="I163" s="84">
        <f t="shared" si="23"/>
        <v>0</v>
      </c>
      <c r="J163" s="84">
        <f t="shared" si="24"/>
        <v>240646</v>
      </c>
      <c r="K163" s="16" t="s">
        <v>420</v>
      </c>
    </row>
    <row r="164" hidden="1">
      <c r="A164" s="27">
        <f>'Revenue &amp; Demand'!A159</f>
        <v>44166</v>
      </c>
      <c r="B164" s="16">
        <v>252764.0</v>
      </c>
      <c r="C164" s="84">
        <f>'Workforce &amp; Expenses'!G276</f>
        <v>0</v>
      </c>
      <c r="D164" s="84">
        <f t="shared" si="20"/>
        <v>252764</v>
      </c>
      <c r="E164" s="84">
        <f t="shared" si="21"/>
        <v>252764</v>
      </c>
      <c r="F164" s="16">
        <v>0.0</v>
      </c>
      <c r="G164" s="84">
        <f>'Workforce &amp; Expenses'!H276</f>
        <v>21630</v>
      </c>
      <c r="H164" s="84">
        <f t="shared" si="22"/>
        <v>-21630</v>
      </c>
      <c r="I164" s="84">
        <f t="shared" si="23"/>
        <v>0</v>
      </c>
      <c r="J164" s="84">
        <f t="shared" si="24"/>
        <v>252764</v>
      </c>
      <c r="K164" s="16" t="s">
        <v>420</v>
      </c>
    </row>
    <row r="165" hidden="1">
      <c r="A165" s="27">
        <f>'Revenue &amp; Demand'!A160</f>
        <v>44197</v>
      </c>
      <c r="B165" s="16">
        <v>320174.0</v>
      </c>
      <c r="C165" s="84">
        <f>'Workforce &amp; Expenses'!G277</f>
        <v>0</v>
      </c>
      <c r="D165" s="84">
        <f t="shared" si="20"/>
        <v>320174</v>
      </c>
      <c r="E165" s="84">
        <f t="shared" si="21"/>
        <v>320174</v>
      </c>
      <c r="F165" s="16">
        <v>0.0</v>
      </c>
      <c r="G165" s="84">
        <f>'Workforce &amp; Expenses'!H277</f>
        <v>21630</v>
      </c>
      <c r="H165" s="84">
        <f t="shared" si="22"/>
        <v>-21630</v>
      </c>
      <c r="I165" s="84">
        <f t="shared" si="23"/>
        <v>0</v>
      </c>
      <c r="J165" s="84">
        <f t="shared" si="24"/>
        <v>320174</v>
      </c>
      <c r="K165" s="16" t="s">
        <v>420</v>
      </c>
    </row>
    <row r="166" hidden="1">
      <c r="A166" s="27">
        <f>'Revenue &amp; Demand'!A161</f>
        <v>44228</v>
      </c>
      <c r="B166" s="16">
        <v>327242.0</v>
      </c>
      <c r="C166" s="84">
        <f>'Workforce &amp; Expenses'!G278</f>
        <v>0</v>
      </c>
      <c r="D166" s="84">
        <f t="shared" si="20"/>
        <v>327242</v>
      </c>
      <c r="E166" s="84">
        <f t="shared" si="21"/>
        <v>327242</v>
      </c>
      <c r="F166" s="16">
        <v>0.0</v>
      </c>
      <c r="G166" s="84">
        <f>'Workforce &amp; Expenses'!H278</f>
        <v>23793</v>
      </c>
      <c r="H166" s="84">
        <f t="shared" si="22"/>
        <v>-23793</v>
      </c>
      <c r="I166" s="84">
        <f t="shared" si="23"/>
        <v>0</v>
      </c>
      <c r="J166" s="84">
        <f t="shared" si="24"/>
        <v>327242</v>
      </c>
      <c r="K166" s="16" t="s">
        <v>420</v>
      </c>
    </row>
    <row r="167" hidden="1">
      <c r="A167" s="27">
        <f>'Revenue &amp; Demand'!A162</f>
        <v>44256</v>
      </c>
      <c r="B167" s="16">
        <v>327224.0</v>
      </c>
      <c r="C167" s="84">
        <f>'Workforce &amp; Expenses'!G279</f>
        <v>0</v>
      </c>
      <c r="D167" s="84">
        <f t="shared" si="20"/>
        <v>327224</v>
      </c>
      <c r="E167" s="84">
        <f t="shared" si="21"/>
        <v>327224</v>
      </c>
      <c r="F167" s="16">
        <v>0.0</v>
      </c>
      <c r="G167" s="84">
        <f>'Workforce &amp; Expenses'!H279</f>
        <v>23793</v>
      </c>
      <c r="H167" s="84">
        <f t="shared" si="22"/>
        <v>-23793</v>
      </c>
      <c r="I167" s="84">
        <f t="shared" si="23"/>
        <v>0</v>
      </c>
      <c r="J167" s="84">
        <f t="shared" si="24"/>
        <v>327224</v>
      </c>
      <c r="K167" s="16" t="s">
        <v>420</v>
      </c>
    </row>
    <row r="168" hidden="1">
      <c r="A168" s="27">
        <f>'Revenue &amp; Demand'!A163</f>
        <v>44287</v>
      </c>
      <c r="B168" s="16">
        <v>321073.0</v>
      </c>
      <c r="C168" s="84">
        <f>'Workforce &amp; Expenses'!G280</f>
        <v>0</v>
      </c>
      <c r="D168" s="84">
        <f t="shared" si="20"/>
        <v>321073</v>
      </c>
      <c r="E168" s="84">
        <f t="shared" si="21"/>
        <v>321073</v>
      </c>
      <c r="F168" s="16">
        <v>0.0</v>
      </c>
      <c r="G168" s="84">
        <f>'Workforce &amp; Expenses'!H280</f>
        <v>25956</v>
      </c>
      <c r="H168" s="84">
        <f t="shared" si="22"/>
        <v>-25956</v>
      </c>
      <c r="I168" s="84">
        <f t="shared" si="23"/>
        <v>0</v>
      </c>
      <c r="J168" s="84">
        <f t="shared" si="24"/>
        <v>321073</v>
      </c>
      <c r="K168" s="16" t="s">
        <v>420</v>
      </c>
    </row>
    <row r="169" hidden="1">
      <c r="A169" s="27" t="str">
        <f>'Revenue &amp; Demand'!A164</f>
        <v>INTEGRATED MONTHLY REVENUE</v>
      </c>
      <c r="B169" s="16">
        <v>311379.0</v>
      </c>
      <c r="C169" s="84">
        <f>'Workforce &amp; Expenses'!G281</f>
        <v>0</v>
      </c>
      <c r="D169" s="84">
        <f t="shared" si="20"/>
        <v>311379</v>
      </c>
      <c r="E169" s="84">
        <f t="shared" si="21"/>
        <v>311379</v>
      </c>
      <c r="F169" s="16">
        <v>0.0</v>
      </c>
      <c r="G169" s="84">
        <f>'Workforce &amp; Expenses'!H281</f>
        <v>25956</v>
      </c>
      <c r="H169" s="84">
        <f t="shared" si="22"/>
        <v>-25956</v>
      </c>
      <c r="I169" s="84">
        <f t="shared" si="23"/>
        <v>0</v>
      </c>
      <c r="J169" s="84">
        <f t="shared" si="24"/>
        <v>311379</v>
      </c>
      <c r="K169" s="16" t="s">
        <v>420</v>
      </c>
    </row>
    <row r="170" hidden="1">
      <c r="A170" s="27" t="str">
        <f>'Revenue &amp; Demand'!A165</f>
        <v>Month</v>
      </c>
      <c r="B170" s="16">
        <v>301685.0</v>
      </c>
      <c r="C170" s="84">
        <f>'Workforce &amp; Expenses'!G282</f>
        <v>0</v>
      </c>
      <c r="D170" s="84">
        <f t="shared" si="20"/>
        <v>301685</v>
      </c>
      <c r="E170" s="84">
        <f t="shared" si="21"/>
        <v>301685</v>
      </c>
      <c r="F170" s="16">
        <v>0.0</v>
      </c>
      <c r="G170" s="84">
        <f>'Workforce &amp; Expenses'!H282</f>
        <v>28963</v>
      </c>
      <c r="H170" s="84">
        <f t="shared" si="22"/>
        <v>-28963</v>
      </c>
      <c r="I170" s="84">
        <f t="shared" si="23"/>
        <v>0</v>
      </c>
      <c r="J170" s="84">
        <f t="shared" si="24"/>
        <v>301685</v>
      </c>
      <c r="K170" s="16" t="s">
        <v>420</v>
      </c>
    </row>
    <row r="171" hidden="1">
      <c r="A171" s="67">
        <f>'Revenue &amp; Demand'!A166</f>
        <v>43101</v>
      </c>
      <c r="B171" s="16">
        <v>295534.0</v>
      </c>
      <c r="C171" s="84">
        <f>'Workforce &amp; Expenses'!G283</f>
        <v>0</v>
      </c>
      <c r="D171" s="84">
        <f t="shared" si="20"/>
        <v>295534</v>
      </c>
      <c r="E171" s="84">
        <f t="shared" si="21"/>
        <v>295534</v>
      </c>
      <c r="F171" s="16">
        <v>0.0</v>
      </c>
      <c r="G171" s="84">
        <f>'Workforce &amp; Expenses'!H283</f>
        <v>28963</v>
      </c>
      <c r="H171" s="84">
        <f t="shared" si="22"/>
        <v>-28963</v>
      </c>
      <c r="I171" s="84">
        <f t="shared" si="23"/>
        <v>0</v>
      </c>
      <c r="J171" s="84">
        <f t="shared" si="24"/>
        <v>295534</v>
      </c>
      <c r="K171" s="16" t="s">
        <v>420</v>
      </c>
    </row>
    <row r="172" hidden="1">
      <c r="A172" s="67">
        <f>'Revenue &amp; Demand'!A167</f>
        <v>43132</v>
      </c>
      <c r="B172" s="16">
        <v>295516.0</v>
      </c>
      <c r="C172" s="84">
        <f>'Workforce &amp; Expenses'!G284</f>
        <v>0</v>
      </c>
      <c r="D172" s="84">
        <f t="shared" si="20"/>
        <v>295516</v>
      </c>
      <c r="E172" s="84">
        <f t="shared" si="21"/>
        <v>295516</v>
      </c>
      <c r="F172" s="16">
        <v>0.0</v>
      </c>
      <c r="G172" s="84">
        <f>'Workforce &amp; Expenses'!H284</f>
        <v>31190</v>
      </c>
      <c r="H172" s="84">
        <f t="shared" si="22"/>
        <v>-31190</v>
      </c>
      <c r="I172" s="84">
        <f t="shared" si="23"/>
        <v>0</v>
      </c>
      <c r="J172" s="84">
        <f t="shared" si="24"/>
        <v>295516</v>
      </c>
      <c r="K172" s="16" t="s">
        <v>420</v>
      </c>
    </row>
    <row r="173" hidden="1">
      <c r="A173" s="67">
        <f>'Revenue &amp; Demand'!A168</f>
        <v>43160</v>
      </c>
      <c r="B173" s="16">
        <v>302584.0</v>
      </c>
      <c r="C173" s="84">
        <f>'Workforce &amp; Expenses'!G285</f>
        <v>0</v>
      </c>
      <c r="D173" s="84">
        <f t="shared" si="20"/>
        <v>302584</v>
      </c>
      <c r="E173" s="84">
        <f t="shared" si="21"/>
        <v>302584</v>
      </c>
      <c r="F173" s="16">
        <v>0.0</v>
      </c>
      <c r="G173" s="84">
        <f>'Workforce &amp; Expenses'!H285</f>
        <v>31190</v>
      </c>
      <c r="H173" s="84">
        <f t="shared" si="22"/>
        <v>-31190</v>
      </c>
      <c r="I173" s="84">
        <f t="shared" si="23"/>
        <v>0</v>
      </c>
      <c r="J173" s="84">
        <f t="shared" si="24"/>
        <v>302584</v>
      </c>
      <c r="K173" s="16" t="s">
        <v>420</v>
      </c>
    </row>
    <row r="174" hidden="1">
      <c r="A174" s="67">
        <f>'Revenue &amp; Demand'!A169</f>
        <v>43191</v>
      </c>
      <c r="B174" s="16">
        <v>315785.0</v>
      </c>
      <c r="C174" s="84">
        <f>'Workforce &amp; Expenses'!G286</f>
        <v>0</v>
      </c>
      <c r="D174" s="84">
        <f t="shared" si="20"/>
        <v>315785</v>
      </c>
      <c r="E174" s="84">
        <f t="shared" si="21"/>
        <v>315785</v>
      </c>
      <c r="F174" s="16">
        <v>0.0</v>
      </c>
      <c r="G174" s="84">
        <f>'Workforce &amp; Expenses'!H286</f>
        <v>33418</v>
      </c>
      <c r="H174" s="84">
        <f t="shared" si="22"/>
        <v>-33418</v>
      </c>
      <c r="I174" s="84">
        <f t="shared" si="23"/>
        <v>0</v>
      </c>
      <c r="J174" s="84">
        <f t="shared" si="24"/>
        <v>315785</v>
      </c>
      <c r="K174" s="16" t="s">
        <v>420</v>
      </c>
    </row>
    <row r="175" hidden="1">
      <c r="A175" s="67">
        <f>'Revenue &amp; Demand'!A170</f>
        <v>43221</v>
      </c>
      <c r="B175" s="16">
        <v>332529.0</v>
      </c>
      <c r="C175" s="84">
        <f>'Workforce &amp; Expenses'!G287</f>
        <v>0</v>
      </c>
      <c r="D175" s="84">
        <f t="shared" si="20"/>
        <v>332529</v>
      </c>
      <c r="E175" s="84">
        <f t="shared" si="21"/>
        <v>332529</v>
      </c>
      <c r="F175" s="16">
        <v>0.0</v>
      </c>
      <c r="G175" s="84">
        <f>'Workforce &amp; Expenses'!H287</f>
        <v>33418</v>
      </c>
      <c r="H175" s="84">
        <f t="shared" si="22"/>
        <v>-33418</v>
      </c>
      <c r="I175" s="84">
        <f t="shared" si="23"/>
        <v>0</v>
      </c>
      <c r="J175" s="84">
        <f t="shared" si="24"/>
        <v>332529</v>
      </c>
      <c r="K175" s="16" t="s">
        <v>420</v>
      </c>
    </row>
    <row r="176" hidden="1">
      <c r="A176" s="67">
        <f>'Revenue &amp; Demand'!A171</f>
        <v>43252</v>
      </c>
      <c r="B176" s="16">
        <v>349275.0</v>
      </c>
      <c r="C176" s="84">
        <f>'Workforce &amp; Expenses'!G288</f>
        <v>0</v>
      </c>
      <c r="D176" s="84">
        <f t="shared" si="20"/>
        <v>349275</v>
      </c>
      <c r="E176" s="84">
        <f t="shared" si="21"/>
        <v>349275</v>
      </c>
      <c r="F176" s="16">
        <v>0.0</v>
      </c>
      <c r="G176" s="84">
        <f>'Workforce &amp; Expenses'!H288</f>
        <v>35646</v>
      </c>
      <c r="H176" s="84">
        <f t="shared" si="22"/>
        <v>-35646</v>
      </c>
      <c r="I176" s="84">
        <f t="shared" si="23"/>
        <v>0</v>
      </c>
      <c r="J176" s="84">
        <f t="shared" si="24"/>
        <v>349275</v>
      </c>
      <c r="K176" s="16" t="s">
        <v>420</v>
      </c>
    </row>
    <row r="177" hidden="1">
      <c r="A177" s="67">
        <f>'Revenue &amp; Demand'!A172</f>
        <v>43282</v>
      </c>
      <c r="B177" s="16">
        <v>1074268.0</v>
      </c>
      <c r="C177" s="84">
        <f>'Workforce &amp; Expenses'!G289</f>
        <v>0</v>
      </c>
      <c r="D177" s="84">
        <f t="shared" si="20"/>
        <v>1074268</v>
      </c>
      <c r="E177" s="84">
        <f t="shared" si="21"/>
        <v>1074268</v>
      </c>
      <c r="F177" s="16">
        <v>189577.0</v>
      </c>
      <c r="G177" s="84">
        <f>'Workforce &amp; Expenses'!H289</f>
        <v>35646</v>
      </c>
      <c r="H177" s="84">
        <f t="shared" si="22"/>
        <v>153931</v>
      </c>
      <c r="I177" s="84">
        <f t="shared" si="23"/>
        <v>189577</v>
      </c>
      <c r="J177" s="84">
        <f t="shared" si="24"/>
        <v>1263845</v>
      </c>
      <c r="K177" s="16" t="s">
        <v>421</v>
      </c>
    </row>
    <row r="178" hidden="1">
      <c r="A178" s="67">
        <f>'Revenue &amp; Demand'!A173</f>
        <v>43313</v>
      </c>
      <c r="B178" s="16">
        <v>1097982.0</v>
      </c>
      <c r="C178" s="84">
        <f>'Workforce &amp; Expenses'!G290</f>
        <v>0</v>
      </c>
      <c r="D178" s="84">
        <f t="shared" si="20"/>
        <v>1097982</v>
      </c>
      <c r="E178" s="84">
        <f t="shared" si="21"/>
        <v>1097982</v>
      </c>
      <c r="F178" s="16">
        <v>193762.0</v>
      </c>
      <c r="G178" s="84">
        <f>'Workforce &amp; Expenses'!H290</f>
        <v>37874</v>
      </c>
      <c r="H178" s="84">
        <f t="shared" si="22"/>
        <v>155888</v>
      </c>
      <c r="I178" s="84">
        <f t="shared" si="23"/>
        <v>193762</v>
      </c>
      <c r="J178" s="84">
        <f t="shared" si="24"/>
        <v>1291744</v>
      </c>
      <c r="K178" s="16" t="s">
        <v>421</v>
      </c>
    </row>
    <row r="179" hidden="1">
      <c r="A179" s="67">
        <f>'Revenue &amp; Demand'!A174</f>
        <v>43344</v>
      </c>
      <c r="B179" s="16">
        <v>1097923.0</v>
      </c>
      <c r="C179" s="84">
        <f>'Workforce &amp; Expenses'!G291</f>
        <v>0</v>
      </c>
      <c r="D179" s="84">
        <f t="shared" si="20"/>
        <v>1097923</v>
      </c>
      <c r="E179" s="84">
        <f t="shared" si="21"/>
        <v>1097923</v>
      </c>
      <c r="F179" s="16">
        <v>193751.0</v>
      </c>
      <c r="G179" s="84">
        <f>'Workforce &amp; Expenses'!H291</f>
        <v>37874</v>
      </c>
      <c r="H179" s="84">
        <f t="shared" si="22"/>
        <v>155877</v>
      </c>
      <c r="I179" s="84">
        <f t="shared" si="23"/>
        <v>193751</v>
      </c>
      <c r="J179" s="84">
        <f t="shared" si="24"/>
        <v>1291674</v>
      </c>
      <c r="K179" s="16" t="s">
        <v>421</v>
      </c>
    </row>
    <row r="180" hidden="1">
      <c r="A180" s="67">
        <f>'Revenue &amp; Demand'!A175</f>
        <v>43374</v>
      </c>
      <c r="B180" s="16">
        <v>1077284.0</v>
      </c>
      <c r="C180" s="84">
        <f>'Workforce &amp; Expenses'!G292</f>
        <v>0</v>
      </c>
      <c r="D180" s="84">
        <f t="shared" si="20"/>
        <v>1077284</v>
      </c>
      <c r="E180" s="84">
        <f t="shared" si="21"/>
        <v>1077284</v>
      </c>
      <c r="F180" s="16">
        <v>190109.0</v>
      </c>
      <c r="G180" s="84">
        <f>'Workforce &amp; Expenses'!H292</f>
        <v>40102</v>
      </c>
      <c r="H180" s="84">
        <f t="shared" si="22"/>
        <v>150007</v>
      </c>
      <c r="I180" s="84">
        <f t="shared" si="23"/>
        <v>190109</v>
      </c>
      <c r="J180" s="84">
        <f t="shared" si="24"/>
        <v>1267393</v>
      </c>
      <c r="K180" s="16" t="s">
        <v>421</v>
      </c>
    </row>
    <row r="181" hidden="1">
      <c r="A181" s="67">
        <f>'Revenue &amp; Demand'!A176</f>
        <v>43405</v>
      </c>
      <c r="B181" s="16">
        <v>1044759.0</v>
      </c>
      <c r="C181" s="84">
        <f>'Workforce &amp; Expenses'!G293</f>
        <v>0</v>
      </c>
      <c r="D181" s="84">
        <f t="shared" si="20"/>
        <v>1044759</v>
      </c>
      <c r="E181" s="84">
        <f t="shared" si="21"/>
        <v>1044759</v>
      </c>
      <c r="F181" s="16">
        <v>184369.0</v>
      </c>
      <c r="G181" s="84">
        <f>'Workforce &amp; Expenses'!H293</f>
        <v>40102</v>
      </c>
      <c r="H181" s="84">
        <f t="shared" si="22"/>
        <v>144267</v>
      </c>
      <c r="I181" s="84">
        <f t="shared" si="23"/>
        <v>184369</v>
      </c>
      <c r="J181" s="84">
        <f t="shared" si="24"/>
        <v>1229128</v>
      </c>
      <c r="K181" s="16" t="s">
        <v>421</v>
      </c>
    </row>
    <row r="182" hidden="1">
      <c r="A182" s="67">
        <f>'Revenue &amp; Demand'!A177</f>
        <v>43435</v>
      </c>
      <c r="B182" s="16">
        <v>1012234.0</v>
      </c>
      <c r="C182" s="84">
        <f>'Workforce &amp; Expenses'!G294</f>
        <v>0</v>
      </c>
      <c r="D182" s="84">
        <f t="shared" si="20"/>
        <v>1012234</v>
      </c>
      <c r="E182" s="84">
        <f t="shared" si="21"/>
        <v>1012234</v>
      </c>
      <c r="F182" s="16">
        <v>178629.0</v>
      </c>
      <c r="G182" s="84">
        <f>'Workforce &amp; Expenses'!H294</f>
        <v>43600</v>
      </c>
      <c r="H182" s="84">
        <f t="shared" si="22"/>
        <v>135029</v>
      </c>
      <c r="I182" s="84">
        <f t="shared" si="23"/>
        <v>178629</v>
      </c>
      <c r="J182" s="84">
        <f t="shared" si="24"/>
        <v>1190863</v>
      </c>
      <c r="K182" s="16" t="s">
        <v>421</v>
      </c>
    </row>
    <row r="183" hidden="1">
      <c r="A183" s="67">
        <f>'Revenue &amp; Demand'!A178</f>
        <v>43466</v>
      </c>
      <c r="B183" s="16">
        <v>991595.0</v>
      </c>
      <c r="C183" s="84">
        <f>'Workforce &amp; Expenses'!G295</f>
        <v>0</v>
      </c>
      <c r="D183" s="84">
        <f t="shared" si="20"/>
        <v>991595</v>
      </c>
      <c r="E183" s="84">
        <f t="shared" si="21"/>
        <v>991595</v>
      </c>
      <c r="F183" s="16">
        <v>174987.0</v>
      </c>
      <c r="G183" s="84">
        <f>'Workforce &amp; Expenses'!H295</f>
        <v>43600</v>
      </c>
      <c r="H183" s="84">
        <f t="shared" si="22"/>
        <v>131387</v>
      </c>
      <c r="I183" s="84">
        <f t="shared" si="23"/>
        <v>174987</v>
      </c>
      <c r="J183" s="84">
        <f t="shared" si="24"/>
        <v>1166582</v>
      </c>
      <c r="K183" s="16" t="s">
        <v>421</v>
      </c>
    </row>
    <row r="184" hidden="1">
      <c r="A184" s="67">
        <f>'Revenue &amp; Demand'!A179</f>
        <v>43497</v>
      </c>
      <c r="B184" s="16">
        <v>991535.0</v>
      </c>
      <c r="C184" s="84">
        <f>'Workforce &amp; Expenses'!G296</f>
        <v>0</v>
      </c>
      <c r="D184" s="84">
        <f t="shared" si="20"/>
        <v>991535</v>
      </c>
      <c r="E184" s="84">
        <f t="shared" si="21"/>
        <v>991535</v>
      </c>
      <c r="F184" s="16">
        <v>174977.0</v>
      </c>
      <c r="G184" s="84">
        <f>'Workforce &amp; Expenses'!H296</f>
        <v>45895</v>
      </c>
      <c r="H184" s="84">
        <f t="shared" si="22"/>
        <v>129082</v>
      </c>
      <c r="I184" s="84">
        <f t="shared" si="23"/>
        <v>174977</v>
      </c>
      <c r="J184" s="84">
        <f t="shared" si="24"/>
        <v>1166512</v>
      </c>
      <c r="K184" s="16" t="s">
        <v>421</v>
      </c>
    </row>
    <row r="185" hidden="1">
      <c r="A185" s="67">
        <f>'Revenue &amp; Demand'!A180</f>
        <v>43525</v>
      </c>
      <c r="B185" s="16">
        <v>1015249.0</v>
      </c>
      <c r="C185" s="84">
        <f>'Workforce &amp; Expenses'!G297</f>
        <v>0</v>
      </c>
      <c r="D185" s="84">
        <f t="shared" si="20"/>
        <v>1015249</v>
      </c>
      <c r="E185" s="84">
        <f t="shared" si="21"/>
        <v>1015249</v>
      </c>
      <c r="F185" s="16">
        <v>179162.0</v>
      </c>
      <c r="G185" s="84">
        <f>'Workforce &amp; Expenses'!H297</f>
        <v>45895</v>
      </c>
      <c r="H185" s="84">
        <f t="shared" si="22"/>
        <v>133267</v>
      </c>
      <c r="I185" s="84">
        <f t="shared" si="23"/>
        <v>179162</v>
      </c>
      <c r="J185" s="84">
        <f t="shared" si="24"/>
        <v>1194411</v>
      </c>
      <c r="K185" s="16" t="s">
        <v>421</v>
      </c>
    </row>
    <row r="186" hidden="1">
      <c r="A186" s="67">
        <f>'Revenue &amp; Demand'!A181</f>
        <v>43556</v>
      </c>
      <c r="B186" s="16">
        <v>1059543.0</v>
      </c>
      <c r="C186" s="84">
        <f>'Workforce &amp; Expenses'!G298</f>
        <v>0</v>
      </c>
      <c r="D186" s="84">
        <f t="shared" si="20"/>
        <v>1059543</v>
      </c>
      <c r="E186" s="84">
        <f t="shared" si="21"/>
        <v>1059543</v>
      </c>
      <c r="F186" s="16">
        <v>186978.0</v>
      </c>
      <c r="G186" s="84">
        <f>'Workforce &amp; Expenses'!H298</f>
        <v>48189</v>
      </c>
      <c r="H186" s="84">
        <f t="shared" si="22"/>
        <v>138789</v>
      </c>
      <c r="I186" s="84">
        <f t="shared" si="23"/>
        <v>186978</v>
      </c>
      <c r="J186" s="84">
        <f t="shared" si="24"/>
        <v>1246521</v>
      </c>
      <c r="K186" s="16" t="s">
        <v>421</v>
      </c>
    </row>
    <row r="187" hidden="1">
      <c r="A187" s="67">
        <f>'Revenue &amp; Demand'!A182</f>
        <v>43586</v>
      </c>
      <c r="B187" s="16">
        <v>1115724.0</v>
      </c>
      <c r="C187" s="84">
        <f>'Workforce &amp; Expenses'!G299</f>
        <v>0</v>
      </c>
      <c r="D187" s="84">
        <f t="shared" si="20"/>
        <v>1115724</v>
      </c>
      <c r="E187" s="84">
        <f t="shared" si="21"/>
        <v>1115724</v>
      </c>
      <c r="F187" s="16">
        <v>196892.0</v>
      </c>
      <c r="G187" s="84">
        <f>'Workforce &amp; Expenses'!H299</f>
        <v>50484</v>
      </c>
      <c r="H187" s="84">
        <f t="shared" si="22"/>
        <v>146408</v>
      </c>
      <c r="I187" s="84">
        <f t="shared" si="23"/>
        <v>196892</v>
      </c>
      <c r="J187" s="84">
        <f t="shared" si="24"/>
        <v>1312616</v>
      </c>
      <c r="K187" s="16" t="s">
        <v>421</v>
      </c>
    </row>
    <row r="188" hidden="1">
      <c r="A188" s="67">
        <f>'Revenue &amp; Demand'!A183</f>
        <v>43617</v>
      </c>
      <c r="B188" s="16">
        <v>1171904.0</v>
      </c>
      <c r="C188" s="84">
        <f>'Workforce &amp; Expenses'!G300</f>
        <v>0</v>
      </c>
      <c r="D188" s="84">
        <f t="shared" si="20"/>
        <v>1171904</v>
      </c>
      <c r="E188" s="84">
        <f t="shared" si="21"/>
        <v>1171904</v>
      </c>
      <c r="F188" s="16">
        <v>206807.0</v>
      </c>
      <c r="G188" s="84">
        <f>'Workforce &amp; Expenses'!H300</f>
        <v>50484</v>
      </c>
      <c r="H188" s="84">
        <f t="shared" si="22"/>
        <v>156323</v>
      </c>
      <c r="I188" s="84">
        <f t="shared" si="23"/>
        <v>206807</v>
      </c>
      <c r="J188" s="84">
        <f t="shared" si="24"/>
        <v>1378711</v>
      </c>
      <c r="K188" s="16" t="s">
        <v>421</v>
      </c>
    </row>
    <row r="189" hidden="1">
      <c r="A189" s="67">
        <f>'Revenue &amp; Demand'!A184</f>
        <v>43647</v>
      </c>
      <c r="B189" s="16">
        <v>1390229.0</v>
      </c>
      <c r="C189" s="84">
        <f>'Workforce &amp; Expenses'!G301</f>
        <v>0</v>
      </c>
      <c r="D189" s="84">
        <f t="shared" si="20"/>
        <v>1390229</v>
      </c>
      <c r="E189" s="84">
        <f t="shared" si="21"/>
        <v>1390229</v>
      </c>
      <c r="F189" s="16">
        <v>463410.0</v>
      </c>
      <c r="G189" s="84">
        <f>'Workforce &amp; Expenses'!H301</f>
        <v>52779</v>
      </c>
      <c r="H189" s="84">
        <f t="shared" si="22"/>
        <v>410631</v>
      </c>
      <c r="I189" s="84">
        <f t="shared" si="23"/>
        <v>463410</v>
      </c>
      <c r="J189" s="84">
        <f t="shared" si="24"/>
        <v>1853639</v>
      </c>
      <c r="K189" s="16" t="s">
        <v>421</v>
      </c>
    </row>
    <row r="190" hidden="1">
      <c r="A190" s="67">
        <f>'Revenue &amp; Demand'!A185</f>
        <v>43678</v>
      </c>
      <c r="B190" s="16">
        <v>1420919.0</v>
      </c>
      <c r="C190" s="84">
        <f>'Workforce &amp; Expenses'!G302</f>
        <v>0</v>
      </c>
      <c r="D190" s="84">
        <f t="shared" si="20"/>
        <v>1420919</v>
      </c>
      <c r="E190" s="84">
        <f t="shared" si="21"/>
        <v>1420919</v>
      </c>
      <c r="F190" s="16">
        <v>473639.0</v>
      </c>
      <c r="G190" s="84">
        <f>'Workforce &amp; Expenses'!H302</f>
        <v>52779</v>
      </c>
      <c r="H190" s="84">
        <f t="shared" si="22"/>
        <v>420860</v>
      </c>
      <c r="I190" s="84">
        <f t="shared" si="23"/>
        <v>473639</v>
      </c>
      <c r="J190" s="84">
        <f t="shared" si="24"/>
        <v>1894558</v>
      </c>
      <c r="K190" s="16" t="s">
        <v>421</v>
      </c>
    </row>
    <row r="191" hidden="1">
      <c r="A191" s="67">
        <f>'Revenue &amp; Demand'!A186</f>
        <v>43709</v>
      </c>
      <c r="B191" s="16">
        <v>1420842.0</v>
      </c>
      <c r="C191" s="84">
        <f>'Workforce &amp; Expenses'!G303</f>
        <v>0</v>
      </c>
      <c r="D191" s="84">
        <f t="shared" si="20"/>
        <v>1420842</v>
      </c>
      <c r="E191" s="84">
        <f t="shared" si="21"/>
        <v>1420842</v>
      </c>
      <c r="F191" s="16">
        <v>473614.0</v>
      </c>
      <c r="G191" s="84">
        <f>'Workforce &amp; Expenses'!H303</f>
        <v>55074</v>
      </c>
      <c r="H191" s="84">
        <f t="shared" si="22"/>
        <v>418540</v>
      </c>
      <c r="I191" s="84">
        <f t="shared" si="23"/>
        <v>473614</v>
      </c>
      <c r="J191" s="84">
        <f t="shared" si="24"/>
        <v>1894456</v>
      </c>
      <c r="K191" s="16" t="s">
        <v>421</v>
      </c>
    </row>
    <row r="192" hidden="1">
      <c r="A192" s="67">
        <f>'Revenue &amp; Demand'!A187</f>
        <v>43739</v>
      </c>
      <c r="B192" s="16">
        <v>1394133.0</v>
      </c>
      <c r="C192" s="84">
        <f>'Workforce &amp; Expenses'!G304</f>
        <v>0</v>
      </c>
      <c r="D192" s="84">
        <f t="shared" si="20"/>
        <v>1394133</v>
      </c>
      <c r="E192" s="84">
        <f t="shared" si="21"/>
        <v>1394133</v>
      </c>
      <c r="F192" s="16">
        <v>464711.0</v>
      </c>
      <c r="G192" s="84">
        <f>'Workforce &amp; Expenses'!H304</f>
        <v>55074</v>
      </c>
      <c r="H192" s="84">
        <f t="shared" si="22"/>
        <v>409637</v>
      </c>
      <c r="I192" s="84">
        <f t="shared" si="23"/>
        <v>464711</v>
      </c>
      <c r="J192" s="84">
        <f t="shared" si="24"/>
        <v>1858844</v>
      </c>
      <c r="K192" s="16" t="s">
        <v>421</v>
      </c>
    </row>
    <row r="193" hidden="1">
      <c r="A193" s="67">
        <f>'Revenue &amp; Demand'!A188</f>
        <v>43770</v>
      </c>
      <c r="B193" s="16">
        <v>1352041.0</v>
      </c>
      <c r="C193" s="84">
        <f>'Workforce &amp; Expenses'!G305</f>
        <v>0</v>
      </c>
      <c r="D193" s="84">
        <f t="shared" si="20"/>
        <v>1352041</v>
      </c>
      <c r="E193" s="84">
        <f t="shared" si="21"/>
        <v>1352041</v>
      </c>
      <c r="F193" s="16">
        <v>450680.0</v>
      </c>
      <c r="G193" s="84">
        <f>'Workforce &amp; Expenses'!H305</f>
        <v>57368</v>
      </c>
      <c r="H193" s="84">
        <f t="shared" si="22"/>
        <v>393312</v>
      </c>
      <c r="I193" s="84">
        <f t="shared" si="23"/>
        <v>450680</v>
      </c>
      <c r="J193" s="84">
        <f t="shared" si="24"/>
        <v>1802721</v>
      </c>
      <c r="K193" s="16" t="s">
        <v>421</v>
      </c>
    </row>
    <row r="194" hidden="1">
      <c r="A194" s="67">
        <f>'Revenue &amp; Demand'!A189</f>
        <v>43800</v>
      </c>
      <c r="B194" s="16">
        <v>1309949.0</v>
      </c>
      <c r="C194" s="84">
        <f>'Workforce &amp; Expenses'!G306</f>
        <v>38080</v>
      </c>
      <c r="D194" s="84">
        <f t="shared" si="20"/>
        <v>1271869</v>
      </c>
      <c r="E194" s="84">
        <f t="shared" si="21"/>
        <v>1309949</v>
      </c>
      <c r="F194" s="16">
        <v>436650.0</v>
      </c>
      <c r="G194" s="84">
        <f>'Workforce &amp; Expenses'!H306</f>
        <v>68544</v>
      </c>
      <c r="H194" s="84">
        <f t="shared" si="22"/>
        <v>368106</v>
      </c>
      <c r="I194" s="84">
        <f t="shared" si="23"/>
        <v>436650</v>
      </c>
      <c r="J194" s="84">
        <f t="shared" si="24"/>
        <v>1746599</v>
      </c>
      <c r="K194" s="16" t="s">
        <v>421</v>
      </c>
    </row>
    <row r="195" hidden="1">
      <c r="A195" s="67">
        <f>'Revenue &amp; Demand'!A190</f>
        <v>43831</v>
      </c>
      <c r="B195" s="16">
        <v>1283240.0</v>
      </c>
      <c r="C195" s="84">
        <f>'Workforce &amp; Expenses'!G307</f>
        <v>43332</v>
      </c>
      <c r="D195" s="84">
        <f t="shared" si="20"/>
        <v>1239908</v>
      </c>
      <c r="E195" s="84">
        <f t="shared" si="21"/>
        <v>1283240</v>
      </c>
      <c r="F195" s="16">
        <v>427746.0</v>
      </c>
      <c r="G195" s="84">
        <f>'Workforce &amp; Expenses'!H307</f>
        <v>77998</v>
      </c>
      <c r="H195" s="84">
        <f t="shared" si="22"/>
        <v>349748</v>
      </c>
      <c r="I195" s="84">
        <f t="shared" si="23"/>
        <v>427746</v>
      </c>
      <c r="J195" s="84">
        <f t="shared" si="24"/>
        <v>1710986</v>
      </c>
      <c r="K195" s="16" t="s">
        <v>421</v>
      </c>
    </row>
    <row r="196" hidden="1">
      <c r="A196" s="67">
        <f>'Revenue &amp; Demand'!A191</f>
        <v>43862</v>
      </c>
      <c r="B196" s="16">
        <v>1283163.0</v>
      </c>
      <c r="C196" s="84">
        <f>'Workforce &amp; Expenses'!G308</f>
        <v>49898</v>
      </c>
      <c r="D196" s="84">
        <f t="shared" si="20"/>
        <v>1233265</v>
      </c>
      <c r="E196" s="84">
        <f t="shared" si="21"/>
        <v>1283163</v>
      </c>
      <c r="F196" s="16">
        <v>427721.0</v>
      </c>
      <c r="G196" s="84">
        <f>'Workforce &amp; Expenses'!H308</f>
        <v>89816</v>
      </c>
      <c r="H196" s="84">
        <f t="shared" si="22"/>
        <v>337905</v>
      </c>
      <c r="I196" s="84">
        <f t="shared" si="23"/>
        <v>427721</v>
      </c>
      <c r="J196" s="84">
        <f t="shared" si="24"/>
        <v>1710884</v>
      </c>
      <c r="K196" s="16" t="s">
        <v>421</v>
      </c>
    </row>
    <row r="197" hidden="1">
      <c r="A197" s="67">
        <f>'Revenue &amp; Demand'!A192</f>
        <v>43891</v>
      </c>
      <c r="B197" s="16">
        <v>1313852.0</v>
      </c>
      <c r="C197" s="84">
        <f>'Workforce &amp; Expenses'!G309</f>
        <v>55150</v>
      </c>
      <c r="D197" s="84">
        <f t="shared" si="20"/>
        <v>1258702</v>
      </c>
      <c r="E197" s="84">
        <f t="shared" si="21"/>
        <v>1313852</v>
      </c>
      <c r="F197" s="16">
        <v>437951.0</v>
      </c>
      <c r="G197" s="84">
        <f>'Workforce &amp; Expenses'!H309</f>
        <v>99270</v>
      </c>
      <c r="H197" s="84">
        <f t="shared" si="22"/>
        <v>338681</v>
      </c>
      <c r="I197" s="84">
        <f t="shared" si="23"/>
        <v>437951</v>
      </c>
      <c r="J197" s="84">
        <f t="shared" si="24"/>
        <v>1751803</v>
      </c>
      <c r="K197" s="16" t="s">
        <v>421</v>
      </c>
    </row>
    <row r="198" hidden="1">
      <c r="A198" s="67">
        <f>'Revenue &amp; Demand'!A193</f>
        <v>43922</v>
      </c>
      <c r="B198" s="16">
        <v>1371173.0</v>
      </c>
      <c r="C198" s="84">
        <f>'Workforce &amp; Expenses'!G310</f>
        <v>60402</v>
      </c>
      <c r="D198" s="84">
        <f t="shared" si="20"/>
        <v>1310771</v>
      </c>
      <c r="E198" s="84">
        <f t="shared" si="21"/>
        <v>1371173</v>
      </c>
      <c r="F198" s="16">
        <v>457058.0</v>
      </c>
      <c r="G198" s="84">
        <f>'Workforce &amp; Expenses'!H310</f>
        <v>108724</v>
      </c>
      <c r="H198" s="84">
        <f t="shared" si="22"/>
        <v>348334</v>
      </c>
      <c r="I198" s="84">
        <f t="shared" si="23"/>
        <v>457058</v>
      </c>
      <c r="J198" s="84">
        <f t="shared" si="24"/>
        <v>1828231</v>
      </c>
      <c r="K198" s="16" t="s">
        <v>421</v>
      </c>
    </row>
    <row r="199" hidden="1">
      <c r="A199" s="67">
        <f>'Revenue &amp; Demand'!A194</f>
        <v>43952</v>
      </c>
      <c r="B199" s="16">
        <v>1443878.0</v>
      </c>
      <c r="C199" s="84">
        <f>'Workforce &amp; Expenses'!G311</f>
        <v>65655</v>
      </c>
      <c r="D199" s="84">
        <f t="shared" si="20"/>
        <v>1378223</v>
      </c>
      <c r="E199" s="84">
        <f t="shared" si="21"/>
        <v>1443878</v>
      </c>
      <c r="F199" s="16">
        <v>481292.0</v>
      </c>
      <c r="G199" s="84">
        <f>'Workforce &amp; Expenses'!H311</f>
        <v>118179</v>
      </c>
      <c r="H199" s="84">
        <f t="shared" si="22"/>
        <v>363113</v>
      </c>
      <c r="I199" s="84">
        <f t="shared" si="23"/>
        <v>481292</v>
      </c>
      <c r="J199" s="84">
        <f t="shared" si="24"/>
        <v>1925170</v>
      </c>
      <c r="K199" s="16" t="s">
        <v>421</v>
      </c>
    </row>
    <row r="200" hidden="1">
      <c r="A200" s="67">
        <f>'Revenue &amp; Demand'!A195</f>
        <v>43983</v>
      </c>
      <c r="B200" s="16">
        <v>1516582.0</v>
      </c>
      <c r="C200" s="84">
        <f>'Workforce &amp; Expenses'!G312</f>
        <v>70907</v>
      </c>
      <c r="D200" s="84">
        <f t="shared" si="20"/>
        <v>1445675</v>
      </c>
      <c r="E200" s="84">
        <f t="shared" si="21"/>
        <v>1516582</v>
      </c>
      <c r="F200" s="16">
        <v>505527.0</v>
      </c>
      <c r="G200" s="84">
        <f>'Workforce &amp; Expenses'!H312</f>
        <v>127633</v>
      </c>
      <c r="H200" s="84">
        <f t="shared" si="22"/>
        <v>377894</v>
      </c>
      <c r="I200" s="84">
        <f t="shared" si="23"/>
        <v>505527</v>
      </c>
      <c r="J200" s="84">
        <f t="shared" si="24"/>
        <v>2022109</v>
      </c>
      <c r="K200" s="16" t="s">
        <v>421</v>
      </c>
    </row>
    <row r="201" hidden="1">
      <c r="A201" s="67">
        <f>'Revenue &amp; Demand'!A196</f>
        <v>44013</v>
      </c>
      <c r="B201" s="16">
        <v>2595095.0</v>
      </c>
      <c r="C201" s="84">
        <f>'Workforce &amp; Expenses'!G313</f>
        <v>76160</v>
      </c>
      <c r="D201" s="84">
        <f t="shared" si="20"/>
        <v>2518935</v>
      </c>
      <c r="E201" s="84">
        <f t="shared" si="21"/>
        <v>2595095</v>
      </c>
      <c r="F201" s="16">
        <v>1112184.0</v>
      </c>
      <c r="G201" s="84">
        <f>'Workforce &amp; Expenses'!H313</f>
        <v>137087</v>
      </c>
      <c r="H201" s="84">
        <f t="shared" si="22"/>
        <v>975097</v>
      </c>
      <c r="I201" s="84">
        <f t="shared" si="23"/>
        <v>1112184</v>
      </c>
      <c r="J201" s="84">
        <f t="shared" si="24"/>
        <v>3707279</v>
      </c>
      <c r="K201" s="16" t="s">
        <v>422</v>
      </c>
    </row>
    <row r="202" hidden="1">
      <c r="A202" s="67">
        <f>'Revenue &amp; Demand'!A197</f>
        <v>44044</v>
      </c>
      <c r="B202" s="16">
        <v>2652381.0</v>
      </c>
      <c r="C202" s="84">
        <f>'Workforce &amp; Expenses'!G314</f>
        <v>82725</v>
      </c>
      <c r="D202" s="84">
        <f t="shared" si="20"/>
        <v>2569656</v>
      </c>
      <c r="E202" s="84">
        <f t="shared" si="21"/>
        <v>2652381</v>
      </c>
      <c r="F202" s="16">
        <v>1136735.0</v>
      </c>
      <c r="G202" s="84">
        <f>'Workforce &amp; Expenses'!H314</f>
        <v>148905</v>
      </c>
      <c r="H202" s="84">
        <f t="shared" si="22"/>
        <v>987830</v>
      </c>
      <c r="I202" s="84">
        <f t="shared" si="23"/>
        <v>1136735</v>
      </c>
      <c r="J202" s="84">
        <f t="shared" si="24"/>
        <v>3789116</v>
      </c>
      <c r="K202" s="16" t="s">
        <v>422</v>
      </c>
    </row>
    <row r="203" hidden="1">
      <c r="A203" s="104">
        <f>'Revenue &amp; Demand'!A198</f>
        <v>44075</v>
      </c>
      <c r="B203" s="16">
        <v>2652238.0</v>
      </c>
      <c r="C203" s="84">
        <f>'Workforce &amp; Expenses'!G315</f>
        <v>87977</v>
      </c>
      <c r="D203" s="84">
        <f t="shared" si="20"/>
        <v>2564261</v>
      </c>
      <c r="E203" s="84">
        <f t="shared" si="21"/>
        <v>2652238</v>
      </c>
      <c r="F203" s="16">
        <v>1136674.0</v>
      </c>
      <c r="G203" s="84">
        <f>'Workforce &amp; Expenses'!H315</f>
        <v>158359</v>
      </c>
      <c r="H203" s="84">
        <f t="shared" si="22"/>
        <v>978315</v>
      </c>
      <c r="I203" s="84">
        <f t="shared" si="23"/>
        <v>1136674</v>
      </c>
      <c r="J203" s="84">
        <f t="shared" si="24"/>
        <v>3788912</v>
      </c>
      <c r="K203" s="16" t="s">
        <v>422</v>
      </c>
    </row>
    <row r="204">
      <c r="A204" s="97" t="s">
        <v>423</v>
      </c>
      <c r="B204" s="108"/>
      <c r="C204" s="109"/>
      <c r="D204" s="109"/>
      <c r="E204" s="109"/>
      <c r="F204" s="146"/>
      <c r="G204" s="109"/>
      <c r="H204" s="109"/>
      <c r="I204" s="109"/>
      <c r="J204" s="109"/>
      <c r="K204" s="146"/>
      <c r="L204" s="109"/>
      <c r="M204" s="109"/>
      <c r="N204" s="109"/>
      <c r="O204" s="109"/>
    </row>
    <row r="205" ht="42.75" customHeight="1">
      <c r="A205" s="98" t="s">
        <v>2</v>
      </c>
      <c r="B205" s="98" t="s">
        <v>424</v>
      </c>
      <c r="C205" s="98" t="s">
        <v>425</v>
      </c>
      <c r="D205" s="98" t="s">
        <v>376</v>
      </c>
      <c r="E205" s="98" t="s">
        <v>426</v>
      </c>
      <c r="F205" s="98" t="s">
        <v>427</v>
      </c>
      <c r="G205" s="98" t="s">
        <v>377</v>
      </c>
      <c r="H205" s="98" t="s">
        <v>428</v>
      </c>
      <c r="I205" s="98" t="s">
        <v>429</v>
      </c>
      <c r="J205" s="98" t="s">
        <v>430</v>
      </c>
      <c r="K205" s="98" t="s">
        <v>431</v>
      </c>
      <c r="L205" s="98" t="s">
        <v>432</v>
      </c>
      <c r="M205" s="98" t="s">
        <v>433</v>
      </c>
      <c r="N205" s="98" t="s">
        <v>434</v>
      </c>
      <c r="O205" s="98" t="s">
        <v>435</v>
      </c>
    </row>
    <row r="206">
      <c r="A206" s="99">
        <f t="shared" ref="A206:A301" si="25">DATE(2018+INT((ROW()-206)/12),MOD(ROW()-206,12)+1,1)</f>
        <v>43101</v>
      </c>
      <c r="B206" s="101">
        <v>96895.0</v>
      </c>
      <c r="C206" s="101">
        <v>0.0</v>
      </c>
      <c r="D206" s="102">
        <f>'Workforce &amp; Expenses'!I258</f>
        <v>19133</v>
      </c>
      <c r="E206" s="102">
        <f t="shared" ref="E206:E385" si="26">B206-D206</f>
        <v>77762</v>
      </c>
      <c r="F206" s="101">
        <f t="shared" ref="F206:F385" si="27">D206+E206</f>
        <v>96895</v>
      </c>
      <c r="G206" s="102">
        <f>'Workforce &amp; Expenses'!J258</f>
        <v>0</v>
      </c>
      <c r="H206" s="102">
        <f t="shared" ref="H206:H385" si="28">C206-G206</f>
        <v>0</v>
      </c>
      <c r="I206" s="102">
        <f t="shared" ref="I206:I385" si="29">G206+H206</f>
        <v>0</v>
      </c>
      <c r="J206" s="102">
        <f t="shared" ref="J206:J385" si="30">F206-B206+I206-C206</f>
        <v>0</v>
      </c>
      <c r="K206" s="101">
        <f t="shared" ref="K206:K301" si="31">ROUND(E206*0.4,0)</f>
        <v>31105</v>
      </c>
      <c r="L206" s="102">
        <f t="shared" ref="L206:L301" si="32">ROUND(E206*0.35,0)</f>
        <v>27217</v>
      </c>
      <c r="M206" s="102">
        <f t="shared" ref="M206:M385" si="33">E206-K206-L206</f>
        <v>19440</v>
      </c>
      <c r="N206" s="102">
        <f t="shared" ref="N206:N385" si="34">ROUND(H206*0.6,0)</f>
        <v>0</v>
      </c>
      <c r="O206" s="102">
        <f t="shared" ref="O206:O385" si="35">H206-N206</f>
        <v>0</v>
      </c>
    </row>
    <row r="207">
      <c r="A207" s="99">
        <f t="shared" si="25"/>
        <v>43132</v>
      </c>
      <c r="B207" s="101">
        <v>99034.0</v>
      </c>
      <c r="C207" s="101">
        <v>0.0</v>
      </c>
      <c r="D207" s="102">
        <f>'Workforce &amp; Expenses'!I259</f>
        <v>28700</v>
      </c>
      <c r="E207" s="102">
        <f t="shared" si="26"/>
        <v>70334</v>
      </c>
      <c r="F207" s="101">
        <f t="shared" si="27"/>
        <v>99034</v>
      </c>
      <c r="G207" s="102">
        <f>'Workforce &amp; Expenses'!J259</f>
        <v>0</v>
      </c>
      <c r="H207" s="102">
        <f t="shared" si="28"/>
        <v>0</v>
      </c>
      <c r="I207" s="102">
        <f t="shared" si="29"/>
        <v>0</v>
      </c>
      <c r="J207" s="102">
        <f t="shared" si="30"/>
        <v>0</v>
      </c>
      <c r="K207" s="101">
        <f t="shared" si="31"/>
        <v>28134</v>
      </c>
      <c r="L207" s="102">
        <f t="shared" si="32"/>
        <v>24617</v>
      </c>
      <c r="M207" s="102">
        <f t="shared" si="33"/>
        <v>17583</v>
      </c>
      <c r="N207" s="102">
        <f t="shared" si="34"/>
        <v>0</v>
      </c>
      <c r="O207" s="102">
        <f t="shared" si="35"/>
        <v>0</v>
      </c>
    </row>
    <row r="208">
      <c r="A208" s="99">
        <f t="shared" si="25"/>
        <v>43160</v>
      </c>
      <c r="B208" s="101">
        <v>99028.0</v>
      </c>
      <c r="C208" s="101">
        <v>0.0</v>
      </c>
      <c r="D208" s="102">
        <f>'Workforce &amp; Expenses'!I260</f>
        <v>28700</v>
      </c>
      <c r="E208" s="102">
        <f t="shared" si="26"/>
        <v>70328</v>
      </c>
      <c r="F208" s="101">
        <f t="shared" si="27"/>
        <v>99028</v>
      </c>
      <c r="G208" s="102">
        <f>'Workforce &amp; Expenses'!J260</f>
        <v>0</v>
      </c>
      <c r="H208" s="102">
        <f t="shared" si="28"/>
        <v>0</v>
      </c>
      <c r="I208" s="102">
        <f t="shared" si="29"/>
        <v>0</v>
      </c>
      <c r="J208" s="102">
        <f t="shared" si="30"/>
        <v>0</v>
      </c>
      <c r="K208" s="101">
        <f t="shared" si="31"/>
        <v>28131</v>
      </c>
      <c r="L208" s="102">
        <f t="shared" si="32"/>
        <v>24615</v>
      </c>
      <c r="M208" s="102">
        <f t="shared" si="33"/>
        <v>17582</v>
      </c>
      <c r="N208" s="102">
        <f t="shared" si="34"/>
        <v>0</v>
      </c>
      <c r="O208" s="102">
        <f t="shared" si="35"/>
        <v>0</v>
      </c>
    </row>
    <row r="209">
      <c r="A209" s="99">
        <f t="shared" si="25"/>
        <v>43191</v>
      </c>
      <c r="B209" s="101">
        <v>97167.0</v>
      </c>
      <c r="C209" s="101">
        <v>0.0</v>
      </c>
      <c r="D209" s="102">
        <f>'Workforce &amp; Expenses'!I261</f>
        <v>28700</v>
      </c>
      <c r="E209" s="102">
        <f t="shared" si="26"/>
        <v>68467</v>
      </c>
      <c r="F209" s="101">
        <f t="shared" si="27"/>
        <v>97167</v>
      </c>
      <c r="G209" s="102">
        <f>'Workforce &amp; Expenses'!J261</f>
        <v>0</v>
      </c>
      <c r="H209" s="102">
        <f t="shared" si="28"/>
        <v>0</v>
      </c>
      <c r="I209" s="102">
        <f t="shared" si="29"/>
        <v>0</v>
      </c>
      <c r="J209" s="102">
        <f t="shared" si="30"/>
        <v>0</v>
      </c>
      <c r="K209" s="101">
        <f t="shared" si="31"/>
        <v>27387</v>
      </c>
      <c r="L209" s="102">
        <f t="shared" si="32"/>
        <v>23963</v>
      </c>
      <c r="M209" s="102">
        <f t="shared" si="33"/>
        <v>17117</v>
      </c>
      <c r="N209" s="102">
        <f t="shared" si="34"/>
        <v>0</v>
      </c>
      <c r="O209" s="102">
        <f t="shared" si="35"/>
        <v>0</v>
      </c>
    </row>
    <row r="210">
      <c r="A210" s="99">
        <f t="shared" si="25"/>
        <v>43221</v>
      </c>
      <c r="B210" s="101">
        <v>94233.0</v>
      </c>
      <c r="C210" s="101">
        <v>0.0</v>
      </c>
      <c r="D210" s="102">
        <f>'Workforce &amp; Expenses'!I262</f>
        <v>38267</v>
      </c>
      <c r="E210" s="102">
        <f t="shared" si="26"/>
        <v>55966</v>
      </c>
      <c r="F210" s="101">
        <f t="shared" si="27"/>
        <v>94233</v>
      </c>
      <c r="G210" s="102">
        <f>'Workforce &amp; Expenses'!J262</f>
        <v>0</v>
      </c>
      <c r="H210" s="102">
        <f t="shared" si="28"/>
        <v>0</v>
      </c>
      <c r="I210" s="102">
        <f t="shared" si="29"/>
        <v>0</v>
      </c>
      <c r="J210" s="102">
        <f t="shared" si="30"/>
        <v>0</v>
      </c>
      <c r="K210" s="101">
        <f t="shared" si="31"/>
        <v>22386</v>
      </c>
      <c r="L210" s="102">
        <f t="shared" si="32"/>
        <v>19588</v>
      </c>
      <c r="M210" s="102">
        <f t="shared" si="33"/>
        <v>13992</v>
      </c>
      <c r="N210" s="102">
        <f t="shared" si="34"/>
        <v>0</v>
      </c>
      <c r="O210" s="102">
        <f t="shared" si="35"/>
        <v>0</v>
      </c>
    </row>
    <row r="211">
      <c r="A211" s="99">
        <f t="shared" si="25"/>
        <v>43252</v>
      </c>
      <c r="B211" s="101">
        <v>91299.0</v>
      </c>
      <c r="C211" s="101">
        <v>0.0</v>
      </c>
      <c r="D211" s="102">
        <f>'Workforce &amp; Expenses'!I263</f>
        <v>38267</v>
      </c>
      <c r="E211" s="102">
        <f t="shared" si="26"/>
        <v>53032</v>
      </c>
      <c r="F211" s="101">
        <f t="shared" si="27"/>
        <v>91299</v>
      </c>
      <c r="G211" s="102">
        <f>'Workforce &amp; Expenses'!J263</f>
        <v>0</v>
      </c>
      <c r="H211" s="102">
        <f t="shared" si="28"/>
        <v>0</v>
      </c>
      <c r="I211" s="102">
        <f t="shared" si="29"/>
        <v>0</v>
      </c>
      <c r="J211" s="102">
        <f t="shared" si="30"/>
        <v>0</v>
      </c>
      <c r="K211" s="101">
        <f t="shared" si="31"/>
        <v>21213</v>
      </c>
      <c r="L211" s="102">
        <f t="shared" si="32"/>
        <v>18561</v>
      </c>
      <c r="M211" s="102">
        <f t="shared" si="33"/>
        <v>13258</v>
      </c>
      <c r="N211" s="102">
        <f t="shared" si="34"/>
        <v>0</v>
      </c>
      <c r="O211" s="102">
        <f t="shared" si="35"/>
        <v>0</v>
      </c>
    </row>
    <row r="212">
      <c r="A212" s="99">
        <f t="shared" si="25"/>
        <v>43282</v>
      </c>
      <c r="B212" s="101">
        <v>89438.0</v>
      </c>
      <c r="C212" s="101">
        <v>0.0</v>
      </c>
      <c r="D212" s="102">
        <f>'Workforce &amp; Expenses'!I264</f>
        <v>38267</v>
      </c>
      <c r="E212" s="102">
        <f t="shared" si="26"/>
        <v>51171</v>
      </c>
      <c r="F212" s="101">
        <f t="shared" si="27"/>
        <v>89438</v>
      </c>
      <c r="G212" s="102">
        <f>'Workforce &amp; Expenses'!J264</f>
        <v>0</v>
      </c>
      <c r="H212" s="102">
        <f t="shared" si="28"/>
        <v>0</v>
      </c>
      <c r="I212" s="102">
        <f t="shared" si="29"/>
        <v>0</v>
      </c>
      <c r="J212" s="102">
        <f t="shared" si="30"/>
        <v>0</v>
      </c>
      <c r="K212" s="101">
        <f t="shared" si="31"/>
        <v>20468</v>
      </c>
      <c r="L212" s="102">
        <f t="shared" si="32"/>
        <v>17910</v>
      </c>
      <c r="M212" s="102">
        <f t="shared" si="33"/>
        <v>12793</v>
      </c>
      <c r="N212" s="102">
        <f t="shared" si="34"/>
        <v>0</v>
      </c>
      <c r="O212" s="102">
        <f t="shared" si="35"/>
        <v>0</v>
      </c>
    </row>
    <row r="213">
      <c r="A213" s="99">
        <f t="shared" si="25"/>
        <v>43313</v>
      </c>
      <c r="B213" s="101">
        <v>89433.0</v>
      </c>
      <c r="C213" s="101">
        <v>0.0</v>
      </c>
      <c r="D213" s="102">
        <f>'Workforce &amp; Expenses'!I265</f>
        <v>47833</v>
      </c>
      <c r="E213" s="102">
        <f t="shared" si="26"/>
        <v>41600</v>
      </c>
      <c r="F213" s="101">
        <f t="shared" si="27"/>
        <v>89433</v>
      </c>
      <c r="G213" s="102">
        <f>'Workforce &amp; Expenses'!J265</f>
        <v>0</v>
      </c>
      <c r="H213" s="102">
        <f t="shared" si="28"/>
        <v>0</v>
      </c>
      <c r="I213" s="102">
        <f t="shared" si="29"/>
        <v>0</v>
      </c>
      <c r="J213" s="102">
        <f t="shared" si="30"/>
        <v>0</v>
      </c>
      <c r="K213" s="101">
        <f t="shared" si="31"/>
        <v>16640</v>
      </c>
      <c r="L213" s="102">
        <f t="shared" si="32"/>
        <v>14560</v>
      </c>
      <c r="M213" s="102">
        <f t="shared" si="33"/>
        <v>10400</v>
      </c>
      <c r="N213" s="102">
        <f t="shared" si="34"/>
        <v>0</v>
      </c>
      <c r="O213" s="102">
        <f t="shared" si="35"/>
        <v>0</v>
      </c>
    </row>
    <row r="214">
      <c r="A214" s="99">
        <f t="shared" si="25"/>
        <v>43344</v>
      </c>
      <c r="B214" s="101">
        <v>91572.0</v>
      </c>
      <c r="C214" s="101">
        <v>0.0</v>
      </c>
      <c r="D214" s="102">
        <f>'Workforce &amp; Expenses'!I266</f>
        <v>47833</v>
      </c>
      <c r="E214" s="102">
        <f t="shared" si="26"/>
        <v>43739</v>
      </c>
      <c r="F214" s="101">
        <f t="shared" si="27"/>
        <v>91572</v>
      </c>
      <c r="G214" s="102">
        <f>'Workforce &amp; Expenses'!J266</f>
        <v>0</v>
      </c>
      <c r="H214" s="102">
        <f t="shared" si="28"/>
        <v>0</v>
      </c>
      <c r="I214" s="102">
        <f t="shared" si="29"/>
        <v>0</v>
      </c>
      <c r="J214" s="102">
        <f t="shared" si="30"/>
        <v>0</v>
      </c>
      <c r="K214" s="101">
        <f t="shared" si="31"/>
        <v>17496</v>
      </c>
      <c r="L214" s="102">
        <f t="shared" si="32"/>
        <v>15309</v>
      </c>
      <c r="M214" s="102">
        <f t="shared" si="33"/>
        <v>10934</v>
      </c>
      <c r="N214" s="102">
        <f t="shared" si="34"/>
        <v>0</v>
      </c>
      <c r="O214" s="102">
        <f t="shared" si="35"/>
        <v>0</v>
      </c>
    </row>
    <row r="215">
      <c r="A215" s="99">
        <f t="shared" si="25"/>
        <v>43374</v>
      </c>
      <c r="B215" s="101">
        <v>95567.0</v>
      </c>
      <c r="C215" s="101">
        <v>0.0</v>
      </c>
      <c r="D215" s="102">
        <f>'Workforce &amp; Expenses'!I267</f>
        <v>47833</v>
      </c>
      <c r="E215" s="102">
        <f t="shared" si="26"/>
        <v>47734</v>
      </c>
      <c r="F215" s="101">
        <f t="shared" si="27"/>
        <v>95567</v>
      </c>
      <c r="G215" s="102">
        <f>'Workforce &amp; Expenses'!J267</f>
        <v>0</v>
      </c>
      <c r="H215" s="102">
        <f t="shared" si="28"/>
        <v>0</v>
      </c>
      <c r="I215" s="102">
        <f t="shared" si="29"/>
        <v>0</v>
      </c>
      <c r="J215" s="102">
        <f t="shared" si="30"/>
        <v>0</v>
      </c>
      <c r="K215" s="101">
        <f t="shared" si="31"/>
        <v>19094</v>
      </c>
      <c r="L215" s="102">
        <f t="shared" si="32"/>
        <v>16707</v>
      </c>
      <c r="M215" s="102">
        <f t="shared" si="33"/>
        <v>11933</v>
      </c>
      <c r="N215" s="102">
        <f t="shared" si="34"/>
        <v>0</v>
      </c>
      <c r="O215" s="102">
        <f t="shared" si="35"/>
        <v>0</v>
      </c>
    </row>
    <row r="216">
      <c r="A216" s="99">
        <f t="shared" si="25"/>
        <v>43405</v>
      </c>
      <c r="B216" s="101">
        <v>100634.0</v>
      </c>
      <c r="C216" s="101">
        <v>0.0</v>
      </c>
      <c r="D216" s="102">
        <f>'Workforce &amp; Expenses'!I268</f>
        <v>57400</v>
      </c>
      <c r="E216" s="102">
        <f t="shared" si="26"/>
        <v>43234</v>
      </c>
      <c r="F216" s="101">
        <f t="shared" si="27"/>
        <v>100634</v>
      </c>
      <c r="G216" s="102">
        <f>'Workforce &amp; Expenses'!J268</f>
        <v>0</v>
      </c>
      <c r="H216" s="102">
        <f t="shared" si="28"/>
        <v>0</v>
      </c>
      <c r="I216" s="102">
        <f t="shared" si="29"/>
        <v>0</v>
      </c>
      <c r="J216" s="102">
        <f t="shared" si="30"/>
        <v>0</v>
      </c>
      <c r="K216" s="101">
        <f t="shared" si="31"/>
        <v>17294</v>
      </c>
      <c r="L216" s="102">
        <f t="shared" si="32"/>
        <v>15132</v>
      </c>
      <c r="M216" s="102">
        <f t="shared" si="33"/>
        <v>10808</v>
      </c>
      <c r="N216" s="102">
        <f t="shared" si="34"/>
        <v>0</v>
      </c>
      <c r="O216" s="102">
        <f t="shared" si="35"/>
        <v>0</v>
      </c>
    </row>
    <row r="217">
      <c r="A217" s="99">
        <f t="shared" si="25"/>
        <v>43435</v>
      </c>
      <c r="B217" s="101">
        <v>105700.0</v>
      </c>
      <c r="C217" s="101">
        <v>0.0</v>
      </c>
      <c r="D217" s="102">
        <f>'Workforce &amp; Expenses'!I269</f>
        <v>57400</v>
      </c>
      <c r="E217" s="102">
        <f t="shared" si="26"/>
        <v>48300</v>
      </c>
      <c r="F217" s="101">
        <f t="shared" si="27"/>
        <v>105700</v>
      </c>
      <c r="G217" s="102">
        <f>'Workforce &amp; Expenses'!J269</f>
        <v>0</v>
      </c>
      <c r="H217" s="102">
        <f t="shared" si="28"/>
        <v>0</v>
      </c>
      <c r="I217" s="102">
        <f t="shared" si="29"/>
        <v>0</v>
      </c>
      <c r="J217" s="102">
        <f t="shared" si="30"/>
        <v>0</v>
      </c>
      <c r="K217" s="101">
        <f t="shared" si="31"/>
        <v>19320</v>
      </c>
      <c r="L217" s="102">
        <f t="shared" si="32"/>
        <v>16905</v>
      </c>
      <c r="M217" s="102">
        <f t="shared" si="33"/>
        <v>12075</v>
      </c>
      <c r="N217" s="102">
        <f t="shared" si="34"/>
        <v>0</v>
      </c>
      <c r="O217" s="102">
        <f t="shared" si="35"/>
        <v>0</v>
      </c>
    </row>
    <row r="218">
      <c r="A218" s="99">
        <f t="shared" si="25"/>
        <v>43466</v>
      </c>
      <c r="B218" s="101">
        <v>139023.0</v>
      </c>
      <c r="C218" s="101">
        <v>0.0</v>
      </c>
      <c r="D218" s="102">
        <f>'Workforce &amp; Expenses'!I270</f>
        <v>68976</v>
      </c>
      <c r="E218" s="102">
        <f t="shared" si="26"/>
        <v>70047</v>
      </c>
      <c r="F218" s="101">
        <f t="shared" si="27"/>
        <v>139023</v>
      </c>
      <c r="G218" s="102">
        <f>'Workforce &amp; Expenses'!J270</f>
        <v>0</v>
      </c>
      <c r="H218" s="102">
        <f t="shared" si="28"/>
        <v>0</v>
      </c>
      <c r="I218" s="102">
        <f t="shared" si="29"/>
        <v>0</v>
      </c>
      <c r="J218" s="102">
        <f t="shared" si="30"/>
        <v>0</v>
      </c>
      <c r="K218" s="101">
        <f t="shared" si="31"/>
        <v>28019</v>
      </c>
      <c r="L218" s="102">
        <f t="shared" si="32"/>
        <v>24516</v>
      </c>
      <c r="M218" s="102">
        <f t="shared" si="33"/>
        <v>17512</v>
      </c>
      <c r="N218" s="102">
        <f t="shared" si="34"/>
        <v>0</v>
      </c>
      <c r="O218" s="102">
        <f t="shared" si="35"/>
        <v>0</v>
      </c>
    </row>
    <row r="219">
      <c r="A219" s="99">
        <f t="shared" si="25"/>
        <v>43497</v>
      </c>
      <c r="B219" s="101">
        <v>142092.0</v>
      </c>
      <c r="C219" s="101">
        <v>0.0</v>
      </c>
      <c r="D219" s="102">
        <f>'Workforce &amp; Expenses'!I271</f>
        <v>68976</v>
      </c>
      <c r="E219" s="102">
        <f t="shared" si="26"/>
        <v>73116</v>
      </c>
      <c r="F219" s="101">
        <f t="shared" si="27"/>
        <v>142092</v>
      </c>
      <c r="G219" s="102">
        <f>'Workforce &amp; Expenses'!J271</f>
        <v>0</v>
      </c>
      <c r="H219" s="102">
        <f t="shared" si="28"/>
        <v>0</v>
      </c>
      <c r="I219" s="102">
        <f t="shared" si="29"/>
        <v>0</v>
      </c>
      <c r="J219" s="102">
        <f t="shared" si="30"/>
        <v>0</v>
      </c>
      <c r="K219" s="101">
        <f t="shared" si="31"/>
        <v>29246</v>
      </c>
      <c r="L219" s="102">
        <f t="shared" si="32"/>
        <v>25591</v>
      </c>
      <c r="M219" s="102">
        <f t="shared" si="33"/>
        <v>18279</v>
      </c>
      <c r="N219" s="102">
        <f t="shared" si="34"/>
        <v>0</v>
      </c>
      <c r="O219" s="102">
        <f t="shared" si="35"/>
        <v>0</v>
      </c>
    </row>
    <row r="220">
      <c r="A220" s="99">
        <f t="shared" si="25"/>
        <v>43525</v>
      </c>
      <c r="B220" s="101">
        <v>142084.0</v>
      </c>
      <c r="C220" s="101">
        <v>0.0</v>
      </c>
      <c r="D220" s="102">
        <f>'Workforce &amp; Expenses'!I272</f>
        <v>78829</v>
      </c>
      <c r="E220" s="102">
        <f t="shared" si="26"/>
        <v>63255</v>
      </c>
      <c r="F220" s="101">
        <f t="shared" si="27"/>
        <v>142084</v>
      </c>
      <c r="G220" s="102">
        <f>'Workforce &amp; Expenses'!J272</f>
        <v>0</v>
      </c>
      <c r="H220" s="102">
        <f t="shared" si="28"/>
        <v>0</v>
      </c>
      <c r="I220" s="102">
        <f t="shared" si="29"/>
        <v>0</v>
      </c>
      <c r="J220" s="102">
        <f t="shared" si="30"/>
        <v>0</v>
      </c>
      <c r="K220" s="101">
        <f t="shared" si="31"/>
        <v>25302</v>
      </c>
      <c r="L220" s="102">
        <f t="shared" si="32"/>
        <v>22139</v>
      </c>
      <c r="M220" s="102">
        <f t="shared" si="33"/>
        <v>15814</v>
      </c>
      <c r="N220" s="102">
        <f t="shared" si="34"/>
        <v>0</v>
      </c>
      <c r="O220" s="102">
        <f t="shared" si="35"/>
        <v>0</v>
      </c>
    </row>
    <row r="221">
      <c r="A221" s="99">
        <f t="shared" si="25"/>
        <v>43556</v>
      </c>
      <c r="B221" s="101">
        <v>139413.0</v>
      </c>
      <c r="C221" s="101">
        <v>0.0</v>
      </c>
      <c r="D221" s="102">
        <f>'Workforce &amp; Expenses'!I273</f>
        <v>78829</v>
      </c>
      <c r="E221" s="102">
        <f t="shared" si="26"/>
        <v>60584</v>
      </c>
      <c r="F221" s="101">
        <f t="shared" si="27"/>
        <v>139413</v>
      </c>
      <c r="G221" s="102">
        <f>'Workforce &amp; Expenses'!J273</f>
        <v>0</v>
      </c>
      <c r="H221" s="102">
        <f t="shared" si="28"/>
        <v>0</v>
      </c>
      <c r="I221" s="102">
        <f t="shared" si="29"/>
        <v>0</v>
      </c>
      <c r="J221" s="102">
        <f t="shared" si="30"/>
        <v>0</v>
      </c>
      <c r="K221" s="101">
        <f t="shared" si="31"/>
        <v>24234</v>
      </c>
      <c r="L221" s="102">
        <f t="shared" si="32"/>
        <v>21204</v>
      </c>
      <c r="M221" s="102">
        <f t="shared" si="33"/>
        <v>15146</v>
      </c>
      <c r="N221" s="102">
        <f t="shared" si="34"/>
        <v>0</v>
      </c>
      <c r="O221" s="102">
        <f t="shared" si="35"/>
        <v>0</v>
      </c>
    </row>
    <row r="222">
      <c r="A222" s="99">
        <f t="shared" si="25"/>
        <v>43586</v>
      </c>
      <c r="B222" s="101">
        <v>135204.0</v>
      </c>
      <c r="C222" s="101">
        <v>0.0</v>
      </c>
      <c r="D222" s="102">
        <f>'Workforce &amp; Expenses'!I274</f>
        <v>88683</v>
      </c>
      <c r="E222" s="102">
        <f t="shared" si="26"/>
        <v>46521</v>
      </c>
      <c r="F222" s="101">
        <f t="shared" si="27"/>
        <v>135204</v>
      </c>
      <c r="G222" s="102">
        <f>'Workforce &amp; Expenses'!J274</f>
        <v>0</v>
      </c>
      <c r="H222" s="102">
        <f t="shared" si="28"/>
        <v>0</v>
      </c>
      <c r="I222" s="102">
        <f t="shared" si="29"/>
        <v>0</v>
      </c>
      <c r="J222" s="102">
        <f t="shared" si="30"/>
        <v>0</v>
      </c>
      <c r="K222" s="101">
        <f t="shared" si="31"/>
        <v>18608</v>
      </c>
      <c r="L222" s="102">
        <f t="shared" si="32"/>
        <v>16282</v>
      </c>
      <c r="M222" s="102">
        <f t="shared" si="33"/>
        <v>11631</v>
      </c>
      <c r="N222" s="102">
        <f t="shared" si="34"/>
        <v>0</v>
      </c>
      <c r="O222" s="102">
        <f t="shared" si="35"/>
        <v>0</v>
      </c>
    </row>
    <row r="223">
      <c r="A223" s="99">
        <f t="shared" si="25"/>
        <v>43617</v>
      </c>
      <c r="B223" s="101">
        <v>130995.0</v>
      </c>
      <c r="C223" s="101">
        <v>0.0</v>
      </c>
      <c r="D223" s="102">
        <f>'Workforce &amp; Expenses'!I275</f>
        <v>88683</v>
      </c>
      <c r="E223" s="102">
        <f t="shared" si="26"/>
        <v>42312</v>
      </c>
      <c r="F223" s="101">
        <f t="shared" si="27"/>
        <v>130995</v>
      </c>
      <c r="G223" s="102">
        <f>'Workforce &amp; Expenses'!J275</f>
        <v>0</v>
      </c>
      <c r="H223" s="102">
        <f t="shared" si="28"/>
        <v>0</v>
      </c>
      <c r="I223" s="102">
        <f t="shared" si="29"/>
        <v>0</v>
      </c>
      <c r="J223" s="102">
        <f t="shared" si="30"/>
        <v>0</v>
      </c>
      <c r="K223" s="101">
        <f t="shared" si="31"/>
        <v>16925</v>
      </c>
      <c r="L223" s="102">
        <f t="shared" si="32"/>
        <v>14809</v>
      </c>
      <c r="M223" s="102">
        <f t="shared" si="33"/>
        <v>10578</v>
      </c>
      <c r="N223" s="102">
        <f t="shared" si="34"/>
        <v>0</v>
      </c>
      <c r="O223" s="102">
        <f t="shared" si="35"/>
        <v>0</v>
      </c>
    </row>
    <row r="224">
      <c r="A224" s="99">
        <f t="shared" si="25"/>
        <v>43647</v>
      </c>
      <c r="B224" s="101">
        <v>128324.0</v>
      </c>
      <c r="C224" s="101">
        <v>0.0</v>
      </c>
      <c r="D224" s="102">
        <f>'Workforce &amp; Expenses'!I276</f>
        <v>98537</v>
      </c>
      <c r="E224" s="102">
        <f t="shared" si="26"/>
        <v>29787</v>
      </c>
      <c r="F224" s="101">
        <f t="shared" si="27"/>
        <v>128324</v>
      </c>
      <c r="G224" s="102">
        <f>'Workforce &amp; Expenses'!J276</f>
        <v>0</v>
      </c>
      <c r="H224" s="102">
        <f t="shared" si="28"/>
        <v>0</v>
      </c>
      <c r="I224" s="102">
        <f t="shared" si="29"/>
        <v>0</v>
      </c>
      <c r="J224" s="102">
        <f t="shared" si="30"/>
        <v>0</v>
      </c>
      <c r="K224" s="101">
        <f t="shared" si="31"/>
        <v>11915</v>
      </c>
      <c r="L224" s="102">
        <f t="shared" si="32"/>
        <v>10425</v>
      </c>
      <c r="M224" s="102">
        <f t="shared" si="33"/>
        <v>7447</v>
      </c>
      <c r="N224" s="102">
        <f t="shared" si="34"/>
        <v>0</v>
      </c>
      <c r="O224" s="102">
        <f t="shared" si="35"/>
        <v>0</v>
      </c>
    </row>
    <row r="225">
      <c r="A225" s="99">
        <f t="shared" si="25"/>
        <v>43678</v>
      </c>
      <c r="B225" s="101">
        <v>128316.0</v>
      </c>
      <c r="C225" s="101">
        <v>0.0</v>
      </c>
      <c r="D225" s="102">
        <f>'Workforce &amp; Expenses'!I277</f>
        <v>98537</v>
      </c>
      <c r="E225" s="102">
        <f t="shared" si="26"/>
        <v>29779</v>
      </c>
      <c r="F225" s="102">
        <f t="shared" si="27"/>
        <v>128316</v>
      </c>
      <c r="G225" s="102">
        <f>'Workforce &amp; Expenses'!J277</f>
        <v>0</v>
      </c>
      <c r="H225" s="102">
        <f t="shared" si="28"/>
        <v>0</v>
      </c>
      <c r="I225" s="102">
        <f t="shared" si="29"/>
        <v>0</v>
      </c>
      <c r="J225" s="102">
        <f t="shared" si="30"/>
        <v>0</v>
      </c>
      <c r="K225" s="102">
        <f t="shared" si="31"/>
        <v>11912</v>
      </c>
      <c r="L225" s="102">
        <f t="shared" si="32"/>
        <v>10423</v>
      </c>
      <c r="M225" s="102">
        <f t="shared" si="33"/>
        <v>7444</v>
      </c>
      <c r="N225" s="102">
        <f t="shared" si="34"/>
        <v>0</v>
      </c>
      <c r="O225" s="102">
        <f t="shared" si="35"/>
        <v>0</v>
      </c>
    </row>
    <row r="226">
      <c r="A226" s="99">
        <f t="shared" si="25"/>
        <v>43709</v>
      </c>
      <c r="B226" s="101">
        <v>131385.0</v>
      </c>
      <c r="C226" s="101">
        <v>0.0</v>
      </c>
      <c r="D226" s="102">
        <f>'Workforce &amp; Expenses'!I278</f>
        <v>108390</v>
      </c>
      <c r="E226" s="102">
        <f t="shared" si="26"/>
        <v>22995</v>
      </c>
      <c r="F226" s="102">
        <f t="shared" si="27"/>
        <v>131385</v>
      </c>
      <c r="G226" s="102">
        <f>'Workforce &amp; Expenses'!J278</f>
        <v>0</v>
      </c>
      <c r="H226" s="102">
        <f t="shared" si="28"/>
        <v>0</v>
      </c>
      <c r="I226" s="102">
        <f t="shared" si="29"/>
        <v>0</v>
      </c>
      <c r="J226" s="102">
        <f t="shared" si="30"/>
        <v>0</v>
      </c>
      <c r="K226" s="102">
        <f t="shared" si="31"/>
        <v>9198</v>
      </c>
      <c r="L226" s="102">
        <f t="shared" si="32"/>
        <v>8048</v>
      </c>
      <c r="M226" s="102">
        <f t="shared" si="33"/>
        <v>5749</v>
      </c>
      <c r="N226" s="102">
        <f t="shared" si="34"/>
        <v>0</v>
      </c>
      <c r="O226" s="102">
        <f t="shared" si="35"/>
        <v>0</v>
      </c>
    </row>
    <row r="227">
      <c r="A227" s="99">
        <f t="shared" si="25"/>
        <v>43739</v>
      </c>
      <c r="B227" s="101">
        <v>137117.0</v>
      </c>
      <c r="C227" s="101">
        <v>0.0</v>
      </c>
      <c r="D227" s="102">
        <f>'Workforce &amp; Expenses'!I279</f>
        <v>108390</v>
      </c>
      <c r="E227" s="102">
        <f t="shared" si="26"/>
        <v>28727</v>
      </c>
      <c r="F227" s="102">
        <f t="shared" si="27"/>
        <v>137117</v>
      </c>
      <c r="G227" s="102">
        <f>'Workforce &amp; Expenses'!J279</f>
        <v>0</v>
      </c>
      <c r="H227" s="102">
        <f t="shared" si="28"/>
        <v>0</v>
      </c>
      <c r="I227" s="102">
        <f t="shared" si="29"/>
        <v>0</v>
      </c>
      <c r="J227" s="102">
        <f t="shared" si="30"/>
        <v>0</v>
      </c>
      <c r="K227" s="102">
        <f t="shared" si="31"/>
        <v>11491</v>
      </c>
      <c r="L227" s="102">
        <f t="shared" si="32"/>
        <v>10054</v>
      </c>
      <c r="M227" s="102">
        <f t="shared" si="33"/>
        <v>7182</v>
      </c>
      <c r="N227" s="102">
        <f t="shared" si="34"/>
        <v>0</v>
      </c>
      <c r="O227" s="102">
        <f t="shared" si="35"/>
        <v>0</v>
      </c>
    </row>
    <row r="228">
      <c r="A228" s="99">
        <f t="shared" si="25"/>
        <v>43770</v>
      </c>
      <c r="B228" s="101">
        <v>144388.0</v>
      </c>
      <c r="C228" s="101">
        <v>0.0</v>
      </c>
      <c r="D228" s="102">
        <f>'Workforce &amp; Expenses'!I280</f>
        <v>118244</v>
      </c>
      <c r="E228" s="102">
        <f t="shared" si="26"/>
        <v>26144</v>
      </c>
      <c r="F228" s="102">
        <f t="shared" si="27"/>
        <v>144388</v>
      </c>
      <c r="G228" s="102">
        <f>'Workforce &amp; Expenses'!J280</f>
        <v>0</v>
      </c>
      <c r="H228" s="102">
        <f t="shared" si="28"/>
        <v>0</v>
      </c>
      <c r="I228" s="102">
        <f t="shared" si="29"/>
        <v>0</v>
      </c>
      <c r="J228" s="102">
        <f t="shared" si="30"/>
        <v>0</v>
      </c>
      <c r="K228" s="102">
        <f t="shared" si="31"/>
        <v>10458</v>
      </c>
      <c r="L228" s="102">
        <f t="shared" si="32"/>
        <v>9150</v>
      </c>
      <c r="M228" s="102">
        <f t="shared" si="33"/>
        <v>6536</v>
      </c>
      <c r="N228" s="102">
        <f t="shared" si="34"/>
        <v>0</v>
      </c>
      <c r="O228" s="102">
        <f t="shared" si="35"/>
        <v>0</v>
      </c>
    </row>
    <row r="229">
      <c r="A229" s="99">
        <f t="shared" si="25"/>
        <v>43800</v>
      </c>
      <c r="B229" s="101">
        <v>151659.0</v>
      </c>
      <c r="C229" s="101">
        <v>0.0</v>
      </c>
      <c r="D229" s="102">
        <f>'Workforce &amp; Expenses'!I281</f>
        <v>118244</v>
      </c>
      <c r="E229" s="102">
        <f t="shared" si="26"/>
        <v>33415</v>
      </c>
      <c r="F229" s="102">
        <f t="shared" si="27"/>
        <v>151659</v>
      </c>
      <c r="G229" s="102">
        <f>'Workforce &amp; Expenses'!J281</f>
        <v>0</v>
      </c>
      <c r="H229" s="102">
        <f t="shared" si="28"/>
        <v>0</v>
      </c>
      <c r="I229" s="102">
        <f t="shared" si="29"/>
        <v>0</v>
      </c>
      <c r="J229" s="102">
        <f t="shared" si="30"/>
        <v>0</v>
      </c>
      <c r="K229" s="102">
        <f t="shared" si="31"/>
        <v>13366</v>
      </c>
      <c r="L229" s="102">
        <f t="shared" si="32"/>
        <v>11695</v>
      </c>
      <c r="M229" s="102">
        <f t="shared" si="33"/>
        <v>8354</v>
      </c>
      <c r="N229" s="102">
        <f t="shared" si="34"/>
        <v>0</v>
      </c>
      <c r="O229" s="102">
        <f t="shared" si="35"/>
        <v>0</v>
      </c>
    </row>
    <row r="230">
      <c r="A230" s="99">
        <f t="shared" si="25"/>
        <v>43831</v>
      </c>
      <c r="B230" s="101">
        <v>231705.0</v>
      </c>
      <c r="C230" s="101">
        <v>0.0</v>
      </c>
      <c r="D230" s="102">
        <f>'Workforce &amp; Expenses'!I282</f>
        <v>131940</v>
      </c>
      <c r="E230" s="102">
        <f t="shared" si="26"/>
        <v>99765</v>
      </c>
      <c r="F230" s="102">
        <f t="shared" si="27"/>
        <v>231705</v>
      </c>
      <c r="G230" s="102">
        <f>'Workforce &amp; Expenses'!J282</f>
        <v>0</v>
      </c>
      <c r="H230" s="102">
        <f t="shared" si="28"/>
        <v>0</v>
      </c>
      <c r="I230" s="102">
        <f t="shared" si="29"/>
        <v>0</v>
      </c>
      <c r="J230" s="102">
        <f t="shared" si="30"/>
        <v>0</v>
      </c>
      <c r="K230" s="102">
        <f t="shared" si="31"/>
        <v>39906</v>
      </c>
      <c r="L230" s="102">
        <f t="shared" si="32"/>
        <v>34918</v>
      </c>
      <c r="M230" s="102">
        <f t="shared" si="33"/>
        <v>24941</v>
      </c>
      <c r="N230" s="102">
        <f t="shared" si="34"/>
        <v>0</v>
      </c>
      <c r="O230" s="102">
        <f t="shared" si="35"/>
        <v>0</v>
      </c>
    </row>
    <row r="231">
      <c r="A231" s="99">
        <f t="shared" si="25"/>
        <v>43862</v>
      </c>
      <c r="B231" s="101">
        <v>236820.0</v>
      </c>
      <c r="C231" s="101">
        <v>0.0</v>
      </c>
      <c r="D231" s="102">
        <f>'Workforce &amp; Expenses'!I283</f>
        <v>131940</v>
      </c>
      <c r="E231" s="102">
        <f t="shared" si="26"/>
        <v>104880</v>
      </c>
      <c r="F231" s="102">
        <f t="shared" si="27"/>
        <v>236820</v>
      </c>
      <c r="G231" s="102">
        <f>'Workforce &amp; Expenses'!J283</f>
        <v>0</v>
      </c>
      <c r="H231" s="102">
        <f t="shared" si="28"/>
        <v>0</v>
      </c>
      <c r="I231" s="102">
        <f t="shared" si="29"/>
        <v>0</v>
      </c>
      <c r="J231" s="102">
        <f t="shared" si="30"/>
        <v>0</v>
      </c>
      <c r="K231" s="102">
        <f t="shared" si="31"/>
        <v>41952</v>
      </c>
      <c r="L231" s="102">
        <f t="shared" si="32"/>
        <v>36708</v>
      </c>
      <c r="M231" s="102">
        <f t="shared" si="33"/>
        <v>26220</v>
      </c>
      <c r="N231" s="102">
        <f t="shared" si="34"/>
        <v>0</v>
      </c>
      <c r="O231" s="102">
        <f t="shared" si="35"/>
        <v>0</v>
      </c>
    </row>
    <row r="232">
      <c r="A232" s="99">
        <f t="shared" si="25"/>
        <v>43891</v>
      </c>
      <c r="B232" s="101">
        <v>236807.0</v>
      </c>
      <c r="C232" s="101">
        <v>0.0</v>
      </c>
      <c r="D232" s="102">
        <f>'Workforce &amp; Expenses'!I284</f>
        <v>142090</v>
      </c>
      <c r="E232" s="102">
        <f t="shared" si="26"/>
        <v>94717</v>
      </c>
      <c r="F232" s="102">
        <f t="shared" si="27"/>
        <v>236807</v>
      </c>
      <c r="G232" s="102">
        <f>'Workforce &amp; Expenses'!J284</f>
        <v>0</v>
      </c>
      <c r="H232" s="102">
        <f t="shared" si="28"/>
        <v>0</v>
      </c>
      <c r="I232" s="102">
        <f t="shared" si="29"/>
        <v>0</v>
      </c>
      <c r="J232" s="102">
        <f t="shared" si="30"/>
        <v>0</v>
      </c>
      <c r="K232" s="102">
        <f t="shared" si="31"/>
        <v>37887</v>
      </c>
      <c r="L232" s="102">
        <f t="shared" si="32"/>
        <v>33151</v>
      </c>
      <c r="M232" s="102">
        <f t="shared" si="33"/>
        <v>23679</v>
      </c>
      <c r="N232" s="102">
        <f t="shared" si="34"/>
        <v>0</v>
      </c>
      <c r="O232" s="102">
        <f t="shared" si="35"/>
        <v>0</v>
      </c>
    </row>
    <row r="233">
      <c r="A233" s="99">
        <f t="shared" si="25"/>
        <v>43922</v>
      </c>
      <c r="B233" s="101">
        <v>232355.0</v>
      </c>
      <c r="C233" s="101">
        <v>0.0</v>
      </c>
      <c r="D233" s="102">
        <f>'Workforce &amp; Expenses'!I285</f>
        <v>142090</v>
      </c>
      <c r="E233" s="102">
        <f t="shared" si="26"/>
        <v>90265</v>
      </c>
      <c r="F233" s="102">
        <f t="shared" si="27"/>
        <v>232355</v>
      </c>
      <c r="G233" s="102">
        <f>'Workforce &amp; Expenses'!J285</f>
        <v>0</v>
      </c>
      <c r="H233" s="102">
        <f t="shared" si="28"/>
        <v>0</v>
      </c>
      <c r="I233" s="102">
        <f t="shared" si="29"/>
        <v>0</v>
      </c>
      <c r="J233" s="102">
        <f t="shared" si="30"/>
        <v>0</v>
      </c>
      <c r="K233" s="102">
        <f t="shared" si="31"/>
        <v>36106</v>
      </c>
      <c r="L233" s="102">
        <f t="shared" si="32"/>
        <v>31593</v>
      </c>
      <c r="M233" s="102">
        <f t="shared" si="33"/>
        <v>22566</v>
      </c>
      <c r="N233" s="102">
        <f t="shared" si="34"/>
        <v>0</v>
      </c>
      <c r="O233" s="102">
        <f t="shared" si="35"/>
        <v>0</v>
      </c>
    </row>
    <row r="234">
      <c r="A234" s="99">
        <f t="shared" si="25"/>
        <v>43952</v>
      </c>
      <c r="B234" s="101">
        <v>225340.0</v>
      </c>
      <c r="C234" s="101">
        <v>0.0</v>
      </c>
      <c r="D234" s="102">
        <f>'Workforce &amp; Expenses'!I286</f>
        <v>152240</v>
      </c>
      <c r="E234" s="102">
        <f t="shared" si="26"/>
        <v>73100</v>
      </c>
      <c r="F234" s="102">
        <f t="shared" si="27"/>
        <v>225340</v>
      </c>
      <c r="G234" s="102">
        <f>'Workforce &amp; Expenses'!J286</f>
        <v>0</v>
      </c>
      <c r="H234" s="102">
        <f t="shared" si="28"/>
        <v>0</v>
      </c>
      <c r="I234" s="102">
        <f t="shared" si="29"/>
        <v>0</v>
      </c>
      <c r="J234" s="102">
        <f t="shared" si="30"/>
        <v>0</v>
      </c>
      <c r="K234" s="102">
        <f t="shared" si="31"/>
        <v>29240</v>
      </c>
      <c r="L234" s="102">
        <f t="shared" si="32"/>
        <v>25585</v>
      </c>
      <c r="M234" s="102">
        <f t="shared" si="33"/>
        <v>18275</v>
      </c>
      <c r="N234" s="102">
        <f t="shared" si="34"/>
        <v>0</v>
      </c>
      <c r="O234" s="102">
        <f t="shared" si="35"/>
        <v>0</v>
      </c>
    </row>
    <row r="235">
      <c r="A235" s="99">
        <f t="shared" si="25"/>
        <v>43983</v>
      </c>
      <c r="B235" s="101">
        <v>218325.0</v>
      </c>
      <c r="C235" s="101">
        <v>0.0</v>
      </c>
      <c r="D235" s="102">
        <f>'Workforce &amp; Expenses'!I287</f>
        <v>152240</v>
      </c>
      <c r="E235" s="102">
        <f t="shared" si="26"/>
        <v>66085</v>
      </c>
      <c r="F235" s="102">
        <f t="shared" si="27"/>
        <v>218325</v>
      </c>
      <c r="G235" s="102">
        <f>'Workforce &amp; Expenses'!J287</f>
        <v>0</v>
      </c>
      <c r="H235" s="102">
        <f t="shared" si="28"/>
        <v>0</v>
      </c>
      <c r="I235" s="102">
        <f t="shared" si="29"/>
        <v>0</v>
      </c>
      <c r="J235" s="102">
        <f t="shared" si="30"/>
        <v>0</v>
      </c>
      <c r="K235" s="102">
        <f t="shared" si="31"/>
        <v>26434</v>
      </c>
      <c r="L235" s="102">
        <f t="shared" si="32"/>
        <v>23130</v>
      </c>
      <c r="M235" s="102">
        <f t="shared" si="33"/>
        <v>16521</v>
      </c>
      <c r="N235" s="102">
        <f t="shared" si="34"/>
        <v>0</v>
      </c>
      <c r="O235" s="102">
        <f t="shared" si="35"/>
        <v>0</v>
      </c>
    </row>
    <row r="236">
      <c r="A236" s="99">
        <f t="shared" si="25"/>
        <v>44013</v>
      </c>
      <c r="B236" s="101">
        <v>213873.0</v>
      </c>
      <c r="C236" s="101">
        <v>0.0</v>
      </c>
      <c r="D236" s="102">
        <f>'Workforce &amp; Expenses'!I288</f>
        <v>162389</v>
      </c>
      <c r="E236" s="102">
        <f t="shared" si="26"/>
        <v>51484</v>
      </c>
      <c r="F236" s="102">
        <f t="shared" si="27"/>
        <v>213873</v>
      </c>
      <c r="G236" s="102">
        <f>'Workforce &amp; Expenses'!J288</f>
        <v>0</v>
      </c>
      <c r="H236" s="102">
        <f t="shared" si="28"/>
        <v>0</v>
      </c>
      <c r="I236" s="102">
        <f t="shared" si="29"/>
        <v>0</v>
      </c>
      <c r="J236" s="102">
        <f t="shared" si="30"/>
        <v>0</v>
      </c>
      <c r="K236" s="102">
        <f t="shared" si="31"/>
        <v>20594</v>
      </c>
      <c r="L236" s="102">
        <f t="shared" si="32"/>
        <v>18019</v>
      </c>
      <c r="M236" s="102">
        <f t="shared" si="33"/>
        <v>12871</v>
      </c>
      <c r="N236" s="102">
        <f t="shared" si="34"/>
        <v>0</v>
      </c>
      <c r="O236" s="102">
        <f t="shared" si="35"/>
        <v>0</v>
      </c>
    </row>
    <row r="237">
      <c r="A237" s="99">
        <f t="shared" si="25"/>
        <v>44044</v>
      </c>
      <c r="B237" s="101">
        <v>213861.0</v>
      </c>
      <c r="C237" s="101">
        <v>0.0</v>
      </c>
      <c r="D237" s="102">
        <f>'Workforce &amp; Expenses'!I289</f>
        <v>162389</v>
      </c>
      <c r="E237" s="102">
        <f t="shared" si="26"/>
        <v>51472</v>
      </c>
      <c r="F237" s="102">
        <f t="shared" si="27"/>
        <v>213861</v>
      </c>
      <c r="G237" s="102">
        <f>'Workforce &amp; Expenses'!J289</f>
        <v>0</v>
      </c>
      <c r="H237" s="102">
        <f t="shared" si="28"/>
        <v>0</v>
      </c>
      <c r="I237" s="102">
        <f t="shared" si="29"/>
        <v>0</v>
      </c>
      <c r="J237" s="102">
        <f t="shared" si="30"/>
        <v>0</v>
      </c>
      <c r="K237" s="102">
        <f t="shared" si="31"/>
        <v>20589</v>
      </c>
      <c r="L237" s="102">
        <f t="shared" si="32"/>
        <v>18015</v>
      </c>
      <c r="M237" s="102">
        <f t="shared" si="33"/>
        <v>12868</v>
      </c>
      <c r="N237" s="102">
        <f t="shared" si="34"/>
        <v>0</v>
      </c>
      <c r="O237" s="102">
        <f t="shared" si="35"/>
        <v>0</v>
      </c>
    </row>
    <row r="238">
      <c r="A238" s="99">
        <f t="shared" si="25"/>
        <v>44075</v>
      </c>
      <c r="B238" s="101">
        <v>218975.0</v>
      </c>
      <c r="C238" s="101">
        <v>0.0</v>
      </c>
      <c r="D238" s="102">
        <f>'Workforce &amp; Expenses'!I290</f>
        <v>172538</v>
      </c>
      <c r="E238" s="102">
        <f t="shared" si="26"/>
        <v>46437</v>
      </c>
      <c r="F238" s="102">
        <f t="shared" si="27"/>
        <v>218975</v>
      </c>
      <c r="G238" s="102">
        <f>'Workforce &amp; Expenses'!J290</f>
        <v>0</v>
      </c>
      <c r="H238" s="102">
        <f t="shared" si="28"/>
        <v>0</v>
      </c>
      <c r="I238" s="102">
        <f t="shared" si="29"/>
        <v>0</v>
      </c>
      <c r="J238" s="102">
        <f t="shared" si="30"/>
        <v>0</v>
      </c>
      <c r="K238" s="102">
        <f t="shared" si="31"/>
        <v>18575</v>
      </c>
      <c r="L238" s="102">
        <f t="shared" si="32"/>
        <v>16253</v>
      </c>
      <c r="M238" s="102">
        <f t="shared" si="33"/>
        <v>11609</v>
      </c>
      <c r="N238" s="102">
        <f t="shared" si="34"/>
        <v>0</v>
      </c>
      <c r="O238" s="102">
        <f t="shared" si="35"/>
        <v>0</v>
      </c>
    </row>
    <row r="239">
      <c r="A239" s="99">
        <f t="shared" si="25"/>
        <v>44105</v>
      </c>
      <c r="B239" s="101">
        <v>228529.0</v>
      </c>
      <c r="C239" s="101">
        <v>0.0</v>
      </c>
      <c r="D239" s="102">
        <f>'Workforce &amp; Expenses'!I291</f>
        <v>172538</v>
      </c>
      <c r="E239" s="102">
        <f t="shared" si="26"/>
        <v>55991</v>
      </c>
      <c r="F239" s="102">
        <f t="shared" si="27"/>
        <v>228529</v>
      </c>
      <c r="G239" s="102">
        <f>'Workforce &amp; Expenses'!J291</f>
        <v>0</v>
      </c>
      <c r="H239" s="102">
        <f t="shared" si="28"/>
        <v>0</v>
      </c>
      <c r="I239" s="102">
        <f t="shared" si="29"/>
        <v>0</v>
      </c>
      <c r="J239" s="102">
        <f t="shared" si="30"/>
        <v>0</v>
      </c>
      <c r="K239" s="102">
        <f t="shared" si="31"/>
        <v>22396</v>
      </c>
      <c r="L239" s="102">
        <f t="shared" si="32"/>
        <v>19597</v>
      </c>
      <c r="M239" s="102">
        <f t="shared" si="33"/>
        <v>13998</v>
      </c>
      <c r="N239" s="102">
        <f t="shared" si="34"/>
        <v>0</v>
      </c>
      <c r="O239" s="102">
        <f t="shared" si="35"/>
        <v>0</v>
      </c>
    </row>
    <row r="240">
      <c r="A240" s="99">
        <f t="shared" si="25"/>
        <v>44136</v>
      </c>
      <c r="B240" s="101">
        <v>240646.0</v>
      </c>
      <c r="C240" s="101">
        <v>0.0</v>
      </c>
      <c r="D240" s="102">
        <f>'Workforce &amp; Expenses'!I292</f>
        <v>182687</v>
      </c>
      <c r="E240" s="102">
        <f t="shared" si="26"/>
        <v>57959</v>
      </c>
      <c r="F240" s="102">
        <f t="shared" si="27"/>
        <v>240646</v>
      </c>
      <c r="G240" s="102">
        <f>'Workforce &amp; Expenses'!J292</f>
        <v>0</v>
      </c>
      <c r="H240" s="102">
        <f t="shared" si="28"/>
        <v>0</v>
      </c>
      <c r="I240" s="102">
        <f t="shared" si="29"/>
        <v>0</v>
      </c>
      <c r="J240" s="102">
        <f t="shared" si="30"/>
        <v>0</v>
      </c>
      <c r="K240" s="102">
        <f t="shared" si="31"/>
        <v>23184</v>
      </c>
      <c r="L240" s="102">
        <f t="shared" si="32"/>
        <v>20286</v>
      </c>
      <c r="M240" s="102">
        <f t="shared" si="33"/>
        <v>14489</v>
      </c>
      <c r="N240" s="102">
        <f t="shared" si="34"/>
        <v>0</v>
      </c>
      <c r="O240" s="102">
        <f t="shared" si="35"/>
        <v>0</v>
      </c>
    </row>
    <row r="241">
      <c r="A241" s="99">
        <f t="shared" si="25"/>
        <v>44166</v>
      </c>
      <c r="B241" s="101">
        <v>252764.0</v>
      </c>
      <c r="C241" s="101">
        <v>0.0</v>
      </c>
      <c r="D241" s="102">
        <f>'Workforce &amp; Expenses'!I293</f>
        <v>182687</v>
      </c>
      <c r="E241" s="102">
        <f t="shared" si="26"/>
        <v>70077</v>
      </c>
      <c r="F241" s="102">
        <f t="shared" si="27"/>
        <v>252764</v>
      </c>
      <c r="G241" s="102">
        <f>'Workforce &amp; Expenses'!J293</f>
        <v>0</v>
      </c>
      <c r="H241" s="102">
        <f t="shared" si="28"/>
        <v>0</v>
      </c>
      <c r="I241" s="102">
        <f t="shared" si="29"/>
        <v>0</v>
      </c>
      <c r="J241" s="102">
        <f t="shared" si="30"/>
        <v>0</v>
      </c>
      <c r="K241" s="102">
        <f t="shared" si="31"/>
        <v>28031</v>
      </c>
      <c r="L241" s="102">
        <f t="shared" si="32"/>
        <v>24527</v>
      </c>
      <c r="M241" s="102">
        <f t="shared" si="33"/>
        <v>17519</v>
      </c>
      <c r="N241" s="102">
        <f t="shared" si="34"/>
        <v>0</v>
      </c>
      <c r="O241" s="102">
        <f t="shared" si="35"/>
        <v>0</v>
      </c>
    </row>
    <row r="242">
      <c r="A242" s="99">
        <f t="shared" si="25"/>
        <v>44197</v>
      </c>
      <c r="B242" s="101">
        <v>320174.0</v>
      </c>
      <c r="C242" s="101">
        <v>0.0</v>
      </c>
      <c r="D242" s="102">
        <f>'Workforce &amp; Expenses'!I294</f>
        <v>198622</v>
      </c>
      <c r="E242" s="102">
        <f t="shared" si="26"/>
        <v>121552</v>
      </c>
      <c r="F242" s="102">
        <f t="shared" si="27"/>
        <v>320174</v>
      </c>
      <c r="G242" s="102">
        <f>'Workforce &amp; Expenses'!J294</f>
        <v>0</v>
      </c>
      <c r="H242" s="102">
        <f t="shared" si="28"/>
        <v>0</v>
      </c>
      <c r="I242" s="102">
        <f t="shared" si="29"/>
        <v>0</v>
      </c>
      <c r="J242" s="102">
        <f t="shared" si="30"/>
        <v>0</v>
      </c>
      <c r="K242" s="102">
        <f t="shared" si="31"/>
        <v>48621</v>
      </c>
      <c r="L242" s="102">
        <f t="shared" si="32"/>
        <v>42543</v>
      </c>
      <c r="M242" s="102">
        <f t="shared" si="33"/>
        <v>30388</v>
      </c>
      <c r="N242" s="102">
        <f t="shared" si="34"/>
        <v>0</v>
      </c>
      <c r="O242" s="102">
        <f t="shared" si="35"/>
        <v>0</v>
      </c>
    </row>
    <row r="243">
      <c r="A243" s="99">
        <f t="shared" si="25"/>
        <v>44228</v>
      </c>
      <c r="B243" s="101">
        <v>327242.0</v>
      </c>
      <c r="C243" s="101">
        <v>0.0</v>
      </c>
      <c r="D243" s="102">
        <f>'Workforce &amp; Expenses'!I295</f>
        <v>198622</v>
      </c>
      <c r="E243" s="102">
        <f t="shared" si="26"/>
        <v>128620</v>
      </c>
      <c r="F243" s="102">
        <f t="shared" si="27"/>
        <v>327242</v>
      </c>
      <c r="G243" s="102">
        <f>'Workforce &amp; Expenses'!J295</f>
        <v>0</v>
      </c>
      <c r="H243" s="102">
        <f t="shared" si="28"/>
        <v>0</v>
      </c>
      <c r="I243" s="102">
        <f t="shared" si="29"/>
        <v>0</v>
      </c>
      <c r="J243" s="102">
        <f t="shared" si="30"/>
        <v>0</v>
      </c>
      <c r="K243" s="102">
        <f t="shared" si="31"/>
        <v>51448</v>
      </c>
      <c r="L243" s="102">
        <f t="shared" si="32"/>
        <v>45017</v>
      </c>
      <c r="M243" s="102">
        <f t="shared" si="33"/>
        <v>32155</v>
      </c>
      <c r="N243" s="102">
        <f t="shared" si="34"/>
        <v>0</v>
      </c>
      <c r="O243" s="102">
        <f t="shared" si="35"/>
        <v>0</v>
      </c>
    </row>
    <row r="244">
      <c r="A244" s="99">
        <f t="shared" si="25"/>
        <v>44256</v>
      </c>
      <c r="B244" s="101">
        <v>327224.0</v>
      </c>
      <c r="C244" s="101">
        <v>0.0</v>
      </c>
      <c r="D244" s="102">
        <f>'Workforce &amp; Expenses'!I296</f>
        <v>209075</v>
      </c>
      <c r="E244" s="102">
        <f t="shared" si="26"/>
        <v>118149</v>
      </c>
      <c r="F244" s="102">
        <f t="shared" si="27"/>
        <v>327224</v>
      </c>
      <c r="G244" s="102">
        <f>'Workforce &amp; Expenses'!J296</f>
        <v>0</v>
      </c>
      <c r="H244" s="102">
        <f t="shared" si="28"/>
        <v>0</v>
      </c>
      <c r="I244" s="102">
        <f t="shared" si="29"/>
        <v>0</v>
      </c>
      <c r="J244" s="102">
        <f t="shared" si="30"/>
        <v>0</v>
      </c>
      <c r="K244" s="102">
        <f t="shared" si="31"/>
        <v>47260</v>
      </c>
      <c r="L244" s="102">
        <f t="shared" si="32"/>
        <v>41352</v>
      </c>
      <c r="M244" s="102">
        <f t="shared" si="33"/>
        <v>29537</v>
      </c>
      <c r="N244" s="102">
        <f t="shared" si="34"/>
        <v>0</v>
      </c>
      <c r="O244" s="102">
        <f t="shared" si="35"/>
        <v>0</v>
      </c>
    </row>
    <row r="245">
      <c r="A245" s="99">
        <f t="shared" si="25"/>
        <v>44287</v>
      </c>
      <c r="B245" s="101">
        <v>321073.0</v>
      </c>
      <c r="C245" s="101">
        <v>0.0</v>
      </c>
      <c r="D245" s="102">
        <f>'Workforce &amp; Expenses'!I297</f>
        <v>209075</v>
      </c>
      <c r="E245" s="102">
        <f t="shared" si="26"/>
        <v>111998</v>
      </c>
      <c r="F245" s="102">
        <f t="shared" si="27"/>
        <v>321073</v>
      </c>
      <c r="G245" s="102">
        <f>'Workforce &amp; Expenses'!J297</f>
        <v>0</v>
      </c>
      <c r="H245" s="102">
        <f t="shared" si="28"/>
        <v>0</v>
      </c>
      <c r="I245" s="102">
        <f t="shared" si="29"/>
        <v>0</v>
      </c>
      <c r="J245" s="102">
        <f t="shared" si="30"/>
        <v>0</v>
      </c>
      <c r="K245" s="102">
        <f t="shared" si="31"/>
        <v>44799</v>
      </c>
      <c r="L245" s="102">
        <f t="shared" si="32"/>
        <v>39199</v>
      </c>
      <c r="M245" s="102">
        <f t="shared" si="33"/>
        <v>28000</v>
      </c>
      <c r="N245" s="102">
        <f t="shared" si="34"/>
        <v>0</v>
      </c>
      <c r="O245" s="102">
        <f t="shared" si="35"/>
        <v>0</v>
      </c>
    </row>
    <row r="246">
      <c r="A246" s="99">
        <f t="shared" si="25"/>
        <v>44317</v>
      </c>
      <c r="B246" s="101">
        <v>311379.0</v>
      </c>
      <c r="C246" s="101">
        <v>0.0</v>
      </c>
      <c r="D246" s="102">
        <f>'Workforce &amp; Expenses'!I298</f>
        <v>219530</v>
      </c>
      <c r="E246" s="102">
        <f t="shared" si="26"/>
        <v>91849</v>
      </c>
      <c r="F246" s="102">
        <f t="shared" si="27"/>
        <v>311379</v>
      </c>
      <c r="G246" s="102">
        <f>'Workforce &amp; Expenses'!J298</f>
        <v>0</v>
      </c>
      <c r="H246" s="102">
        <f t="shared" si="28"/>
        <v>0</v>
      </c>
      <c r="I246" s="102">
        <f t="shared" si="29"/>
        <v>0</v>
      </c>
      <c r="J246" s="102">
        <f t="shared" si="30"/>
        <v>0</v>
      </c>
      <c r="K246" s="102">
        <f t="shared" si="31"/>
        <v>36740</v>
      </c>
      <c r="L246" s="102">
        <f t="shared" si="32"/>
        <v>32147</v>
      </c>
      <c r="M246" s="102">
        <f t="shared" si="33"/>
        <v>22962</v>
      </c>
      <c r="N246" s="102">
        <f t="shared" si="34"/>
        <v>0</v>
      </c>
      <c r="O246" s="102">
        <f t="shared" si="35"/>
        <v>0</v>
      </c>
    </row>
    <row r="247">
      <c r="A247" s="99">
        <f t="shared" si="25"/>
        <v>44348</v>
      </c>
      <c r="B247" s="101">
        <v>301685.0</v>
      </c>
      <c r="C247" s="101">
        <v>0.0</v>
      </c>
      <c r="D247" s="102">
        <f>'Workforce &amp; Expenses'!I299</f>
        <v>229983</v>
      </c>
      <c r="E247" s="102">
        <f t="shared" si="26"/>
        <v>71702</v>
      </c>
      <c r="F247" s="102">
        <f t="shared" si="27"/>
        <v>301685</v>
      </c>
      <c r="G247" s="102">
        <f>'Workforce &amp; Expenses'!J299</f>
        <v>0</v>
      </c>
      <c r="H247" s="102">
        <f t="shared" si="28"/>
        <v>0</v>
      </c>
      <c r="I247" s="102">
        <f t="shared" si="29"/>
        <v>0</v>
      </c>
      <c r="J247" s="102">
        <f t="shared" si="30"/>
        <v>0</v>
      </c>
      <c r="K247" s="102">
        <f t="shared" si="31"/>
        <v>28681</v>
      </c>
      <c r="L247" s="102">
        <f t="shared" si="32"/>
        <v>25096</v>
      </c>
      <c r="M247" s="102">
        <f t="shared" si="33"/>
        <v>17925</v>
      </c>
      <c r="N247" s="102">
        <f t="shared" si="34"/>
        <v>0</v>
      </c>
      <c r="O247" s="102">
        <f t="shared" si="35"/>
        <v>0</v>
      </c>
    </row>
    <row r="248">
      <c r="A248" s="99">
        <f t="shared" si="25"/>
        <v>44378</v>
      </c>
      <c r="B248" s="101">
        <v>295534.0</v>
      </c>
      <c r="C248" s="101">
        <v>0.0</v>
      </c>
      <c r="D248" s="102">
        <f>'Workforce &amp; Expenses'!I300</f>
        <v>229983</v>
      </c>
      <c r="E248" s="102">
        <f t="shared" si="26"/>
        <v>65551</v>
      </c>
      <c r="F248" s="102">
        <f t="shared" si="27"/>
        <v>295534</v>
      </c>
      <c r="G248" s="102">
        <f>'Workforce &amp; Expenses'!J300</f>
        <v>0</v>
      </c>
      <c r="H248" s="102">
        <f t="shared" si="28"/>
        <v>0</v>
      </c>
      <c r="I248" s="102">
        <f t="shared" si="29"/>
        <v>0</v>
      </c>
      <c r="J248" s="102">
        <f t="shared" si="30"/>
        <v>0</v>
      </c>
      <c r="K248" s="102">
        <f t="shared" si="31"/>
        <v>26220</v>
      </c>
      <c r="L248" s="102">
        <f t="shared" si="32"/>
        <v>22943</v>
      </c>
      <c r="M248" s="102">
        <f t="shared" si="33"/>
        <v>16388</v>
      </c>
      <c r="N248" s="102">
        <f t="shared" si="34"/>
        <v>0</v>
      </c>
      <c r="O248" s="102">
        <f t="shared" si="35"/>
        <v>0</v>
      </c>
    </row>
    <row r="249">
      <c r="A249" s="99">
        <f t="shared" si="25"/>
        <v>44409</v>
      </c>
      <c r="B249" s="101">
        <v>295516.0</v>
      </c>
      <c r="C249" s="101">
        <v>0.0</v>
      </c>
      <c r="D249" s="102">
        <f>'Workforce &amp; Expenses'!I301</f>
        <v>240437</v>
      </c>
      <c r="E249" s="102">
        <f t="shared" si="26"/>
        <v>55079</v>
      </c>
      <c r="F249" s="102">
        <f t="shared" si="27"/>
        <v>295516</v>
      </c>
      <c r="G249" s="102">
        <f>'Workforce &amp; Expenses'!J301</f>
        <v>0</v>
      </c>
      <c r="H249" s="102">
        <f t="shared" si="28"/>
        <v>0</v>
      </c>
      <c r="I249" s="102">
        <f t="shared" si="29"/>
        <v>0</v>
      </c>
      <c r="J249" s="102">
        <f t="shared" si="30"/>
        <v>0</v>
      </c>
      <c r="K249" s="102">
        <f t="shared" si="31"/>
        <v>22032</v>
      </c>
      <c r="L249" s="102">
        <f t="shared" si="32"/>
        <v>19278</v>
      </c>
      <c r="M249" s="102">
        <f t="shared" si="33"/>
        <v>13769</v>
      </c>
      <c r="N249" s="102">
        <f t="shared" si="34"/>
        <v>0</v>
      </c>
      <c r="O249" s="102">
        <f t="shared" si="35"/>
        <v>0</v>
      </c>
    </row>
    <row r="250">
      <c r="A250" s="99">
        <f t="shared" si="25"/>
        <v>44440</v>
      </c>
      <c r="B250" s="101">
        <v>302584.0</v>
      </c>
      <c r="C250" s="101">
        <v>0.0</v>
      </c>
      <c r="D250" s="102">
        <f>'Workforce &amp; Expenses'!I302</f>
        <v>240437</v>
      </c>
      <c r="E250" s="102">
        <f t="shared" si="26"/>
        <v>62147</v>
      </c>
      <c r="F250" s="102">
        <f t="shared" si="27"/>
        <v>302584</v>
      </c>
      <c r="G250" s="102">
        <f>'Workforce &amp; Expenses'!J302</f>
        <v>0</v>
      </c>
      <c r="H250" s="102">
        <f t="shared" si="28"/>
        <v>0</v>
      </c>
      <c r="I250" s="102">
        <f t="shared" si="29"/>
        <v>0</v>
      </c>
      <c r="J250" s="102">
        <f t="shared" si="30"/>
        <v>0</v>
      </c>
      <c r="K250" s="102">
        <f t="shared" si="31"/>
        <v>24859</v>
      </c>
      <c r="L250" s="102">
        <f t="shared" si="32"/>
        <v>21751</v>
      </c>
      <c r="M250" s="102">
        <f t="shared" si="33"/>
        <v>15537</v>
      </c>
      <c r="N250" s="102">
        <f t="shared" si="34"/>
        <v>0</v>
      </c>
      <c r="O250" s="102">
        <f t="shared" si="35"/>
        <v>0</v>
      </c>
    </row>
    <row r="251">
      <c r="A251" s="99">
        <f t="shared" si="25"/>
        <v>44470</v>
      </c>
      <c r="B251" s="101">
        <v>315785.0</v>
      </c>
      <c r="C251" s="101">
        <v>0.0</v>
      </c>
      <c r="D251" s="102">
        <f>'Workforce &amp; Expenses'!I303</f>
        <v>250890</v>
      </c>
      <c r="E251" s="102">
        <f t="shared" si="26"/>
        <v>64895</v>
      </c>
      <c r="F251" s="102">
        <f t="shared" si="27"/>
        <v>315785</v>
      </c>
      <c r="G251" s="102">
        <f>'Workforce &amp; Expenses'!J303</f>
        <v>0</v>
      </c>
      <c r="H251" s="102">
        <f t="shared" si="28"/>
        <v>0</v>
      </c>
      <c r="I251" s="102">
        <f t="shared" si="29"/>
        <v>0</v>
      </c>
      <c r="J251" s="102">
        <f t="shared" si="30"/>
        <v>0</v>
      </c>
      <c r="K251" s="102">
        <f t="shared" si="31"/>
        <v>25958</v>
      </c>
      <c r="L251" s="102">
        <f t="shared" si="32"/>
        <v>22713</v>
      </c>
      <c r="M251" s="102">
        <f t="shared" si="33"/>
        <v>16224</v>
      </c>
      <c r="N251" s="102">
        <f t="shared" si="34"/>
        <v>0</v>
      </c>
      <c r="O251" s="102">
        <f t="shared" si="35"/>
        <v>0</v>
      </c>
    </row>
    <row r="252">
      <c r="A252" s="99">
        <f t="shared" si="25"/>
        <v>44501</v>
      </c>
      <c r="B252" s="101">
        <v>332529.0</v>
      </c>
      <c r="C252" s="101">
        <v>0.0</v>
      </c>
      <c r="D252" s="102">
        <f>'Workforce &amp; Expenses'!I304</f>
        <v>250890</v>
      </c>
      <c r="E252" s="102">
        <f t="shared" si="26"/>
        <v>81639</v>
      </c>
      <c r="F252" s="102">
        <f t="shared" si="27"/>
        <v>332529</v>
      </c>
      <c r="G252" s="102">
        <f>'Workforce &amp; Expenses'!J304</f>
        <v>0</v>
      </c>
      <c r="H252" s="102">
        <f t="shared" si="28"/>
        <v>0</v>
      </c>
      <c r="I252" s="102">
        <f t="shared" si="29"/>
        <v>0</v>
      </c>
      <c r="J252" s="102">
        <f t="shared" si="30"/>
        <v>0</v>
      </c>
      <c r="K252" s="102">
        <f t="shared" si="31"/>
        <v>32656</v>
      </c>
      <c r="L252" s="102">
        <f t="shared" si="32"/>
        <v>28574</v>
      </c>
      <c r="M252" s="102">
        <f t="shared" si="33"/>
        <v>20409</v>
      </c>
      <c r="N252" s="102">
        <f t="shared" si="34"/>
        <v>0</v>
      </c>
      <c r="O252" s="102">
        <f t="shared" si="35"/>
        <v>0</v>
      </c>
    </row>
    <row r="253">
      <c r="A253" s="99">
        <f t="shared" si="25"/>
        <v>44531</v>
      </c>
      <c r="B253" s="101">
        <v>349275.0</v>
      </c>
      <c r="C253" s="101">
        <v>0.0</v>
      </c>
      <c r="D253" s="102">
        <f>'Workforce &amp; Expenses'!I305</f>
        <v>261345</v>
      </c>
      <c r="E253" s="102">
        <f t="shared" si="26"/>
        <v>87930</v>
      </c>
      <c r="F253" s="102">
        <f t="shared" si="27"/>
        <v>349275</v>
      </c>
      <c r="G253" s="102">
        <f>'Workforce &amp; Expenses'!J305</f>
        <v>0</v>
      </c>
      <c r="H253" s="102">
        <f t="shared" si="28"/>
        <v>0</v>
      </c>
      <c r="I253" s="102">
        <f t="shared" si="29"/>
        <v>0</v>
      </c>
      <c r="J253" s="102">
        <f t="shared" si="30"/>
        <v>0</v>
      </c>
      <c r="K253" s="102">
        <f t="shared" si="31"/>
        <v>35172</v>
      </c>
      <c r="L253" s="102">
        <f t="shared" si="32"/>
        <v>30776</v>
      </c>
      <c r="M253" s="102">
        <f t="shared" si="33"/>
        <v>21982</v>
      </c>
      <c r="N253" s="102">
        <f t="shared" si="34"/>
        <v>0</v>
      </c>
      <c r="O253" s="102">
        <f t="shared" si="35"/>
        <v>0</v>
      </c>
    </row>
    <row r="254">
      <c r="A254" s="99">
        <f t="shared" si="25"/>
        <v>44562</v>
      </c>
      <c r="B254" s="101">
        <v>1074268.0</v>
      </c>
      <c r="C254" s="101">
        <v>189577.0</v>
      </c>
      <c r="D254" s="102">
        <f>'Workforce &amp; Expenses'!I306</f>
        <v>193902</v>
      </c>
      <c r="E254" s="102">
        <f t="shared" si="26"/>
        <v>880366</v>
      </c>
      <c r="F254" s="102">
        <f t="shared" si="27"/>
        <v>1074268</v>
      </c>
      <c r="G254" s="102">
        <f>'Workforce &amp; Expenses'!J306</f>
        <v>61232</v>
      </c>
      <c r="H254" s="102">
        <f t="shared" si="28"/>
        <v>128345</v>
      </c>
      <c r="I254" s="102">
        <f t="shared" si="29"/>
        <v>189577</v>
      </c>
      <c r="J254" s="102">
        <f t="shared" si="30"/>
        <v>0</v>
      </c>
      <c r="K254" s="102">
        <f t="shared" si="31"/>
        <v>352146</v>
      </c>
      <c r="L254" s="102">
        <f t="shared" si="32"/>
        <v>308128</v>
      </c>
      <c r="M254" s="102">
        <f t="shared" si="33"/>
        <v>220092</v>
      </c>
      <c r="N254" s="102">
        <f t="shared" si="34"/>
        <v>77007</v>
      </c>
      <c r="O254" s="102">
        <f t="shared" si="35"/>
        <v>51338</v>
      </c>
    </row>
    <row r="255">
      <c r="A255" s="99">
        <f t="shared" si="25"/>
        <v>44593</v>
      </c>
      <c r="B255" s="101">
        <v>1097982.0</v>
      </c>
      <c r="C255" s="101">
        <v>193762.0</v>
      </c>
      <c r="D255" s="102">
        <f>'Workforce &amp; Expenses'!I307</f>
        <v>220647</v>
      </c>
      <c r="E255" s="102">
        <f t="shared" si="26"/>
        <v>877335</v>
      </c>
      <c r="F255" s="102">
        <f t="shared" si="27"/>
        <v>1097982</v>
      </c>
      <c r="G255" s="102">
        <f>'Workforce &amp; Expenses'!J307</f>
        <v>69678</v>
      </c>
      <c r="H255" s="102">
        <f t="shared" si="28"/>
        <v>124084</v>
      </c>
      <c r="I255" s="102">
        <f t="shared" si="29"/>
        <v>193762</v>
      </c>
      <c r="J255" s="102">
        <f t="shared" si="30"/>
        <v>0</v>
      </c>
      <c r="K255" s="102">
        <f t="shared" si="31"/>
        <v>350934</v>
      </c>
      <c r="L255" s="102">
        <f t="shared" si="32"/>
        <v>307067</v>
      </c>
      <c r="M255" s="102">
        <f t="shared" si="33"/>
        <v>219334</v>
      </c>
      <c r="N255" s="102">
        <f t="shared" si="34"/>
        <v>74450</v>
      </c>
      <c r="O255" s="102">
        <f t="shared" si="35"/>
        <v>49634</v>
      </c>
    </row>
    <row r="256">
      <c r="A256" s="99">
        <f t="shared" si="25"/>
        <v>44621</v>
      </c>
      <c r="B256" s="101">
        <v>1097923.0</v>
      </c>
      <c r="C256" s="101">
        <v>193751.0</v>
      </c>
      <c r="D256" s="102">
        <f>'Workforce &amp; Expenses'!I308</f>
        <v>254078</v>
      </c>
      <c r="E256" s="102">
        <f t="shared" si="26"/>
        <v>843845</v>
      </c>
      <c r="F256" s="102">
        <f t="shared" si="27"/>
        <v>1097923</v>
      </c>
      <c r="G256" s="102">
        <f>'Workforce &amp; Expenses'!J308</f>
        <v>80235</v>
      </c>
      <c r="H256" s="102">
        <f t="shared" si="28"/>
        <v>113516</v>
      </c>
      <c r="I256" s="102">
        <f t="shared" si="29"/>
        <v>193751</v>
      </c>
      <c r="J256" s="102">
        <f t="shared" si="30"/>
        <v>0</v>
      </c>
      <c r="K256" s="102">
        <f t="shared" si="31"/>
        <v>337538</v>
      </c>
      <c r="L256" s="102">
        <f t="shared" si="32"/>
        <v>295346</v>
      </c>
      <c r="M256" s="102">
        <f t="shared" si="33"/>
        <v>210961</v>
      </c>
      <c r="N256" s="102">
        <f t="shared" si="34"/>
        <v>68110</v>
      </c>
      <c r="O256" s="102">
        <f t="shared" si="35"/>
        <v>45406</v>
      </c>
    </row>
    <row r="257">
      <c r="A257" s="99">
        <f t="shared" si="25"/>
        <v>44652</v>
      </c>
      <c r="B257" s="101">
        <v>1077284.0</v>
      </c>
      <c r="C257" s="101">
        <v>190109.0</v>
      </c>
      <c r="D257" s="102">
        <f>'Workforce &amp; Expenses'!I309</f>
        <v>280824</v>
      </c>
      <c r="E257" s="102">
        <f t="shared" si="26"/>
        <v>796460</v>
      </c>
      <c r="F257" s="102">
        <f t="shared" si="27"/>
        <v>1077284</v>
      </c>
      <c r="G257" s="102">
        <f>'Workforce &amp; Expenses'!J309</f>
        <v>88681</v>
      </c>
      <c r="H257" s="102">
        <f t="shared" si="28"/>
        <v>101428</v>
      </c>
      <c r="I257" s="102">
        <f t="shared" si="29"/>
        <v>190109</v>
      </c>
      <c r="J257" s="102">
        <f t="shared" si="30"/>
        <v>0</v>
      </c>
      <c r="K257" s="102">
        <f t="shared" si="31"/>
        <v>318584</v>
      </c>
      <c r="L257" s="102">
        <f t="shared" si="32"/>
        <v>278761</v>
      </c>
      <c r="M257" s="102">
        <f t="shared" si="33"/>
        <v>199115</v>
      </c>
      <c r="N257" s="102">
        <f t="shared" si="34"/>
        <v>60857</v>
      </c>
      <c r="O257" s="102">
        <f t="shared" si="35"/>
        <v>40571</v>
      </c>
    </row>
    <row r="258">
      <c r="A258" s="99">
        <f t="shared" si="25"/>
        <v>44682</v>
      </c>
      <c r="B258" s="101">
        <v>1044759.0</v>
      </c>
      <c r="C258" s="101">
        <v>184369.0</v>
      </c>
      <c r="D258" s="102">
        <f>'Workforce &amp; Expenses'!I310</f>
        <v>307570</v>
      </c>
      <c r="E258" s="102">
        <f t="shared" si="26"/>
        <v>737189</v>
      </c>
      <c r="F258" s="102">
        <f t="shared" si="27"/>
        <v>1044759</v>
      </c>
      <c r="G258" s="102">
        <f>'Workforce &amp; Expenses'!J310</f>
        <v>97127</v>
      </c>
      <c r="H258" s="102">
        <f t="shared" si="28"/>
        <v>87242</v>
      </c>
      <c r="I258" s="102">
        <f t="shared" si="29"/>
        <v>184369</v>
      </c>
      <c r="J258" s="102">
        <f t="shared" si="30"/>
        <v>0</v>
      </c>
      <c r="K258" s="102">
        <f t="shared" si="31"/>
        <v>294876</v>
      </c>
      <c r="L258" s="102">
        <f t="shared" si="32"/>
        <v>258016</v>
      </c>
      <c r="M258" s="102">
        <f t="shared" si="33"/>
        <v>184297</v>
      </c>
      <c r="N258" s="102">
        <f t="shared" si="34"/>
        <v>52345</v>
      </c>
      <c r="O258" s="102">
        <f t="shared" si="35"/>
        <v>34897</v>
      </c>
    </row>
    <row r="259">
      <c r="A259" s="99">
        <f t="shared" si="25"/>
        <v>44713</v>
      </c>
      <c r="B259" s="101">
        <v>1012234.0</v>
      </c>
      <c r="C259" s="101">
        <v>178629.0</v>
      </c>
      <c r="D259" s="102">
        <f>'Workforce &amp; Expenses'!I311</f>
        <v>334314</v>
      </c>
      <c r="E259" s="102">
        <f t="shared" si="26"/>
        <v>677920</v>
      </c>
      <c r="F259" s="102">
        <f t="shared" si="27"/>
        <v>1012234</v>
      </c>
      <c r="G259" s="102">
        <f>'Workforce &amp; Expenses'!J311</f>
        <v>105573</v>
      </c>
      <c r="H259" s="102">
        <f t="shared" si="28"/>
        <v>73056</v>
      </c>
      <c r="I259" s="102">
        <f t="shared" si="29"/>
        <v>178629</v>
      </c>
      <c r="J259" s="102">
        <f t="shared" si="30"/>
        <v>0</v>
      </c>
      <c r="K259" s="102">
        <f t="shared" si="31"/>
        <v>271168</v>
      </c>
      <c r="L259" s="102">
        <f t="shared" si="32"/>
        <v>237272</v>
      </c>
      <c r="M259" s="102">
        <f t="shared" si="33"/>
        <v>169480</v>
      </c>
      <c r="N259" s="102">
        <f t="shared" si="34"/>
        <v>43834</v>
      </c>
      <c r="O259" s="102">
        <f t="shared" si="35"/>
        <v>29222</v>
      </c>
    </row>
    <row r="260">
      <c r="A260" s="99">
        <f t="shared" si="25"/>
        <v>44743</v>
      </c>
      <c r="B260" s="101">
        <v>991595.0</v>
      </c>
      <c r="C260" s="101">
        <v>174987.0</v>
      </c>
      <c r="D260" s="102">
        <f>'Workforce &amp; Expenses'!I312</f>
        <v>361059</v>
      </c>
      <c r="E260" s="102">
        <f t="shared" si="26"/>
        <v>630536</v>
      </c>
      <c r="F260" s="102">
        <f t="shared" si="27"/>
        <v>991595</v>
      </c>
      <c r="G260" s="102">
        <f>'Workforce &amp; Expenses'!J312</f>
        <v>114018</v>
      </c>
      <c r="H260" s="102">
        <f t="shared" si="28"/>
        <v>60969</v>
      </c>
      <c r="I260" s="102">
        <f t="shared" si="29"/>
        <v>174987</v>
      </c>
      <c r="J260" s="102">
        <f t="shared" si="30"/>
        <v>0</v>
      </c>
      <c r="K260" s="102">
        <f t="shared" si="31"/>
        <v>252214</v>
      </c>
      <c r="L260" s="102">
        <f t="shared" si="32"/>
        <v>220688</v>
      </c>
      <c r="M260" s="102">
        <f t="shared" si="33"/>
        <v>157634</v>
      </c>
      <c r="N260" s="102">
        <f t="shared" si="34"/>
        <v>36581</v>
      </c>
      <c r="O260" s="102">
        <f t="shared" si="35"/>
        <v>24388</v>
      </c>
    </row>
    <row r="261">
      <c r="A261" s="99">
        <f t="shared" si="25"/>
        <v>44774</v>
      </c>
      <c r="B261" s="101">
        <v>991535.0</v>
      </c>
      <c r="C261" s="101">
        <v>174977.0</v>
      </c>
      <c r="D261" s="102">
        <f>'Workforce &amp; Expenses'!I313</f>
        <v>387804</v>
      </c>
      <c r="E261" s="102">
        <f t="shared" si="26"/>
        <v>603731</v>
      </c>
      <c r="F261" s="102">
        <f t="shared" si="27"/>
        <v>991535</v>
      </c>
      <c r="G261" s="102">
        <f>'Workforce &amp; Expenses'!J313</f>
        <v>122464</v>
      </c>
      <c r="H261" s="102">
        <f t="shared" si="28"/>
        <v>52513</v>
      </c>
      <c r="I261" s="102">
        <f t="shared" si="29"/>
        <v>174977</v>
      </c>
      <c r="J261" s="102">
        <f t="shared" si="30"/>
        <v>0</v>
      </c>
      <c r="K261" s="102">
        <f t="shared" si="31"/>
        <v>241492</v>
      </c>
      <c r="L261" s="102">
        <f t="shared" si="32"/>
        <v>211306</v>
      </c>
      <c r="M261" s="102">
        <f t="shared" si="33"/>
        <v>150933</v>
      </c>
      <c r="N261" s="102">
        <f t="shared" si="34"/>
        <v>31508</v>
      </c>
      <c r="O261" s="102">
        <f t="shared" si="35"/>
        <v>21005</v>
      </c>
    </row>
    <row r="262">
      <c r="A262" s="99">
        <f t="shared" si="25"/>
        <v>44805</v>
      </c>
      <c r="B262" s="101">
        <v>1015249.0</v>
      </c>
      <c r="C262" s="101">
        <v>179162.0</v>
      </c>
      <c r="D262" s="102">
        <f>'Workforce &amp; Expenses'!I314</f>
        <v>421235</v>
      </c>
      <c r="E262" s="102">
        <f t="shared" si="26"/>
        <v>594014</v>
      </c>
      <c r="F262" s="102">
        <f t="shared" si="27"/>
        <v>1015249</v>
      </c>
      <c r="G262" s="102">
        <f>'Workforce &amp; Expenses'!J314</f>
        <v>133022</v>
      </c>
      <c r="H262" s="102">
        <f t="shared" si="28"/>
        <v>46140</v>
      </c>
      <c r="I262" s="102">
        <f t="shared" si="29"/>
        <v>179162</v>
      </c>
      <c r="J262" s="102">
        <f t="shared" si="30"/>
        <v>0</v>
      </c>
      <c r="K262" s="102">
        <f t="shared" si="31"/>
        <v>237606</v>
      </c>
      <c r="L262" s="102">
        <f t="shared" si="32"/>
        <v>207905</v>
      </c>
      <c r="M262" s="102">
        <f t="shared" si="33"/>
        <v>148503</v>
      </c>
      <c r="N262" s="102">
        <f t="shared" si="34"/>
        <v>27684</v>
      </c>
      <c r="O262" s="102">
        <f t="shared" si="35"/>
        <v>18456</v>
      </c>
    </row>
    <row r="263">
      <c r="A263" s="99">
        <f t="shared" si="25"/>
        <v>44835</v>
      </c>
      <c r="B263" s="101">
        <v>1059543.0</v>
      </c>
      <c r="C263" s="101">
        <v>186978.0</v>
      </c>
      <c r="D263" s="102">
        <f>'Workforce &amp; Expenses'!I315</f>
        <v>447981</v>
      </c>
      <c r="E263" s="102">
        <f t="shared" si="26"/>
        <v>611562</v>
      </c>
      <c r="F263" s="102">
        <f t="shared" si="27"/>
        <v>1059543</v>
      </c>
      <c r="G263" s="102">
        <f>'Workforce &amp; Expenses'!J315</f>
        <v>141468</v>
      </c>
      <c r="H263" s="102">
        <f t="shared" si="28"/>
        <v>45510</v>
      </c>
      <c r="I263" s="102">
        <f t="shared" si="29"/>
        <v>186978</v>
      </c>
      <c r="J263" s="102">
        <f t="shared" si="30"/>
        <v>0</v>
      </c>
      <c r="K263" s="102">
        <f t="shared" si="31"/>
        <v>244625</v>
      </c>
      <c r="L263" s="102">
        <f t="shared" si="32"/>
        <v>214047</v>
      </c>
      <c r="M263" s="102">
        <f t="shared" si="33"/>
        <v>152890</v>
      </c>
      <c r="N263" s="102">
        <f t="shared" si="34"/>
        <v>27306</v>
      </c>
      <c r="O263" s="102">
        <f t="shared" si="35"/>
        <v>18204</v>
      </c>
    </row>
    <row r="264">
      <c r="A264" s="99">
        <f t="shared" si="25"/>
        <v>44866</v>
      </c>
      <c r="B264" s="101">
        <v>1115724.0</v>
      </c>
      <c r="C264" s="101">
        <v>196892.0</v>
      </c>
      <c r="D264" s="102">
        <f>'Workforce &amp; Expenses'!I316</f>
        <v>474726</v>
      </c>
      <c r="E264" s="102">
        <f t="shared" si="26"/>
        <v>640998</v>
      </c>
      <c r="F264" s="102">
        <f t="shared" si="27"/>
        <v>1115724</v>
      </c>
      <c r="G264" s="102">
        <f>'Workforce &amp; Expenses'!J316</f>
        <v>149913</v>
      </c>
      <c r="H264" s="102">
        <f t="shared" si="28"/>
        <v>46979</v>
      </c>
      <c r="I264" s="102">
        <f t="shared" si="29"/>
        <v>196892</v>
      </c>
      <c r="J264" s="102">
        <f t="shared" si="30"/>
        <v>0</v>
      </c>
      <c r="K264" s="102">
        <f t="shared" si="31"/>
        <v>256399</v>
      </c>
      <c r="L264" s="102">
        <f t="shared" si="32"/>
        <v>224349</v>
      </c>
      <c r="M264" s="102">
        <f t="shared" si="33"/>
        <v>160250</v>
      </c>
      <c r="N264" s="102">
        <f t="shared" si="34"/>
        <v>28187</v>
      </c>
      <c r="O264" s="102">
        <f t="shared" si="35"/>
        <v>18792</v>
      </c>
    </row>
    <row r="265">
      <c r="A265" s="99">
        <f t="shared" si="25"/>
        <v>44896</v>
      </c>
      <c r="B265" s="101">
        <v>1171904.0</v>
      </c>
      <c r="C265" s="101">
        <v>206807.0</v>
      </c>
      <c r="D265" s="102">
        <f>'Workforce &amp; Expenses'!I317</f>
        <v>501471</v>
      </c>
      <c r="E265" s="102">
        <f t="shared" si="26"/>
        <v>670433</v>
      </c>
      <c r="F265" s="102">
        <f t="shared" si="27"/>
        <v>1171904</v>
      </c>
      <c r="G265" s="102">
        <f>'Workforce &amp; Expenses'!J317</f>
        <v>158359</v>
      </c>
      <c r="H265" s="102">
        <f t="shared" si="28"/>
        <v>48448</v>
      </c>
      <c r="I265" s="102">
        <f t="shared" si="29"/>
        <v>206807</v>
      </c>
      <c r="J265" s="102">
        <f t="shared" si="30"/>
        <v>0</v>
      </c>
      <c r="K265" s="102">
        <f t="shared" si="31"/>
        <v>268173</v>
      </c>
      <c r="L265" s="102">
        <f t="shared" si="32"/>
        <v>234652</v>
      </c>
      <c r="M265" s="102">
        <f t="shared" si="33"/>
        <v>167608</v>
      </c>
      <c r="N265" s="102">
        <f t="shared" si="34"/>
        <v>29069</v>
      </c>
      <c r="O265" s="102">
        <f t="shared" si="35"/>
        <v>19379</v>
      </c>
    </row>
    <row r="266">
      <c r="A266" s="99">
        <f t="shared" si="25"/>
        <v>44927</v>
      </c>
      <c r="B266" s="101">
        <v>1390229.0</v>
      </c>
      <c r="C266" s="101">
        <v>463410.0</v>
      </c>
      <c r="D266" s="102">
        <f>'Workforce &amp; Expenses'!I318</f>
        <v>557833</v>
      </c>
      <c r="E266" s="102">
        <f t="shared" si="26"/>
        <v>832396</v>
      </c>
      <c r="F266" s="102">
        <f t="shared" si="27"/>
        <v>1390229</v>
      </c>
      <c r="G266" s="102">
        <f>'Workforce &amp; Expenses'!J318</f>
        <v>176158</v>
      </c>
      <c r="H266" s="102">
        <f t="shared" si="28"/>
        <v>287252</v>
      </c>
      <c r="I266" s="102">
        <f t="shared" si="29"/>
        <v>463410</v>
      </c>
      <c r="J266" s="102">
        <f t="shared" si="30"/>
        <v>0</v>
      </c>
      <c r="K266" s="102">
        <f t="shared" si="31"/>
        <v>332958</v>
      </c>
      <c r="L266" s="102">
        <f t="shared" si="32"/>
        <v>291339</v>
      </c>
      <c r="M266" s="102">
        <f t="shared" si="33"/>
        <v>208099</v>
      </c>
      <c r="N266" s="102">
        <f t="shared" si="34"/>
        <v>172351</v>
      </c>
      <c r="O266" s="102">
        <f t="shared" si="35"/>
        <v>114901</v>
      </c>
    </row>
    <row r="267">
      <c r="A267" s="99">
        <f t="shared" si="25"/>
        <v>44958</v>
      </c>
      <c r="B267" s="101">
        <v>1420919.0</v>
      </c>
      <c r="C267" s="101">
        <v>473639.0</v>
      </c>
      <c r="D267" s="102">
        <f>'Workforce &amp; Expenses'!I319</f>
        <v>606042</v>
      </c>
      <c r="E267" s="102">
        <f t="shared" si="26"/>
        <v>814877</v>
      </c>
      <c r="F267" s="102">
        <f t="shared" si="27"/>
        <v>1420919</v>
      </c>
      <c r="G267" s="102">
        <f>'Workforce &amp; Expenses'!J319</f>
        <v>191382</v>
      </c>
      <c r="H267" s="102">
        <f t="shared" si="28"/>
        <v>282257</v>
      </c>
      <c r="I267" s="102">
        <f t="shared" si="29"/>
        <v>473639</v>
      </c>
      <c r="J267" s="102">
        <f t="shared" si="30"/>
        <v>0</v>
      </c>
      <c r="K267" s="102">
        <f t="shared" si="31"/>
        <v>325951</v>
      </c>
      <c r="L267" s="102">
        <f t="shared" si="32"/>
        <v>285207</v>
      </c>
      <c r="M267" s="102">
        <f t="shared" si="33"/>
        <v>203719</v>
      </c>
      <c r="N267" s="102">
        <f t="shared" si="34"/>
        <v>169354</v>
      </c>
      <c r="O267" s="102">
        <f t="shared" si="35"/>
        <v>112903</v>
      </c>
    </row>
    <row r="268">
      <c r="A268" s="99">
        <f t="shared" si="25"/>
        <v>44986</v>
      </c>
      <c r="B268" s="101">
        <v>1420842.0</v>
      </c>
      <c r="C268" s="101">
        <v>473614.0</v>
      </c>
      <c r="D268" s="102">
        <f>'Workforce &amp; Expenses'!I320</f>
        <v>647363</v>
      </c>
      <c r="E268" s="102">
        <f t="shared" si="26"/>
        <v>773479</v>
      </c>
      <c r="F268" s="102">
        <f t="shared" si="27"/>
        <v>1420842</v>
      </c>
      <c r="G268" s="102">
        <f>'Workforce &amp; Expenses'!J320</f>
        <v>204430</v>
      </c>
      <c r="H268" s="102">
        <f t="shared" si="28"/>
        <v>269184</v>
      </c>
      <c r="I268" s="102">
        <f t="shared" si="29"/>
        <v>473614</v>
      </c>
      <c r="J268" s="102">
        <f t="shared" si="30"/>
        <v>0</v>
      </c>
      <c r="K268" s="102">
        <f t="shared" si="31"/>
        <v>309392</v>
      </c>
      <c r="L268" s="102">
        <f t="shared" si="32"/>
        <v>270718</v>
      </c>
      <c r="M268" s="102">
        <f t="shared" si="33"/>
        <v>193369</v>
      </c>
      <c r="N268" s="102">
        <f t="shared" si="34"/>
        <v>161510</v>
      </c>
      <c r="O268" s="102">
        <f t="shared" si="35"/>
        <v>107674</v>
      </c>
    </row>
    <row r="269">
      <c r="A269" s="99">
        <f t="shared" si="25"/>
        <v>45017</v>
      </c>
      <c r="B269" s="101">
        <v>1394133.0</v>
      </c>
      <c r="C269" s="101">
        <v>464711.0</v>
      </c>
      <c r="D269" s="102">
        <f>'Workforce &amp; Expenses'!I321</f>
        <v>688684</v>
      </c>
      <c r="E269" s="102">
        <f t="shared" si="26"/>
        <v>705449</v>
      </c>
      <c r="F269" s="102">
        <f t="shared" si="27"/>
        <v>1394133</v>
      </c>
      <c r="G269" s="102">
        <f>'Workforce &amp; Expenses'!J321</f>
        <v>217479</v>
      </c>
      <c r="H269" s="102">
        <f t="shared" si="28"/>
        <v>247232</v>
      </c>
      <c r="I269" s="102">
        <f t="shared" si="29"/>
        <v>464711</v>
      </c>
      <c r="J269" s="102">
        <f t="shared" si="30"/>
        <v>0</v>
      </c>
      <c r="K269" s="102">
        <f t="shared" si="31"/>
        <v>282180</v>
      </c>
      <c r="L269" s="102">
        <f t="shared" si="32"/>
        <v>246907</v>
      </c>
      <c r="M269" s="102">
        <f t="shared" si="33"/>
        <v>176362</v>
      </c>
      <c r="N269" s="102">
        <f t="shared" si="34"/>
        <v>148339</v>
      </c>
      <c r="O269" s="102">
        <f t="shared" si="35"/>
        <v>98893</v>
      </c>
    </row>
    <row r="270">
      <c r="A270" s="99">
        <f t="shared" si="25"/>
        <v>45047</v>
      </c>
      <c r="B270" s="101">
        <v>1352041.0</v>
      </c>
      <c r="C270" s="101">
        <v>450680.0</v>
      </c>
      <c r="D270" s="102">
        <f>'Workforce &amp; Expenses'!I322</f>
        <v>730004</v>
      </c>
      <c r="E270" s="102">
        <f t="shared" si="26"/>
        <v>622037</v>
      </c>
      <c r="F270" s="102">
        <f t="shared" si="27"/>
        <v>1352041</v>
      </c>
      <c r="G270" s="102">
        <f>'Workforce &amp; Expenses'!J322</f>
        <v>230528</v>
      </c>
      <c r="H270" s="102">
        <f t="shared" si="28"/>
        <v>220152</v>
      </c>
      <c r="I270" s="102">
        <f t="shared" si="29"/>
        <v>450680</v>
      </c>
      <c r="J270" s="102">
        <f t="shared" si="30"/>
        <v>0</v>
      </c>
      <c r="K270" s="102">
        <f t="shared" si="31"/>
        <v>248815</v>
      </c>
      <c r="L270" s="102">
        <f t="shared" si="32"/>
        <v>217713</v>
      </c>
      <c r="M270" s="102">
        <f t="shared" si="33"/>
        <v>155509</v>
      </c>
      <c r="N270" s="102">
        <f t="shared" si="34"/>
        <v>132091</v>
      </c>
      <c r="O270" s="102">
        <f t="shared" si="35"/>
        <v>88061</v>
      </c>
    </row>
    <row r="271">
      <c r="A271" s="99">
        <f t="shared" si="25"/>
        <v>45078</v>
      </c>
      <c r="B271" s="101">
        <v>1309949.0</v>
      </c>
      <c r="C271" s="101">
        <v>436650.0</v>
      </c>
      <c r="D271" s="102">
        <f>'Workforce &amp; Expenses'!I323</f>
        <v>778213</v>
      </c>
      <c r="E271" s="102">
        <f t="shared" si="26"/>
        <v>531736</v>
      </c>
      <c r="F271" s="102">
        <f t="shared" si="27"/>
        <v>1309949</v>
      </c>
      <c r="G271" s="102">
        <f>'Workforce &amp; Expenses'!J323</f>
        <v>245751</v>
      </c>
      <c r="H271" s="102">
        <f t="shared" si="28"/>
        <v>190899</v>
      </c>
      <c r="I271" s="102">
        <f t="shared" si="29"/>
        <v>436650</v>
      </c>
      <c r="J271" s="102">
        <f t="shared" si="30"/>
        <v>0</v>
      </c>
      <c r="K271" s="102">
        <f t="shared" si="31"/>
        <v>212694</v>
      </c>
      <c r="L271" s="102">
        <f t="shared" si="32"/>
        <v>186108</v>
      </c>
      <c r="M271" s="102">
        <f t="shared" si="33"/>
        <v>132934</v>
      </c>
      <c r="N271" s="102">
        <f t="shared" si="34"/>
        <v>114539</v>
      </c>
      <c r="O271" s="102">
        <f t="shared" si="35"/>
        <v>76360</v>
      </c>
    </row>
    <row r="272">
      <c r="A272" s="99">
        <f t="shared" si="25"/>
        <v>45108</v>
      </c>
      <c r="B272" s="101">
        <v>1283240.0</v>
      </c>
      <c r="C272" s="101">
        <v>427746.0</v>
      </c>
      <c r="D272" s="102">
        <f>'Workforce &amp; Expenses'!I324</f>
        <v>819533</v>
      </c>
      <c r="E272" s="102">
        <f t="shared" si="26"/>
        <v>463707</v>
      </c>
      <c r="F272" s="102">
        <f t="shared" si="27"/>
        <v>1283240</v>
      </c>
      <c r="G272" s="102">
        <f>'Workforce &amp; Expenses'!J324</f>
        <v>258800</v>
      </c>
      <c r="H272" s="102">
        <f t="shared" si="28"/>
        <v>168946</v>
      </c>
      <c r="I272" s="102">
        <f t="shared" si="29"/>
        <v>427746</v>
      </c>
      <c r="J272" s="102">
        <f t="shared" si="30"/>
        <v>0</v>
      </c>
      <c r="K272" s="102">
        <f t="shared" si="31"/>
        <v>185483</v>
      </c>
      <c r="L272" s="102">
        <f t="shared" si="32"/>
        <v>162297</v>
      </c>
      <c r="M272" s="102">
        <f t="shared" si="33"/>
        <v>115927</v>
      </c>
      <c r="N272" s="102">
        <f t="shared" si="34"/>
        <v>101368</v>
      </c>
      <c r="O272" s="102">
        <f t="shared" si="35"/>
        <v>67578</v>
      </c>
    </row>
    <row r="273">
      <c r="A273" s="99">
        <f t="shared" si="25"/>
        <v>45139</v>
      </c>
      <c r="B273" s="101">
        <v>1283163.0</v>
      </c>
      <c r="C273" s="101">
        <v>427721.0</v>
      </c>
      <c r="D273" s="102">
        <f>'Workforce &amp; Expenses'!I325</f>
        <v>860855</v>
      </c>
      <c r="E273" s="102">
        <f t="shared" si="26"/>
        <v>422308</v>
      </c>
      <c r="F273" s="102">
        <f t="shared" si="27"/>
        <v>1283163</v>
      </c>
      <c r="G273" s="102">
        <f>'Workforce &amp; Expenses'!J325</f>
        <v>271849</v>
      </c>
      <c r="H273" s="102">
        <f t="shared" si="28"/>
        <v>155872</v>
      </c>
      <c r="I273" s="102">
        <f t="shared" si="29"/>
        <v>427721</v>
      </c>
      <c r="J273" s="102">
        <f t="shared" si="30"/>
        <v>0</v>
      </c>
      <c r="K273" s="102">
        <f t="shared" si="31"/>
        <v>168923</v>
      </c>
      <c r="L273" s="102">
        <f t="shared" si="32"/>
        <v>147808</v>
      </c>
      <c r="M273" s="102">
        <f t="shared" si="33"/>
        <v>105577</v>
      </c>
      <c r="N273" s="102">
        <f t="shared" si="34"/>
        <v>93523</v>
      </c>
      <c r="O273" s="102">
        <f t="shared" si="35"/>
        <v>62349</v>
      </c>
    </row>
    <row r="274">
      <c r="A274" s="99">
        <f t="shared" si="25"/>
        <v>45170</v>
      </c>
      <c r="B274" s="101">
        <v>1313852.0</v>
      </c>
      <c r="C274" s="101">
        <v>437951.0</v>
      </c>
      <c r="D274" s="102">
        <f>'Workforce &amp; Expenses'!I326</f>
        <v>902175</v>
      </c>
      <c r="E274" s="102">
        <f t="shared" si="26"/>
        <v>411677</v>
      </c>
      <c r="F274" s="102">
        <f t="shared" si="27"/>
        <v>1313852</v>
      </c>
      <c r="G274" s="102">
        <f>'Workforce &amp; Expenses'!J326</f>
        <v>284898</v>
      </c>
      <c r="H274" s="102">
        <f t="shared" si="28"/>
        <v>153053</v>
      </c>
      <c r="I274" s="102">
        <f t="shared" si="29"/>
        <v>437951</v>
      </c>
      <c r="J274" s="102">
        <f t="shared" si="30"/>
        <v>0</v>
      </c>
      <c r="K274" s="102">
        <f t="shared" si="31"/>
        <v>164671</v>
      </c>
      <c r="L274" s="102">
        <f t="shared" si="32"/>
        <v>144087</v>
      </c>
      <c r="M274" s="102">
        <f t="shared" si="33"/>
        <v>102919</v>
      </c>
      <c r="N274" s="102">
        <f t="shared" si="34"/>
        <v>91832</v>
      </c>
      <c r="O274" s="102">
        <f t="shared" si="35"/>
        <v>61221</v>
      </c>
    </row>
    <row r="275">
      <c r="A275" s="99">
        <f t="shared" si="25"/>
        <v>45200</v>
      </c>
      <c r="B275" s="101">
        <v>1371173.0</v>
      </c>
      <c r="C275" s="101">
        <v>457058.0</v>
      </c>
      <c r="D275" s="102">
        <f>'Workforce &amp; Expenses'!I327</f>
        <v>950383</v>
      </c>
      <c r="E275" s="102">
        <f t="shared" si="26"/>
        <v>420790</v>
      </c>
      <c r="F275" s="102">
        <f t="shared" si="27"/>
        <v>1371173</v>
      </c>
      <c r="G275" s="102">
        <f>'Workforce &amp; Expenses'!J327</f>
        <v>300121</v>
      </c>
      <c r="H275" s="102">
        <f t="shared" si="28"/>
        <v>156937</v>
      </c>
      <c r="I275" s="102">
        <f t="shared" si="29"/>
        <v>457058</v>
      </c>
      <c r="J275" s="102">
        <f t="shared" si="30"/>
        <v>0</v>
      </c>
      <c r="K275" s="102">
        <f t="shared" si="31"/>
        <v>168316</v>
      </c>
      <c r="L275" s="102">
        <f t="shared" si="32"/>
        <v>147277</v>
      </c>
      <c r="M275" s="102">
        <f t="shared" si="33"/>
        <v>105197</v>
      </c>
      <c r="N275" s="102">
        <f t="shared" si="34"/>
        <v>94162</v>
      </c>
      <c r="O275" s="102">
        <f t="shared" si="35"/>
        <v>62775</v>
      </c>
    </row>
    <row r="276">
      <c r="A276" s="99">
        <f t="shared" si="25"/>
        <v>45231</v>
      </c>
      <c r="B276" s="101">
        <v>1443878.0</v>
      </c>
      <c r="C276" s="101">
        <v>481292.0</v>
      </c>
      <c r="D276" s="102">
        <f>'Workforce &amp; Expenses'!I328</f>
        <v>991705</v>
      </c>
      <c r="E276" s="102">
        <f t="shared" si="26"/>
        <v>452173</v>
      </c>
      <c r="F276" s="102">
        <f t="shared" si="27"/>
        <v>1443878</v>
      </c>
      <c r="G276" s="102">
        <f>'Workforce &amp; Expenses'!J328</f>
        <v>313170</v>
      </c>
      <c r="H276" s="102">
        <f t="shared" si="28"/>
        <v>168122</v>
      </c>
      <c r="I276" s="102">
        <f t="shared" si="29"/>
        <v>481292</v>
      </c>
      <c r="J276" s="102">
        <f t="shared" si="30"/>
        <v>0</v>
      </c>
      <c r="K276" s="102">
        <f t="shared" si="31"/>
        <v>180869</v>
      </c>
      <c r="L276" s="102">
        <f t="shared" si="32"/>
        <v>158261</v>
      </c>
      <c r="M276" s="102">
        <f t="shared" si="33"/>
        <v>113043</v>
      </c>
      <c r="N276" s="102">
        <f t="shared" si="34"/>
        <v>100873</v>
      </c>
      <c r="O276" s="102">
        <f t="shared" si="35"/>
        <v>67249</v>
      </c>
    </row>
    <row r="277">
      <c r="A277" s="99">
        <f t="shared" si="25"/>
        <v>45261</v>
      </c>
      <c r="B277" s="101">
        <v>1516582.0</v>
      </c>
      <c r="C277" s="101">
        <v>505527.0</v>
      </c>
      <c r="D277" s="102">
        <f>'Workforce &amp; Expenses'!I329</f>
        <v>1033026</v>
      </c>
      <c r="E277" s="102">
        <f t="shared" si="26"/>
        <v>483556</v>
      </c>
      <c r="F277" s="102">
        <f t="shared" si="27"/>
        <v>1516582</v>
      </c>
      <c r="G277" s="102">
        <f>'Workforce &amp; Expenses'!J329</f>
        <v>326219</v>
      </c>
      <c r="H277" s="102">
        <f t="shared" si="28"/>
        <v>179308</v>
      </c>
      <c r="I277" s="102">
        <f t="shared" si="29"/>
        <v>505527</v>
      </c>
      <c r="J277" s="102">
        <f t="shared" si="30"/>
        <v>0</v>
      </c>
      <c r="K277" s="102">
        <f t="shared" si="31"/>
        <v>193422</v>
      </c>
      <c r="L277" s="102">
        <f t="shared" si="32"/>
        <v>169245</v>
      </c>
      <c r="M277" s="102">
        <f t="shared" si="33"/>
        <v>120889</v>
      </c>
      <c r="N277" s="102">
        <f t="shared" si="34"/>
        <v>107585</v>
      </c>
      <c r="O277" s="102">
        <f t="shared" si="35"/>
        <v>71723</v>
      </c>
    </row>
    <row r="278">
      <c r="A278" s="99">
        <f t="shared" si="25"/>
        <v>45292</v>
      </c>
      <c r="B278" s="101">
        <v>2595095.0</v>
      </c>
      <c r="C278" s="101">
        <v>1112184.0</v>
      </c>
      <c r="D278" s="102">
        <f>'Workforce &amp; Expenses'!I330</f>
        <v>1035137</v>
      </c>
      <c r="E278" s="102">
        <f t="shared" si="26"/>
        <v>1559958</v>
      </c>
      <c r="F278" s="102">
        <f t="shared" si="27"/>
        <v>2595095</v>
      </c>
      <c r="G278" s="102">
        <f>'Workforce &amp; Expenses'!J330</f>
        <v>326886</v>
      </c>
      <c r="H278" s="102">
        <f t="shared" si="28"/>
        <v>785298</v>
      </c>
      <c r="I278" s="102">
        <f t="shared" si="29"/>
        <v>1112184</v>
      </c>
      <c r="J278" s="102">
        <f t="shared" si="30"/>
        <v>0</v>
      </c>
      <c r="K278" s="102">
        <f t="shared" si="31"/>
        <v>623983</v>
      </c>
      <c r="L278" s="102">
        <f t="shared" si="32"/>
        <v>545985</v>
      </c>
      <c r="M278" s="102">
        <f t="shared" si="33"/>
        <v>389990</v>
      </c>
      <c r="N278" s="102">
        <f t="shared" si="34"/>
        <v>471179</v>
      </c>
      <c r="O278" s="102">
        <f t="shared" si="35"/>
        <v>314119</v>
      </c>
    </row>
    <row r="279">
      <c r="A279" s="99">
        <f t="shared" si="25"/>
        <v>45323</v>
      </c>
      <c r="B279" s="101">
        <v>2652381.0</v>
      </c>
      <c r="C279" s="101">
        <v>1136735.0</v>
      </c>
      <c r="D279" s="102">
        <f>'Workforce &amp; Expenses'!I331</f>
        <v>1094786</v>
      </c>
      <c r="E279" s="102">
        <f t="shared" si="26"/>
        <v>1557595</v>
      </c>
      <c r="F279" s="102">
        <f t="shared" si="27"/>
        <v>2652381</v>
      </c>
      <c r="G279" s="102">
        <f>'Workforce &amp; Expenses'!J331</f>
        <v>345722</v>
      </c>
      <c r="H279" s="102">
        <f t="shared" si="28"/>
        <v>791013</v>
      </c>
      <c r="I279" s="102">
        <f t="shared" si="29"/>
        <v>1136735</v>
      </c>
      <c r="J279" s="102">
        <f t="shared" si="30"/>
        <v>0</v>
      </c>
      <c r="K279" s="102">
        <f t="shared" si="31"/>
        <v>623038</v>
      </c>
      <c r="L279" s="102">
        <f t="shared" si="32"/>
        <v>545158</v>
      </c>
      <c r="M279" s="102">
        <f t="shared" si="33"/>
        <v>389399</v>
      </c>
      <c r="N279" s="102">
        <f t="shared" si="34"/>
        <v>474608</v>
      </c>
      <c r="O279" s="102">
        <f t="shared" si="35"/>
        <v>316405</v>
      </c>
    </row>
    <row r="280">
      <c r="A280" s="99">
        <f t="shared" si="25"/>
        <v>45352</v>
      </c>
      <c r="B280" s="101">
        <v>2652238.0</v>
      </c>
      <c r="C280" s="101">
        <v>1136674.0</v>
      </c>
      <c r="D280" s="102">
        <f>'Workforce &amp; Expenses'!I332</f>
        <v>1153195</v>
      </c>
      <c r="E280" s="102">
        <f t="shared" si="26"/>
        <v>1499043</v>
      </c>
      <c r="F280" s="102">
        <f t="shared" si="27"/>
        <v>2652238</v>
      </c>
      <c r="G280" s="102">
        <f>'Workforce &amp; Expenses'!J332</f>
        <v>364167</v>
      </c>
      <c r="H280" s="102">
        <f t="shared" si="28"/>
        <v>772507</v>
      </c>
      <c r="I280" s="102">
        <f t="shared" si="29"/>
        <v>1136674</v>
      </c>
      <c r="J280" s="102">
        <f t="shared" si="30"/>
        <v>0</v>
      </c>
      <c r="K280" s="102">
        <f t="shared" si="31"/>
        <v>599617</v>
      </c>
      <c r="L280" s="102">
        <f t="shared" si="32"/>
        <v>524665</v>
      </c>
      <c r="M280" s="102">
        <f t="shared" si="33"/>
        <v>374761</v>
      </c>
      <c r="N280" s="102">
        <f t="shared" si="34"/>
        <v>463504</v>
      </c>
      <c r="O280" s="102">
        <f t="shared" si="35"/>
        <v>309003</v>
      </c>
    </row>
    <row r="281">
      <c r="A281" s="99">
        <f t="shared" si="25"/>
        <v>45383</v>
      </c>
      <c r="B281" s="101">
        <v>2602381.0</v>
      </c>
      <c r="C281" s="101">
        <v>1115306.0</v>
      </c>
      <c r="D281" s="102">
        <f>'Workforce &amp; Expenses'!I333</f>
        <v>1203262</v>
      </c>
      <c r="E281" s="102">
        <f t="shared" si="26"/>
        <v>1399119</v>
      </c>
      <c r="F281" s="102">
        <f t="shared" si="27"/>
        <v>2602381</v>
      </c>
      <c r="G281" s="102">
        <f>'Workforce &amp; Expenses'!J333</f>
        <v>379977</v>
      </c>
      <c r="H281" s="102">
        <f t="shared" si="28"/>
        <v>735329</v>
      </c>
      <c r="I281" s="102">
        <f t="shared" si="29"/>
        <v>1115306</v>
      </c>
      <c r="J281" s="102">
        <f t="shared" si="30"/>
        <v>0</v>
      </c>
      <c r="K281" s="102">
        <f t="shared" si="31"/>
        <v>559648</v>
      </c>
      <c r="L281" s="102">
        <f t="shared" si="32"/>
        <v>489692</v>
      </c>
      <c r="M281" s="102">
        <f t="shared" si="33"/>
        <v>349779</v>
      </c>
      <c r="N281" s="102">
        <f t="shared" si="34"/>
        <v>441197</v>
      </c>
      <c r="O281" s="102">
        <f t="shared" si="35"/>
        <v>294132</v>
      </c>
    </row>
    <row r="282">
      <c r="A282" s="99">
        <f t="shared" si="25"/>
        <v>45413</v>
      </c>
      <c r="B282" s="101">
        <v>2523809.0</v>
      </c>
      <c r="C282" s="101">
        <v>1081633.0</v>
      </c>
      <c r="D282" s="102">
        <f>'Workforce &amp; Expenses'!I334</f>
        <v>1259176</v>
      </c>
      <c r="E282" s="102">
        <f t="shared" si="26"/>
        <v>1264633</v>
      </c>
      <c r="F282" s="102">
        <f t="shared" si="27"/>
        <v>2523809</v>
      </c>
      <c r="G282" s="102">
        <f>'Workforce &amp; Expenses'!J334</f>
        <v>397635</v>
      </c>
      <c r="H282" s="102">
        <f t="shared" si="28"/>
        <v>683998</v>
      </c>
      <c r="I282" s="102">
        <f t="shared" si="29"/>
        <v>1081633</v>
      </c>
      <c r="J282" s="102">
        <f t="shared" si="30"/>
        <v>0</v>
      </c>
      <c r="K282" s="102">
        <f t="shared" si="31"/>
        <v>505853</v>
      </c>
      <c r="L282" s="102">
        <f t="shared" si="32"/>
        <v>442622</v>
      </c>
      <c r="M282" s="102">
        <f t="shared" si="33"/>
        <v>316158</v>
      </c>
      <c r="N282" s="102">
        <f t="shared" si="34"/>
        <v>410399</v>
      </c>
      <c r="O282" s="102">
        <f t="shared" si="35"/>
        <v>273599</v>
      </c>
    </row>
    <row r="283">
      <c r="A283" s="99">
        <f t="shared" si="25"/>
        <v>45444</v>
      </c>
      <c r="B283" s="101">
        <v>2445238.0</v>
      </c>
      <c r="C283" s="101">
        <v>1047959.0</v>
      </c>
      <c r="D283" s="102">
        <f>'Workforce &amp; Expenses'!I335</f>
        <v>1320228</v>
      </c>
      <c r="E283" s="102">
        <f t="shared" si="26"/>
        <v>1125010</v>
      </c>
      <c r="F283" s="102">
        <f t="shared" si="27"/>
        <v>2445238</v>
      </c>
      <c r="G283" s="102">
        <f>'Workforce &amp; Expenses'!J335</f>
        <v>416914</v>
      </c>
      <c r="H283" s="102">
        <f t="shared" si="28"/>
        <v>631045</v>
      </c>
      <c r="I283" s="102">
        <f t="shared" si="29"/>
        <v>1047959</v>
      </c>
      <c r="J283" s="102">
        <f t="shared" si="30"/>
        <v>0</v>
      </c>
      <c r="K283" s="102">
        <f t="shared" si="31"/>
        <v>450004</v>
      </c>
      <c r="L283" s="102">
        <f t="shared" si="32"/>
        <v>393754</v>
      </c>
      <c r="M283" s="102">
        <f t="shared" si="33"/>
        <v>281252</v>
      </c>
      <c r="N283" s="102">
        <f t="shared" si="34"/>
        <v>378627</v>
      </c>
      <c r="O283" s="102">
        <f t="shared" si="35"/>
        <v>252418</v>
      </c>
    </row>
    <row r="284">
      <c r="A284" s="99">
        <f t="shared" si="25"/>
        <v>45474</v>
      </c>
      <c r="B284" s="101">
        <v>2395381.0</v>
      </c>
      <c r="C284" s="101">
        <v>1026592.0</v>
      </c>
      <c r="D284" s="102">
        <f>'Workforce &amp; Expenses'!I336</f>
        <v>1387776</v>
      </c>
      <c r="E284" s="102">
        <f t="shared" si="26"/>
        <v>1007605</v>
      </c>
      <c r="F284" s="102">
        <f t="shared" si="27"/>
        <v>2395381</v>
      </c>
      <c r="G284" s="102">
        <f>'Workforce &amp; Expenses'!J336</f>
        <v>438245</v>
      </c>
      <c r="H284" s="102">
        <f t="shared" si="28"/>
        <v>588347</v>
      </c>
      <c r="I284" s="102">
        <f t="shared" si="29"/>
        <v>1026592</v>
      </c>
      <c r="J284" s="102">
        <f t="shared" si="30"/>
        <v>0</v>
      </c>
      <c r="K284" s="102">
        <f t="shared" si="31"/>
        <v>403042</v>
      </c>
      <c r="L284" s="102">
        <f t="shared" si="32"/>
        <v>352662</v>
      </c>
      <c r="M284" s="102">
        <f t="shared" si="33"/>
        <v>251901</v>
      </c>
      <c r="N284" s="102">
        <f t="shared" si="34"/>
        <v>353008</v>
      </c>
      <c r="O284" s="102">
        <f t="shared" si="35"/>
        <v>235339</v>
      </c>
    </row>
    <row r="285">
      <c r="A285" s="99">
        <f t="shared" si="25"/>
        <v>45505</v>
      </c>
      <c r="B285" s="101">
        <v>2395238.0</v>
      </c>
      <c r="C285" s="101">
        <v>1026531.0</v>
      </c>
      <c r="D285" s="102">
        <f>'Workforce &amp; Expenses'!I337</f>
        <v>1455322</v>
      </c>
      <c r="E285" s="102">
        <f t="shared" si="26"/>
        <v>939916</v>
      </c>
      <c r="F285" s="102">
        <f t="shared" si="27"/>
        <v>2395238</v>
      </c>
      <c r="G285" s="102">
        <f>'Workforce &amp; Expenses'!J337</f>
        <v>459576</v>
      </c>
      <c r="H285" s="102">
        <f t="shared" si="28"/>
        <v>566955</v>
      </c>
      <c r="I285" s="102">
        <f t="shared" si="29"/>
        <v>1026531</v>
      </c>
      <c r="J285" s="102">
        <f t="shared" si="30"/>
        <v>0</v>
      </c>
      <c r="K285" s="102">
        <f t="shared" si="31"/>
        <v>375966</v>
      </c>
      <c r="L285" s="102">
        <f t="shared" si="32"/>
        <v>328971</v>
      </c>
      <c r="M285" s="102">
        <f t="shared" si="33"/>
        <v>234979</v>
      </c>
      <c r="N285" s="102">
        <f t="shared" si="34"/>
        <v>340173</v>
      </c>
      <c r="O285" s="102">
        <f t="shared" si="35"/>
        <v>226782</v>
      </c>
    </row>
    <row r="286">
      <c r="A286" s="99">
        <f t="shared" si="25"/>
        <v>45536</v>
      </c>
      <c r="B286" s="101">
        <v>2452524.0</v>
      </c>
      <c r="C286" s="101">
        <v>1051081.0</v>
      </c>
      <c r="D286" s="102">
        <f>'Workforce &amp; Expenses'!I338</f>
        <v>1522869</v>
      </c>
      <c r="E286" s="102">
        <f t="shared" si="26"/>
        <v>929655</v>
      </c>
      <c r="F286" s="102">
        <f t="shared" si="27"/>
        <v>2452524</v>
      </c>
      <c r="G286" s="102">
        <f>'Workforce &amp; Expenses'!J338</f>
        <v>480906</v>
      </c>
      <c r="H286" s="102">
        <f t="shared" si="28"/>
        <v>570175</v>
      </c>
      <c r="I286" s="102">
        <f t="shared" si="29"/>
        <v>1051081</v>
      </c>
      <c r="J286" s="102">
        <f t="shared" si="30"/>
        <v>0</v>
      </c>
      <c r="K286" s="102">
        <f t="shared" si="31"/>
        <v>371862</v>
      </c>
      <c r="L286" s="102">
        <f t="shared" si="32"/>
        <v>325379</v>
      </c>
      <c r="M286" s="102">
        <f t="shared" si="33"/>
        <v>232414</v>
      </c>
      <c r="N286" s="102">
        <f t="shared" si="34"/>
        <v>342105</v>
      </c>
      <c r="O286" s="102">
        <f t="shared" si="35"/>
        <v>228070</v>
      </c>
    </row>
    <row r="287">
      <c r="A287" s="99">
        <f t="shared" si="25"/>
        <v>45566</v>
      </c>
      <c r="B287" s="101">
        <v>2559524.0</v>
      </c>
      <c r="C287" s="101">
        <v>1096939.0</v>
      </c>
      <c r="D287" s="102">
        <f>'Workforce &amp; Expenses'!I339</f>
        <v>1584275</v>
      </c>
      <c r="E287" s="102">
        <f t="shared" si="26"/>
        <v>975249</v>
      </c>
      <c r="F287" s="102">
        <f t="shared" si="27"/>
        <v>2559524</v>
      </c>
      <c r="G287" s="102">
        <f>'Workforce &amp; Expenses'!J339</f>
        <v>500298</v>
      </c>
      <c r="H287" s="102">
        <f t="shared" si="28"/>
        <v>596641</v>
      </c>
      <c r="I287" s="102">
        <f t="shared" si="29"/>
        <v>1096939</v>
      </c>
      <c r="J287" s="102">
        <f t="shared" si="30"/>
        <v>0</v>
      </c>
      <c r="K287" s="102">
        <f t="shared" si="31"/>
        <v>390100</v>
      </c>
      <c r="L287" s="102">
        <f t="shared" si="32"/>
        <v>341337</v>
      </c>
      <c r="M287" s="102">
        <f t="shared" si="33"/>
        <v>243812</v>
      </c>
      <c r="N287" s="102">
        <f t="shared" si="34"/>
        <v>357985</v>
      </c>
      <c r="O287" s="102">
        <f t="shared" si="35"/>
        <v>238656</v>
      </c>
    </row>
    <row r="288">
      <c r="A288" s="99">
        <f t="shared" si="25"/>
        <v>45597</v>
      </c>
      <c r="B288" s="101">
        <v>2695238.0</v>
      </c>
      <c r="C288" s="101">
        <v>1155102.0</v>
      </c>
      <c r="D288" s="102">
        <f>'Workforce &amp; Expenses'!I340</f>
        <v>1651822</v>
      </c>
      <c r="E288" s="102">
        <f t="shared" si="26"/>
        <v>1043416</v>
      </c>
      <c r="F288" s="102">
        <f t="shared" si="27"/>
        <v>2695238</v>
      </c>
      <c r="G288" s="102">
        <f>'Workforce &amp; Expenses'!J340</f>
        <v>521628</v>
      </c>
      <c r="H288" s="102">
        <f t="shared" si="28"/>
        <v>633474</v>
      </c>
      <c r="I288" s="102">
        <f t="shared" si="29"/>
        <v>1155102</v>
      </c>
      <c r="J288" s="102">
        <f t="shared" si="30"/>
        <v>0</v>
      </c>
      <c r="K288" s="102">
        <f t="shared" si="31"/>
        <v>417366</v>
      </c>
      <c r="L288" s="102">
        <f t="shared" si="32"/>
        <v>365196</v>
      </c>
      <c r="M288" s="102">
        <f t="shared" si="33"/>
        <v>260854</v>
      </c>
      <c r="N288" s="102">
        <f t="shared" si="34"/>
        <v>380084</v>
      </c>
      <c r="O288" s="102">
        <f t="shared" si="35"/>
        <v>253390</v>
      </c>
    </row>
    <row r="289">
      <c r="A289" s="99">
        <f t="shared" si="25"/>
        <v>45627</v>
      </c>
      <c r="B289" s="101">
        <v>2830952.0</v>
      </c>
      <c r="C289" s="101">
        <v>1213265.0</v>
      </c>
      <c r="D289" s="102">
        <f>'Workforce &amp; Expenses'!I341</f>
        <v>1719369</v>
      </c>
      <c r="E289" s="102">
        <f t="shared" si="26"/>
        <v>1111583</v>
      </c>
      <c r="F289" s="102">
        <f t="shared" si="27"/>
        <v>2830952</v>
      </c>
      <c r="G289" s="102">
        <f>'Workforce &amp; Expenses'!J341</f>
        <v>542958</v>
      </c>
      <c r="H289" s="102">
        <f t="shared" si="28"/>
        <v>670307</v>
      </c>
      <c r="I289" s="102">
        <f t="shared" si="29"/>
        <v>1213265</v>
      </c>
      <c r="J289" s="102">
        <f t="shared" si="30"/>
        <v>0</v>
      </c>
      <c r="K289" s="102">
        <f t="shared" si="31"/>
        <v>444633</v>
      </c>
      <c r="L289" s="102">
        <f t="shared" si="32"/>
        <v>389054</v>
      </c>
      <c r="M289" s="102">
        <f t="shared" si="33"/>
        <v>277896</v>
      </c>
      <c r="N289" s="102">
        <f t="shared" si="34"/>
        <v>402184</v>
      </c>
      <c r="O289" s="102">
        <f t="shared" si="35"/>
        <v>268123</v>
      </c>
    </row>
    <row r="290">
      <c r="A290" s="99">
        <f t="shared" si="25"/>
        <v>45658</v>
      </c>
      <c r="B290" s="101">
        <v>3774684.0</v>
      </c>
      <c r="C290" s="101">
        <v>2123260.0</v>
      </c>
      <c r="D290" s="102">
        <f>'Workforce &amp; Expenses'!I342</f>
        <v>1834195</v>
      </c>
      <c r="E290" s="102">
        <f t="shared" si="26"/>
        <v>1940489</v>
      </c>
      <c r="F290" s="102">
        <f t="shared" si="27"/>
        <v>3774684</v>
      </c>
      <c r="G290" s="102">
        <f>'Workforce &amp; Expenses'!J342</f>
        <v>579220</v>
      </c>
      <c r="H290" s="102">
        <f t="shared" si="28"/>
        <v>1544040</v>
      </c>
      <c r="I290" s="102">
        <f t="shared" si="29"/>
        <v>2123260</v>
      </c>
      <c r="J290" s="102">
        <f t="shared" si="30"/>
        <v>0</v>
      </c>
      <c r="K290" s="102">
        <f t="shared" si="31"/>
        <v>776196</v>
      </c>
      <c r="L290" s="102">
        <f t="shared" si="32"/>
        <v>679171</v>
      </c>
      <c r="M290" s="102">
        <f t="shared" si="33"/>
        <v>485122</v>
      </c>
      <c r="N290" s="102">
        <f t="shared" si="34"/>
        <v>926424</v>
      </c>
      <c r="O290" s="102">
        <f t="shared" si="35"/>
        <v>617616</v>
      </c>
    </row>
    <row r="291">
      <c r="A291" s="99">
        <f t="shared" si="25"/>
        <v>45689</v>
      </c>
      <c r="B291" s="101">
        <v>3858009.0</v>
      </c>
      <c r="C291" s="101">
        <v>2170130.0</v>
      </c>
      <c r="D291" s="102">
        <f>'Workforce &amp; Expenses'!I343</f>
        <v>1897443</v>
      </c>
      <c r="E291" s="102">
        <f t="shared" si="26"/>
        <v>1960566</v>
      </c>
      <c r="F291" s="102">
        <f t="shared" si="27"/>
        <v>3858009</v>
      </c>
      <c r="G291" s="102">
        <f>'Workforce &amp; Expenses'!J343</f>
        <v>599193</v>
      </c>
      <c r="H291" s="102">
        <f t="shared" si="28"/>
        <v>1570937</v>
      </c>
      <c r="I291" s="102">
        <f t="shared" si="29"/>
        <v>2170130</v>
      </c>
      <c r="J291" s="102">
        <f t="shared" si="30"/>
        <v>0</v>
      </c>
      <c r="K291" s="102">
        <f t="shared" si="31"/>
        <v>784226</v>
      </c>
      <c r="L291" s="102">
        <f t="shared" si="32"/>
        <v>686198</v>
      </c>
      <c r="M291" s="102">
        <f t="shared" si="33"/>
        <v>490142</v>
      </c>
      <c r="N291" s="102">
        <f t="shared" si="34"/>
        <v>942562</v>
      </c>
      <c r="O291" s="102">
        <f t="shared" si="35"/>
        <v>628375</v>
      </c>
    </row>
    <row r="292">
      <c r="A292" s="99">
        <f t="shared" si="25"/>
        <v>45717</v>
      </c>
      <c r="B292" s="101">
        <v>3857801.0</v>
      </c>
      <c r="C292" s="101">
        <v>2170013.0</v>
      </c>
      <c r="D292" s="102">
        <f>'Workforce &amp; Expenses'!I344</f>
        <v>1960691</v>
      </c>
      <c r="E292" s="102">
        <f t="shared" si="26"/>
        <v>1897110</v>
      </c>
      <c r="F292" s="102">
        <f t="shared" si="27"/>
        <v>3857801</v>
      </c>
      <c r="G292" s="102">
        <f>'Workforce &amp; Expenses'!J344</f>
        <v>619166</v>
      </c>
      <c r="H292" s="102">
        <f t="shared" si="28"/>
        <v>1550847</v>
      </c>
      <c r="I292" s="102">
        <f t="shared" si="29"/>
        <v>2170013</v>
      </c>
      <c r="J292" s="102">
        <f t="shared" si="30"/>
        <v>0</v>
      </c>
      <c r="K292" s="102">
        <f t="shared" si="31"/>
        <v>758844</v>
      </c>
      <c r="L292" s="102">
        <f t="shared" si="32"/>
        <v>663989</v>
      </c>
      <c r="M292" s="102">
        <f t="shared" si="33"/>
        <v>474277</v>
      </c>
      <c r="N292" s="102">
        <f t="shared" si="34"/>
        <v>930508</v>
      </c>
      <c r="O292" s="102">
        <f t="shared" si="35"/>
        <v>620339</v>
      </c>
    </row>
    <row r="293">
      <c r="A293" s="99">
        <f t="shared" si="25"/>
        <v>45748</v>
      </c>
      <c r="B293" s="101">
        <v>3785281.0</v>
      </c>
      <c r="C293" s="101">
        <v>2129221.0</v>
      </c>
      <c r="D293" s="102">
        <f>'Workforce &amp; Expenses'!I345</f>
        <v>2023939</v>
      </c>
      <c r="E293" s="102">
        <f t="shared" si="26"/>
        <v>1761342</v>
      </c>
      <c r="F293" s="102">
        <f t="shared" si="27"/>
        <v>3785281</v>
      </c>
      <c r="G293" s="102">
        <f>'Workforce &amp; Expenses'!J345</f>
        <v>639139</v>
      </c>
      <c r="H293" s="102">
        <f t="shared" si="28"/>
        <v>1490082</v>
      </c>
      <c r="I293" s="102">
        <f t="shared" si="29"/>
        <v>2129221</v>
      </c>
      <c r="J293" s="102">
        <f t="shared" si="30"/>
        <v>0</v>
      </c>
      <c r="K293" s="102">
        <f t="shared" si="31"/>
        <v>704537</v>
      </c>
      <c r="L293" s="102">
        <f t="shared" si="32"/>
        <v>616470</v>
      </c>
      <c r="M293" s="102">
        <f t="shared" si="33"/>
        <v>440335</v>
      </c>
      <c r="N293" s="102">
        <f t="shared" si="34"/>
        <v>894049</v>
      </c>
      <c r="O293" s="102">
        <f t="shared" si="35"/>
        <v>596033</v>
      </c>
    </row>
    <row r="294">
      <c r="A294" s="99">
        <f t="shared" si="25"/>
        <v>45778</v>
      </c>
      <c r="B294" s="101">
        <v>3670996.0</v>
      </c>
      <c r="C294" s="101">
        <v>2064935.0</v>
      </c>
      <c r="D294" s="102">
        <f>'Workforce &amp; Expenses'!I346</f>
        <v>2087188</v>
      </c>
      <c r="E294" s="102">
        <f t="shared" si="26"/>
        <v>1583808</v>
      </c>
      <c r="F294" s="102">
        <f t="shared" si="27"/>
        <v>3670996</v>
      </c>
      <c r="G294" s="102">
        <f>'Workforce &amp; Expenses'!J346</f>
        <v>659112</v>
      </c>
      <c r="H294" s="102">
        <f t="shared" si="28"/>
        <v>1405823</v>
      </c>
      <c r="I294" s="102">
        <f t="shared" si="29"/>
        <v>2064935</v>
      </c>
      <c r="J294" s="102">
        <f t="shared" si="30"/>
        <v>0</v>
      </c>
      <c r="K294" s="102">
        <f t="shared" si="31"/>
        <v>633523</v>
      </c>
      <c r="L294" s="102">
        <f t="shared" si="32"/>
        <v>554333</v>
      </c>
      <c r="M294" s="102">
        <f t="shared" si="33"/>
        <v>395952</v>
      </c>
      <c r="N294" s="102">
        <f t="shared" si="34"/>
        <v>843494</v>
      </c>
      <c r="O294" s="102">
        <f t="shared" si="35"/>
        <v>562329</v>
      </c>
    </row>
    <row r="295">
      <c r="A295" s="99">
        <f t="shared" si="25"/>
        <v>45809</v>
      </c>
      <c r="B295" s="101">
        <v>3556710.0</v>
      </c>
      <c r="C295" s="101">
        <v>2000649.0</v>
      </c>
      <c r="D295" s="102">
        <f>'Workforce &amp; Expenses'!I347</f>
        <v>2150436</v>
      </c>
      <c r="E295" s="102">
        <f t="shared" si="26"/>
        <v>1406274</v>
      </c>
      <c r="F295" s="102">
        <f t="shared" si="27"/>
        <v>3556710</v>
      </c>
      <c r="G295" s="102">
        <f>'Workforce &amp; Expenses'!J347</f>
        <v>679085</v>
      </c>
      <c r="H295" s="102">
        <f t="shared" si="28"/>
        <v>1321564</v>
      </c>
      <c r="I295" s="102">
        <f t="shared" si="29"/>
        <v>2000649</v>
      </c>
      <c r="J295" s="102">
        <f t="shared" si="30"/>
        <v>0</v>
      </c>
      <c r="K295" s="102">
        <f t="shared" si="31"/>
        <v>562510</v>
      </c>
      <c r="L295" s="102">
        <f t="shared" si="32"/>
        <v>492196</v>
      </c>
      <c r="M295" s="102">
        <f t="shared" si="33"/>
        <v>351568</v>
      </c>
      <c r="N295" s="102">
        <f t="shared" si="34"/>
        <v>792938</v>
      </c>
      <c r="O295" s="102">
        <f t="shared" si="35"/>
        <v>528626</v>
      </c>
    </row>
    <row r="296">
      <c r="A296" s="99">
        <f t="shared" si="25"/>
        <v>45839</v>
      </c>
      <c r="B296" s="101">
        <v>3484191.0</v>
      </c>
      <c r="C296" s="101">
        <v>1959857.0</v>
      </c>
      <c r="D296" s="102">
        <f>'Workforce &amp; Expenses'!I348</f>
        <v>2213685</v>
      </c>
      <c r="E296" s="102">
        <f t="shared" si="26"/>
        <v>1270506</v>
      </c>
      <c r="F296" s="102">
        <f t="shared" si="27"/>
        <v>3484191</v>
      </c>
      <c r="G296" s="102">
        <f>'Workforce &amp; Expenses'!J348</f>
        <v>699058</v>
      </c>
      <c r="H296" s="102">
        <f t="shared" si="28"/>
        <v>1260799</v>
      </c>
      <c r="I296" s="102">
        <f t="shared" si="29"/>
        <v>1959857</v>
      </c>
      <c r="J296" s="102">
        <f t="shared" si="30"/>
        <v>0</v>
      </c>
      <c r="K296" s="102">
        <f t="shared" si="31"/>
        <v>508202</v>
      </c>
      <c r="L296" s="102">
        <f t="shared" si="32"/>
        <v>444677</v>
      </c>
      <c r="M296" s="102">
        <f t="shared" si="33"/>
        <v>317627</v>
      </c>
      <c r="N296" s="102">
        <f t="shared" si="34"/>
        <v>756479</v>
      </c>
      <c r="O296" s="102">
        <f t="shared" si="35"/>
        <v>504320</v>
      </c>
    </row>
    <row r="297">
      <c r="A297" s="99">
        <f t="shared" si="25"/>
        <v>45870</v>
      </c>
      <c r="B297" s="101">
        <v>3483983.0</v>
      </c>
      <c r="C297" s="101">
        <v>1959740.0</v>
      </c>
      <c r="D297" s="102">
        <f>'Workforce &amp; Expenses'!I349</f>
        <v>2276932</v>
      </c>
      <c r="E297" s="102">
        <f t="shared" si="26"/>
        <v>1207051</v>
      </c>
      <c r="F297" s="102">
        <f t="shared" si="27"/>
        <v>3483983</v>
      </c>
      <c r="G297" s="102">
        <f>'Workforce &amp; Expenses'!J349</f>
        <v>719031</v>
      </c>
      <c r="H297" s="102">
        <f t="shared" si="28"/>
        <v>1240709</v>
      </c>
      <c r="I297" s="102">
        <f t="shared" si="29"/>
        <v>1959740</v>
      </c>
      <c r="J297" s="102">
        <f t="shared" si="30"/>
        <v>0</v>
      </c>
      <c r="K297" s="102">
        <f t="shared" si="31"/>
        <v>482820</v>
      </c>
      <c r="L297" s="102">
        <f t="shared" si="32"/>
        <v>422468</v>
      </c>
      <c r="M297" s="102">
        <f t="shared" si="33"/>
        <v>301763</v>
      </c>
      <c r="N297" s="102">
        <f t="shared" si="34"/>
        <v>744425</v>
      </c>
      <c r="O297" s="102">
        <f t="shared" si="35"/>
        <v>496284</v>
      </c>
    </row>
    <row r="298">
      <c r="A298" s="99">
        <f t="shared" si="25"/>
        <v>45901</v>
      </c>
      <c r="B298" s="101">
        <v>3567308.0</v>
      </c>
      <c r="C298" s="101">
        <v>2006610.0</v>
      </c>
      <c r="D298" s="102">
        <f>'Workforce &amp; Expenses'!I350</f>
        <v>2340180</v>
      </c>
      <c r="E298" s="102">
        <f t="shared" si="26"/>
        <v>1227128</v>
      </c>
      <c r="F298" s="102">
        <f t="shared" si="27"/>
        <v>3567308</v>
      </c>
      <c r="G298" s="102">
        <f>'Workforce &amp; Expenses'!J350</f>
        <v>739004</v>
      </c>
      <c r="H298" s="102">
        <f t="shared" si="28"/>
        <v>1267606</v>
      </c>
      <c r="I298" s="102">
        <f t="shared" si="29"/>
        <v>2006610</v>
      </c>
      <c r="J298" s="102">
        <f t="shared" si="30"/>
        <v>0</v>
      </c>
      <c r="K298" s="102">
        <f t="shared" si="31"/>
        <v>490851</v>
      </c>
      <c r="L298" s="102">
        <f t="shared" si="32"/>
        <v>429495</v>
      </c>
      <c r="M298" s="102">
        <f t="shared" si="33"/>
        <v>306782</v>
      </c>
      <c r="N298" s="102">
        <f t="shared" si="34"/>
        <v>760564</v>
      </c>
      <c r="O298" s="102">
        <f t="shared" si="35"/>
        <v>507042</v>
      </c>
    </row>
    <row r="299">
      <c r="A299" s="99">
        <f t="shared" si="25"/>
        <v>45931</v>
      </c>
      <c r="B299" s="101">
        <v>3722944.0</v>
      </c>
      <c r="C299" s="101">
        <v>2094156.0</v>
      </c>
      <c r="D299" s="102">
        <f>'Workforce &amp; Expenses'!I351</f>
        <v>2403429</v>
      </c>
      <c r="E299" s="102">
        <f t="shared" si="26"/>
        <v>1319515</v>
      </c>
      <c r="F299" s="102">
        <f t="shared" si="27"/>
        <v>3722944</v>
      </c>
      <c r="G299" s="102">
        <f>'Workforce &amp; Expenses'!J351</f>
        <v>758978</v>
      </c>
      <c r="H299" s="102">
        <f t="shared" si="28"/>
        <v>1335178</v>
      </c>
      <c r="I299" s="102">
        <f t="shared" si="29"/>
        <v>2094156</v>
      </c>
      <c r="J299" s="102">
        <f t="shared" si="30"/>
        <v>0</v>
      </c>
      <c r="K299" s="102">
        <f t="shared" si="31"/>
        <v>527806</v>
      </c>
      <c r="L299" s="102">
        <f t="shared" si="32"/>
        <v>461830</v>
      </c>
      <c r="M299" s="102">
        <f t="shared" si="33"/>
        <v>329879</v>
      </c>
      <c r="N299" s="102">
        <f t="shared" si="34"/>
        <v>801107</v>
      </c>
      <c r="O299" s="102">
        <f t="shared" si="35"/>
        <v>534071</v>
      </c>
    </row>
    <row r="300">
      <c r="A300" s="99">
        <f t="shared" si="25"/>
        <v>45962</v>
      </c>
      <c r="B300" s="101">
        <v>3920346.0</v>
      </c>
      <c r="C300" s="101">
        <v>2205195.0</v>
      </c>
      <c r="D300" s="102">
        <f>'Workforce &amp; Expenses'!I352</f>
        <v>2466677</v>
      </c>
      <c r="E300" s="102">
        <f t="shared" si="26"/>
        <v>1453669</v>
      </c>
      <c r="F300" s="102">
        <f t="shared" si="27"/>
        <v>3920346</v>
      </c>
      <c r="G300" s="102">
        <f>'Workforce &amp; Expenses'!J352</f>
        <v>778950</v>
      </c>
      <c r="H300" s="102">
        <f t="shared" si="28"/>
        <v>1426245</v>
      </c>
      <c r="I300" s="102">
        <f t="shared" si="29"/>
        <v>2205195</v>
      </c>
      <c r="J300" s="102">
        <f t="shared" si="30"/>
        <v>0</v>
      </c>
      <c r="K300" s="102">
        <f t="shared" si="31"/>
        <v>581468</v>
      </c>
      <c r="L300" s="102">
        <f t="shared" si="32"/>
        <v>508784</v>
      </c>
      <c r="M300" s="102">
        <f t="shared" si="33"/>
        <v>363417</v>
      </c>
      <c r="N300" s="102">
        <f t="shared" si="34"/>
        <v>855747</v>
      </c>
      <c r="O300" s="102">
        <f t="shared" si="35"/>
        <v>570498</v>
      </c>
    </row>
    <row r="301">
      <c r="A301" s="99">
        <f t="shared" si="25"/>
        <v>45992</v>
      </c>
      <c r="B301" s="101">
        <v>4117748.0</v>
      </c>
      <c r="C301" s="101">
        <v>2316233.0</v>
      </c>
      <c r="D301" s="102">
        <f>'Workforce &amp; Expenses'!I353</f>
        <v>2529924</v>
      </c>
      <c r="E301" s="102">
        <f t="shared" si="26"/>
        <v>1587824</v>
      </c>
      <c r="F301" s="102">
        <f t="shared" si="27"/>
        <v>4117748</v>
      </c>
      <c r="G301" s="102">
        <f>'Workforce &amp; Expenses'!J353</f>
        <v>798924</v>
      </c>
      <c r="H301" s="102">
        <f t="shared" si="28"/>
        <v>1517309</v>
      </c>
      <c r="I301" s="102">
        <f t="shared" si="29"/>
        <v>2316233</v>
      </c>
      <c r="J301" s="102">
        <f t="shared" si="30"/>
        <v>0</v>
      </c>
      <c r="K301" s="102">
        <f t="shared" si="31"/>
        <v>635130</v>
      </c>
      <c r="L301" s="102">
        <f t="shared" si="32"/>
        <v>555738</v>
      </c>
      <c r="M301" s="102">
        <f t="shared" si="33"/>
        <v>396956</v>
      </c>
      <c r="N301" s="102">
        <f t="shared" si="34"/>
        <v>910385</v>
      </c>
      <c r="O301" s="102">
        <f t="shared" si="35"/>
        <v>606924</v>
      </c>
    </row>
    <row r="302">
      <c r="A302" s="113">
        <v>46023.0</v>
      </c>
      <c r="B302" s="116">
        <v>6167770.0</v>
      </c>
      <c r="C302" s="116">
        <v>4189174.0</v>
      </c>
      <c r="D302" s="115">
        <f>'Workforce &amp; Expenses'!I354</f>
        <v>2897370</v>
      </c>
      <c r="E302" s="115">
        <f t="shared" si="26"/>
        <v>3270400</v>
      </c>
      <c r="F302" s="115">
        <f t="shared" si="27"/>
        <v>6167770</v>
      </c>
      <c r="G302" s="115">
        <f>'Workforce &amp; Expenses'!J354</f>
        <v>796950</v>
      </c>
      <c r="H302" s="115">
        <f t="shared" si="28"/>
        <v>3392224</v>
      </c>
      <c r="I302" s="115">
        <f t="shared" si="29"/>
        <v>4189174</v>
      </c>
      <c r="J302" s="115">
        <f t="shared" si="30"/>
        <v>0</v>
      </c>
      <c r="K302" s="115">
        <f t="shared" ref="K302:K310" si="36">ROUND(E302*0.38,0)</f>
        <v>1242752</v>
      </c>
      <c r="L302" s="115">
        <f t="shared" ref="L302:L310" si="37">ROUND(E302*0.34,0)</f>
        <v>1111936</v>
      </c>
      <c r="M302" s="115">
        <f t="shared" si="33"/>
        <v>915712</v>
      </c>
      <c r="N302" s="115">
        <f t="shared" si="34"/>
        <v>2035334</v>
      </c>
      <c r="O302" s="115">
        <f t="shared" si="35"/>
        <v>1356890</v>
      </c>
    </row>
    <row r="303">
      <c r="A303" s="131">
        <v>46054.0</v>
      </c>
      <c r="B303" s="121">
        <v>6143630.0</v>
      </c>
      <c r="C303" s="121">
        <v>4230569.0</v>
      </c>
      <c r="D303" s="120">
        <f>'Workforce &amp; Expenses'!I355</f>
        <v>2886030</v>
      </c>
      <c r="E303" s="120">
        <f t="shared" si="26"/>
        <v>3257600</v>
      </c>
      <c r="F303" s="120">
        <f t="shared" si="27"/>
        <v>6143630</v>
      </c>
      <c r="G303" s="120">
        <f>'Workforce &amp; Expenses'!J355</f>
        <v>804825</v>
      </c>
      <c r="H303" s="120">
        <f t="shared" si="28"/>
        <v>3425744</v>
      </c>
      <c r="I303" s="120">
        <f t="shared" si="29"/>
        <v>4230569</v>
      </c>
      <c r="J303" s="120">
        <f t="shared" si="30"/>
        <v>0</v>
      </c>
      <c r="K303" s="120">
        <f t="shared" si="36"/>
        <v>1237888</v>
      </c>
      <c r="L303" s="120">
        <f t="shared" si="37"/>
        <v>1107584</v>
      </c>
      <c r="M303" s="120">
        <f t="shared" si="33"/>
        <v>912128</v>
      </c>
      <c r="N303" s="120">
        <f t="shared" si="34"/>
        <v>2055446</v>
      </c>
      <c r="O303" s="120">
        <f t="shared" si="35"/>
        <v>1370298</v>
      </c>
      <c r="P303" s="135"/>
      <c r="Q303" s="135"/>
      <c r="R303" s="135"/>
      <c r="S303" s="135"/>
      <c r="T303" s="135"/>
      <c r="U303" s="135"/>
      <c r="V303" s="135"/>
      <c r="W303" s="135"/>
      <c r="X303" s="135"/>
      <c r="Y303" s="135"/>
      <c r="Z303" s="135"/>
    </row>
    <row r="304" ht="16.5" customHeight="1">
      <c r="A304" s="117">
        <v>46082.0</v>
      </c>
      <c r="B304" s="119">
        <v>6161735.0</v>
      </c>
      <c r="C304" s="119">
        <v>4271964.0</v>
      </c>
      <c r="D304" s="119">
        <f>'Workforce &amp; Expenses'!I356</f>
        <v>2894535</v>
      </c>
      <c r="E304" s="119">
        <f t="shared" si="26"/>
        <v>3267200</v>
      </c>
      <c r="F304" s="119">
        <f t="shared" si="27"/>
        <v>6161735</v>
      </c>
      <c r="G304" s="119">
        <f>'Workforce &amp; Expenses'!J356</f>
        <v>812700</v>
      </c>
      <c r="H304" s="119">
        <f t="shared" si="28"/>
        <v>3459264</v>
      </c>
      <c r="I304" s="119">
        <f t="shared" si="29"/>
        <v>4271964</v>
      </c>
      <c r="J304" s="119">
        <f t="shared" si="30"/>
        <v>0</v>
      </c>
      <c r="K304" s="119">
        <f t="shared" si="36"/>
        <v>1241536</v>
      </c>
      <c r="L304" s="119">
        <f t="shared" si="37"/>
        <v>1110848</v>
      </c>
      <c r="M304" s="119">
        <f t="shared" si="33"/>
        <v>914816</v>
      </c>
      <c r="N304" s="119">
        <f t="shared" si="34"/>
        <v>2075558</v>
      </c>
      <c r="O304" s="119">
        <f t="shared" si="35"/>
        <v>1383706</v>
      </c>
      <c r="P304" s="135"/>
      <c r="Q304" s="135"/>
      <c r="R304" s="135"/>
      <c r="S304" s="135"/>
      <c r="T304" s="135"/>
      <c r="U304" s="135"/>
      <c r="V304" s="135"/>
      <c r="W304" s="135"/>
      <c r="X304" s="135"/>
      <c r="Y304" s="135"/>
      <c r="Z304" s="135"/>
    </row>
    <row r="305">
      <c r="A305" s="113">
        <v>46113.0</v>
      </c>
      <c r="B305" s="116">
        <v>6228120.0</v>
      </c>
      <c r="C305" s="116">
        <v>4189174.0</v>
      </c>
      <c r="D305" s="115">
        <f>'Workforce &amp; Expenses'!I357</f>
        <v>2925720</v>
      </c>
      <c r="E305" s="115">
        <f t="shared" si="26"/>
        <v>3302400</v>
      </c>
      <c r="F305" s="115">
        <f t="shared" si="27"/>
        <v>6228120</v>
      </c>
      <c r="G305" s="115">
        <f>'Workforce &amp; Expenses'!J357</f>
        <v>796950</v>
      </c>
      <c r="H305" s="115">
        <f t="shared" si="28"/>
        <v>3392224</v>
      </c>
      <c r="I305" s="115">
        <f t="shared" si="29"/>
        <v>4189174</v>
      </c>
      <c r="J305" s="115">
        <f t="shared" si="30"/>
        <v>0</v>
      </c>
      <c r="K305" s="115">
        <f t="shared" si="36"/>
        <v>1254912</v>
      </c>
      <c r="L305" s="115">
        <f t="shared" si="37"/>
        <v>1122816</v>
      </c>
      <c r="M305" s="115">
        <f t="shared" si="33"/>
        <v>924672</v>
      </c>
      <c r="N305" s="115">
        <f t="shared" si="34"/>
        <v>2035334</v>
      </c>
      <c r="O305" s="115">
        <f t="shared" si="35"/>
        <v>1356890</v>
      </c>
    </row>
    <row r="306">
      <c r="A306" s="113">
        <v>46143.0</v>
      </c>
      <c r="B306" s="116">
        <v>6203980.0</v>
      </c>
      <c r="C306" s="116">
        <v>4230569.0</v>
      </c>
      <c r="D306" s="115">
        <f>'Workforce &amp; Expenses'!I358</f>
        <v>2914380</v>
      </c>
      <c r="E306" s="115">
        <f t="shared" si="26"/>
        <v>3289600</v>
      </c>
      <c r="F306" s="115">
        <f t="shared" si="27"/>
        <v>6203980</v>
      </c>
      <c r="G306" s="115">
        <f>'Workforce &amp; Expenses'!J358</f>
        <v>804825</v>
      </c>
      <c r="H306" s="115">
        <f t="shared" si="28"/>
        <v>3425744</v>
      </c>
      <c r="I306" s="115">
        <f t="shared" si="29"/>
        <v>4230569</v>
      </c>
      <c r="J306" s="115">
        <f t="shared" si="30"/>
        <v>0</v>
      </c>
      <c r="K306" s="115">
        <f t="shared" si="36"/>
        <v>1250048</v>
      </c>
      <c r="L306" s="115">
        <f t="shared" si="37"/>
        <v>1118464</v>
      </c>
      <c r="M306" s="115">
        <f t="shared" si="33"/>
        <v>921088</v>
      </c>
      <c r="N306" s="115">
        <f t="shared" si="34"/>
        <v>2055446</v>
      </c>
      <c r="O306" s="115">
        <f t="shared" si="35"/>
        <v>1370298</v>
      </c>
    </row>
    <row r="307">
      <c r="A307" s="113">
        <v>46174.0</v>
      </c>
      <c r="B307" s="116">
        <v>6179840.0</v>
      </c>
      <c r="C307" s="116">
        <v>4271964.0</v>
      </c>
      <c r="D307" s="115">
        <f>'Workforce &amp; Expenses'!I359</f>
        <v>2903040</v>
      </c>
      <c r="E307" s="115">
        <f t="shared" si="26"/>
        <v>3276800</v>
      </c>
      <c r="F307" s="115">
        <f t="shared" si="27"/>
        <v>6179840</v>
      </c>
      <c r="G307" s="115">
        <f>'Workforce &amp; Expenses'!J359</f>
        <v>812700</v>
      </c>
      <c r="H307" s="115">
        <f t="shared" si="28"/>
        <v>3459264</v>
      </c>
      <c r="I307" s="115">
        <f t="shared" si="29"/>
        <v>4271964</v>
      </c>
      <c r="J307" s="115">
        <f t="shared" si="30"/>
        <v>0</v>
      </c>
      <c r="K307" s="115">
        <f t="shared" si="36"/>
        <v>1245184</v>
      </c>
      <c r="L307" s="115">
        <f t="shared" si="37"/>
        <v>1114112</v>
      </c>
      <c r="M307" s="115">
        <f t="shared" si="33"/>
        <v>917504</v>
      </c>
      <c r="N307" s="115">
        <f t="shared" si="34"/>
        <v>2075558</v>
      </c>
      <c r="O307" s="115">
        <f t="shared" si="35"/>
        <v>1383706</v>
      </c>
    </row>
    <row r="308">
      <c r="A308" s="113">
        <v>46204.0</v>
      </c>
      <c r="B308" s="116">
        <v>6246225.0</v>
      </c>
      <c r="C308" s="116">
        <v>4189174.0</v>
      </c>
      <c r="D308" s="115">
        <f>'Workforce &amp; Expenses'!I360</f>
        <v>2934225</v>
      </c>
      <c r="E308" s="115">
        <f t="shared" si="26"/>
        <v>3312000</v>
      </c>
      <c r="F308" s="115">
        <f t="shared" si="27"/>
        <v>6246225</v>
      </c>
      <c r="G308" s="115">
        <f>'Workforce &amp; Expenses'!J360</f>
        <v>796950</v>
      </c>
      <c r="H308" s="115">
        <f t="shared" si="28"/>
        <v>3392224</v>
      </c>
      <c r="I308" s="115">
        <f t="shared" si="29"/>
        <v>4189174</v>
      </c>
      <c r="J308" s="115">
        <f t="shared" si="30"/>
        <v>0</v>
      </c>
      <c r="K308" s="115">
        <f t="shared" si="36"/>
        <v>1258560</v>
      </c>
      <c r="L308" s="115">
        <f t="shared" si="37"/>
        <v>1126080</v>
      </c>
      <c r="M308" s="115">
        <f t="shared" si="33"/>
        <v>927360</v>
      </c>
      <c r="N308" s="115">
        <f t="shared" si="34"/>
        <v>2035334</v>
      </c>
      <c r="O308" s="115">
        <f t="shared" si="35"/>
        <v>1356890</v>
      </c>
    </row>
    <row r="309">
      <c r="A309" s="113">
        <v>46235.0</v>
      </c>
      <c r="B309" s="116">
        <v>6222085.0</v>
      </c>
      <c r="C309" s="116">
        <v>4230569.0</v>
      </c>
      <c r="D309" s="115">
        <f>'Workforce &amp; Expenses'!I361</f>
        <v>2922885</v>
      </c>
      <c r="E309" s="115">
        <f t="shared" si="26"/>
        <v>3299200</v>
      </c>
      <c r="F309" s="115">
        <f t="shared" si="27"/>
        <v>6222085</v>
      </c>
      <c r="G309" s="115">
        <f>'Workforce &amp; Expenses'!J361</f>
        <v>804825</v>
      </c>
      <c r="H309" s="115">
        <f t="shared" si="28"/>
        <v>3425744</v>
      </c>
      <c r="I309" s="115">
        <f t="shared" si="29"/>
        <v>4230569</v>
      </c>
      <c r="J309" s="115">
        <f t="shared" si="30"/>
        <v>0</v>
      </c>
      <c r="K309" s="115">
        <f t="shared" si="36"/>
        <v>1253696</v>
      </c>
      <c r="L309" s="115">
        <f t="shared" si="37"/>
        <v>1121728</v>
      </c>
      <c r="M309" s="115">
        <f t="shared" si="33"/>
        <v>923776</v>
      </c>
      <c r="N309" s="115">
        <f t="shared" si="34"/>
        <v>2055446</v>
      </c>
      <c r="O309" s="115">
        <f t="shared" si="35"/>
        <v>1370298</v>
      </c>
    </row>
    <row r="310">
      <c r="A310" s="113">
        <v>46266.0</v>
      </c>
      <c r="B310" s="116">
        <v>6197945.0</v>
      </c>
      <c r="C310" s="116">
        <v>4271964.0</v>
      </c>
      <c r="D310" s="115">
        <f>'Workforce &amp; Expenses'!I362</f>
        <v>2911545</v>
      </c>
      <c r="E310" s="115">
        <f t="shared" si="26"/>
        <v>3286400</v>
      </c>
      <c r="F310" s="115">
        <f t="shared" si="27"/>
        <v>6197945</v>
      </c>
      <c r="G310" s="115">
        <f>'Workforce &amp; Expenses'!J362</f>
        <v>812700</v>
      </c>
      <c r="H310" s="115">
        <f t="shared" si="28"/>
        <v>3459264</v>
      </c>
      <c r="I310" s="115">
        <f t="shared" si="29"/>
        <v>4271964</v>
      </c>
      <c r="J310" s="115">
        <f t="shared" si="30"/>
        <v>0</v>
      </c>
      <c r="K310" s="115">
        <f t="shared" si="36"/>
        <v>1248832</v>
      </c>
      <c r="L310" s="115">
        <f t="shared" si="37"/>
        <v>1117376</v>
      </c>
      <c r="M310" s="115">
        <f t="shared" si="33"/>
        <v>920192</v>
      </c>
      <c r="N310" s="115">
        <f t="shared" si="34"/>
        <v>2075558</v>
      </c>
      <c r="O310" s="115">
        <f t="shared" si="35"/>
        <v>1383706</v>
      </c>
    </row>
    <row r="311">
      <c r="A311" s="122">
        <f>'Monthly Data'!A107</f>
        <v>46296</v>
      </c>
      <c r="B311" s="125">
        <f>'Clinical Trials &amp; R&amp;D'!L43</f>
        <v>6035000</v>
      </c>
      <c r="C311" s="125">
        <f>'Clinical Trials &amp; R&amp;D'!T43</f>
        <v>4139500</v>
      </c>
      <c r="D311" s="124">
        <f>'Workforce &amp; Expenses'!I363</f>
        <v>2835000</v>
      </c>
      <c r="E311" s="124">
        <f t="shared" si="26"/>
        <v>3200000</v>
      </c>
      <c r="F311" s="124">
        <f t="shared" si="27"/>
        <v>6035000</v>
      </c>
      <c r="G311" s="124">
        <f>'Workforce &amp; Expenses'!J363</f>
        <v>787500</v>
      </c>
      <c r="H311" s="124">
        <f t="shared" si="28"/>
        <v>3352000</v>
      </c>
      <c r="I311" s="124">
        <f t="shared" si="29"/>
        <v>4139500</v>
      </c>
      <c r="J311" s="124">
        <f t="shared" si="30"/>
        <v>0</v>
      </c>
      <c r="K311" s="124">
        <f t="shared" ref="K311:K385" si="38">ROUND(E311*0.4,0)</f>
        <v>1280000</v>
      </c>
      <c r="L311" s="124">
        <f t="shared" ref="L311:L385" si="39">ROUND(E311*0.35,0)</f>
        <v>1120000</v>
      </c>
      <c r="M311" s="124">
        <f t="shared" si="33"/>
        <v>800000</v>
      </c>
      <c r="N311" s="124">
        <f t="shared" si="34"/>
        <v>2011200</v>
      </c>
      <c r="O311" s="124">
        <f t="shared" si="35"/>
        <v>1340800</v>
      </c>
    </row>
    <row r="312">
      <c r="A312" s="122">
        <f>'Monthly Data'!A108</f>
        <v>46327</v>
      </c>
      <c r="B312" s="125">
        <f>'Clinical Trials &amp; R&amp;D'!L44</f>
        <v>6035000</v>
      </c>
      <c r="C312" s="125">
        <f>'Clinical Trials &amp; R&amp;D'!T44</f>
        <v>4139500</v>
      </c>
      <c r="D312" s="124">
        <f>'Workforce &amp; Expenses'!I364</f>
        <v>2835000</v>
      </c>
      <c r="E312" s="124">
        <f t="shared" si="26"/>
        <v>3200000</v>
      </c>
      <c r="F312" s="124">
        <f t="shared" si="27"/>
        <v>6035000</v>
      </c>
      <c r="G312" s="124">
        <f>'Workforce &amp; Expenses'!J364</f>
        <v>787500</v>
      </c>
      <c r="H312" s="124">
        <f t="shared" si="28"/>
        <v>3352000</v>
      </c>
      <c r="I312" s="124">
        <f t="shared" si="29"/>
        <v>4139500</v>
      </c>
      <c r="J312" s="124">
        <f t="shared" si="30"/>
        <v>0</v>
      </c>
      <c r="K312" s="124">
        <f t="shared" si="38"/>
        <v>1280000</v>
      </c>
      <c r="L312" s="124">
        <f t="shared" si="39"/>
        <v>1120000</v>
      </c>
      <c r="M312" s="124">
        <f t="shared" si="33"/>
        <v>800000</v>
      </c>
      <c r="N312" s="124">
        <f t="shared" si="34"/>
        <v>2011200</v>
      </c>
      <c r="O312" s="124">
        <f t="shared" si="35"/>
        <v>1340800</v>
      </c>
    </row>
    <row r="313">
      <c r="A313" s="122">
        <f>'Monthly Data'!A109</f>
        <v>46357</v>
      </c>
      <c r="B313" s="125">
        <f>'Clinical Trials &amp; R&amp;D'!L45</f>
        <v>6035000</v>
      </c>
      <c r="C313" s="125">
        <f>'Clinical Trials &amp; R&amp;D'!T45</f>
        <v>4139500</v>
      </c>
      <c r="D313" s="124">
        <f>'Workforce &amp; Expenses'!I365</f>
        <v>2835000</v>
      </c>
      <c r="E313" s="124">
        <f t="shared" si="26"/>
        <v>3200000</v>
      </c>
      <c r="F313" s="124">
        <f t="shared" si="27"/>
        <v>6035000</v>
      </c>
      <c r="G313" s="124">
        <f>'Workforce &amp; Expenses'!J365</f>
        <v>787500</v>
      </c>
      <c r="H313" s="124">
        <f t="shared" si="28"/>
        <v>3352000</v>
      </c>
      <c r="I313" s="124">
        <f t="shared" si="29"/>
        <v>4139500</v>
      </c>
      <c r="J313" s="124">
        <f t="shared" si="30"/>
        <v>0</v>
      </c>
      <c r="K313" s="124">
        <f t="shared" si="38"/>
        <v>1280000</v>
      </c>
      <c r="L313" s="124">
        <f t="shared" si="39"/>
        <v>1120000</v>
      </c>
      <c r="M313" s="124">
        <f t="shared" si="33"/>
        <v>800000</v>
      </c>
      <c r="N313" s="124">
        <f t="shared" si="34"/>
        <v>2011200</v>
      </c>
      <c r="O313" s="124">
        <f t="shared" si="35"/>
        <v>1340800</v>
      </c>
    </row>
    <row r="314">
      <c r="A314" s="126">
        <f>'Monthly Data'!A110</f>
        <v>46388</v>
      </c>
      <c r="B314" s="124">
        <f>'Clinical Trials &amp; R&amp;D'!L46</f>
        <v>6387477</v>
      </c>
      <c r="C314" s="124">
        <f>'Clinical Trials &amp; R&amp;D'!T46</f>
        <v>4383870</v>
      </c>
      <c r="D314" s="124">
        <f>'Workforce &amp; Expenses'!I366</f>
        <v>2939037</v>
      </c>
      <c r="E314" s="124">
        <f t="shared" si="26"/>
        <v>3448440</v>
      </c>
      <c r="F314" s="124">
        <f t="shared" si="27"/>
        <v>6387477</v>
      </c>
      <c r="G314" s="124">
        <f>'Workforce &amp; Expenses'!J366</f>
        <v>829150</v>
      </c>
      <c r="H314" s="124">
        <f t="shared" si="28"/>
        <v>3554720</v>
      </c>
      <c r="I314" s="124">
        <f t="shared" si="29"/>
        <v>4383870</v>
      </c>
      <c r="J314" s="124">
        <f t="shared" si="30"/>
        <v>0</v>
      </c>
      <c r="K314" s="124">
        <f t="shared" si="38"/>
        <v>1379376</v>
      </c>
      <c r="L314" s="124">
        <f t="shared" si="39"/>
        <v>1206954</v>
      </c>
      <c r="M314" s="124">
        <f t="shared" si="33"/>
        <v>862110</v>
      </c>
      <c r="N314" s="124">
        <f t="shared" si="34"/>
        <v>2132832</v>
      </c>
      <c r="O314" s="124">
        <f t="shared" si="35"/>
        <v>1421888</v>
      </c>
    </row>
    <row r="315">
      <c r="A315" s="126">
        <f>'Monthly Data'!A111</f>
        <v>46419</v>
      </c>
      <c r="B315" s="124">
        <f>'Clinical Trials &amp; R&amp;D'!L47</f>
        <v>6426891</v>
      </c>
      <c r="C315" s="124">
        <f>'Clinical Trials &amp; R&amp;D'!T47</f>
        <v>4383870</v>
      </c>
      <c r="D315" s="124">
        <f>'Workforce &amp; Expenses'!I367</f>
        <v>2978451</v>
      </c>
      <c r="E315" s="124">
        <f t="shared" si="26"/>
        <v>3448440</v>
      </c>
      <c r="F315" s="124">
        <f t="shared" si="27"/>
        <v>6426891</v>
      </c>
      <c r="G315" s="124">
        <f>'Workforce &amp; Expenses'!J367</f>
        <v>829150</v>
      </c>
      <c r="H315" s="124">
        <f t="shared" si="28"/>
        <v>3554720</v>
      </c>
      <c r="I315" s="124">
        <f t="shared" si="29"/>
        <v>4383870</v>
      </c>
      <c r="J315" s="124">
        <f t="shared" si="30"/>
        <v>0</v>
      </c>
      <c r="K315" s="124">
        <f t="shared" si="38"/>
        <v>1379376</v>
      </c>
      <c r="L315" s="124">
        <f t="shared" si="39"/>
        <v>1206954</v>
      </c>
      <c r="M315" s="124">
        <f t="shared" si="33"/>
        <v>862110</v>
      </c>
      <c r="N315" s="124">
        <f t="shared" si="34"/>
        <v>2132832</v>
      </c>
      <c r="O315" s="124">
        <f t="shared" si="35"/>
        <v>1421888</v>
      </c>
    </row>
    <row r="316">
      <c r="A316" s="126">
        <f>'Monthly Data'!A112</f>
        <v>46447</v>
      </c>
      <c r="B316" s="124">
        <f>'Clinical Trials &amp; R&amp;D'!L48</f>
        <v>6445877</v>
      </c>
      <c r="C316" s="124">
        <f>'Clinical Trials &amp; R&amp;D'!T48</f>
        <v>4401895</v>
      </c>
      <c r="D316" s="124">
        <f>'Workforce &amp; Expenses'!I368</f>
        <v>2997437</v>
      </c>
      <c r="E316" s="124">
        <f t="shared" si="26"/>
        <v>3448440</v>
      </c>
      <c r="F316" s="124">
        <f t="shared" si="27"/>
        <v>6445877</v>
      </c>
      <c r="G316" s="124">
        <f>'Workforce &amp; Expenses'!J368</f>
        <v>847175</v>
      </c>
      <c r="H316" s="124">
        <f t="shared" si="28"/>
        <v>3554720</v>
      </c>
      <c r="I316" s="124">
        <f t="shared" si="29"/>
        <v>4401895</v>
      </c>
      <c r="J316" s="124">
        <f t="shared" si="30"/>
        <v>0</v>
      </c>
      <c r="K316" s="124">
        <f t="shared" si="38"/>
        <v>1379376</v>
      </c>
      <c r="L316" s="124">
        <f t="shared" si="39"/>
        <v>1206954</v>
      </c>
      <c r="M316" s="124">
        <f t="shared" si="33"/>
        <v>862110</v>
      </c>
      <c r="N316" s="124">
        <f t="shared" si="34"/>
        <v>2132832</v>
      </c>
      <c r="O316" s="124">
        <f t="shared" si="35"/>
        <v>1421888</v>
      </c>
    </row>
    <row r="317">
      <c r="A317" s="126">
        <f>'Monthly Data'!A113</f>
        <v>46478</v>
      </c>
      <c r="B317" s="124">
        <f>'Clinical Trials &amp; R&amp;D'!L49</f>
        <v>6466305</v>
      </c>
      <c r="C317" s="124">
        <f>'Clinical Trials &amp; R&amp;D'!T49</f>
        <v>4401895</v>
      </c>
      <c r="D317" s="124">
        <f>'Workforce &amp; Expenses'!I369</f>
        <v>3017865</v>
      </c>
      <c r="E317" s="124">
        <f t="shared" si="26"/>
        <v>3448440</v>
      </c>
      <c r="F317" s="124">
        <f t="shared" si="27"/>
        <v>6466305</v>
      </c>
      <c r="G317" s="124">
        <f>'Workforce &amp; Expenses'!J369</f>
        <v>847175</v>
      </c>
      <c r="H317" s="124">
        <f t="shared" si="28"/>
        <v>3554720</v>
      </c>
      <c r="I317" s="124">
        <f t="shared" si="29"/>
        <v>4401895</v>
      </c>
      <c r="J317" s="124">
        <f t="shared" si="30"/>
        <v>0</v>
      </c>
      <c r="K317" s="124">
        <f t="shared" si="38"/>
        <v>1379376</v>
      </c>
      <c r="L317" s="124">
        <f t="shared" si="39"/>
        <v>1206954</v>
      </c>
      <c r="M317" s="124">
        <f t="shared" si="33"/>
        <v>862110</v>
      </c>
      <c r="N317" s="124">
        <f t="shared" si="34"/>
        <v>2132832</v>
      </c>
      <c r="O317" s="124">
        <f t="shared" si="35"/>
        <v>1421888</v>
      </c>
    </row>
    <row r="318">
      <c r="A318" s="126">
        <f>'Monthly Data'!A114</f>
        <v>46508</v>
      </c>
      <c r="B318" s="124">
        <f>'Clinical Trials &amp; R&amp;D'!L50</f>
        <v>6485292</v>
      </c>
      <c r="C318" s="124">
        <f>'Clinical Trials &amp; R&amp;D'!T50</f>
        <v>4419920</v>
      </c>
      <c r="D318" s="124">
        <f>'Workforce &amp; Expenses'!I370</f>
        <v>3036852</v>
      </c>
      <c r="E318" s="124">
        <f t="shared" si="26"/>
        <v>3448440</v>
      </c>
      <c r="F318" s="124">
        <f t="shared" si="27"/>
        <v>6485292</v>
      </c>
      <c r="G318" s="124">
        <f>'Workforce &amp; Expenses'!J370</f>
        <v>865200</v>
      </c>
      <c r="H318" s="124">
        <f t="shared" si="28"/>
        <v>3554720</v>
      </c>
      <c r="I318" s="124">
        <f t="shared" si="29"/>
        <v>4419920</v>
      </c>
      <c r="J318" s="124">
        <f t="shared" si="30"/>
        <v>0</v>
      </c>
      <c r="K318" s="124">
        <f t="shared" si="38"/>
        <v>1379376</v>
      </c>
      <c r="L318" s="124">
        <f t="shared" si="39"/>
        <v>1206954</v>
      </c>
      <c r="M318" s="124">
        <f t="shared" si="33"/>
        <v>862110</v>
      </c>
      <c r="N318" s="124">
        <f t="shared" si="34"/>
        <v>2132832</v>
      </c>
      <c r="O318" s="124">
        <f t="shared" si="35"/>
        <v>1421888</v>
      </c>
    </row>
    <row r="319">
      <c r="A319" s="126">
        <f>'Monthly Data'!A115</f>
        <v>46539</v>
      </c>
      <c r="B319" s="124">
        <f>'Clinical Trials &amp; R&amp;D'!L51</f>
        <v>6524707</v>
      </c>
      <c r="C319" s="124">
        <f>'Clinical Trials &amp; R&amp;D'!T51</f>
        <v>4437945</v>
      </c>
      <c r="D319" s="124">
        <f>'Workforce &amp; Expenses'!I371</f>
        <v>3076267</v>
      </c>
      <c r="E319" s="124">
        <f t="shared" si="26"/>
        <v>3448440</v>
      </c>
      <c r="F319" s="124">
        <f t="shared" si="27"/>
        <v>6524707</v>
      </c>
      <c r="G319" s="124">
        <f>'Workforce &amp; Expenses'!J371</f>
        <v>883225</v>
      </c>
      <c r="H319" s="124">
        <f t="shared" si="28"/>
        <v>3554720</v>
      </c>
      <c r="I319" s="124">
        <f t="shared" si="29"/>
        <v>4437945</v>
      </c>
      <c r="J319" s="124">
        <f t="shared" si="30"/>
        <v>0</v>
      </c>
      <c r="K319" s="124">
        <f t="shared" si="38"/>
        <v>1379376</v>
      </c>
      <c r="L319" s="124">
        <f t="shared" si="39"/>
        <v>1206954</v>
      </c>
      <c r="M319" s="124">
        <f t="shared" si="33"/>
        <v>862110</v>
      </c>
      <c r="N319" s="124">
        <f t="shared" si="34"/>
        <v>2132832</v>
      </c>
      <c r="O319" s="124">
        <f t="shared" si="35"/>
        <v>1421888</v>
      </c>
    </row>
    <row r="320">
      <c r="A320" s="126">
        <f>'Monthly Data'!A116</f>
        <v>46569</v>
      </c>
      <c r="B320" s="124">
        <f>'Clinical Trials &amp; R&amp;D'!L52</f>
        <v>4204048</v>
      </c>
      <c r="C320" s="124">
        <f>'Clinical Trials &amp; R&amp;D'!T52</f>
        <v>4437945</v>
      </c>
      <c r="D320" s="124">
        <f>'Workforce &amp; Expenses'!I372</f>
        <v>3095253</v>
      </c>
      <c r="E320" s="124">
        <f t="shared" si="26"/>
        <v>1108795</v>
      </c>
      <c r="F320" s="124">
        <f t="shared" si="27"/>
        <v>4204048</v>
      </c>
      <c r="G320" s="124">
        <f>'Workforce &amp; Expenses'!J372</f>
        <v>883225</v>
      </c>
      <c r="H320" s="124">
        <f t="shared" si="28"/>
        <v>3554720</v>
      </c>
      <c r="I320" s="124">
        <f t="shared" si="29"/>
        <v>4437945</v>
      </c>
      <c r="J320" s="124">
        <f t="shared" si="30"/>
        <v>0</v>
      </c>
      <c r="K320" s="124">
        <f t="shared" si="38"/>
        <v>443518</v>
      </c>
      <c r="L320" s="124">
        <f t="shared" si="39"/>
        <v>388078</v>
      </c>
      <c r="M320" s="124">
        <f t="shared" si="33"/>
        <v>277199</v>
      </c>
      <c r="N320" s="124">
        <f t="shared" si="34"/>
        <v>2132832</v>
      </c>
      <c r="O320" s="124">
        <f t="shared" si="35"/>
        <v>1421888</v>
      </c>
    </row>
    <row r="321">
      <c r="A321" s="126">
        <f>'Monthly Data'!A117</f>
        <v>46600</v>
      </c>
      <c r="B321" s="124">
        <f>'Clinical Trials &amp; R&amp;D'!L53</f>
        <v>4223035</v>
      </c>
      <c r="C321" s="124">
        <f>'Clinical Trials &amp; R&amp;D'!T53</f>
        <v>4455970</v>
      </c>
      <c r="D321" s="124">
        <f>'Workforce &amp; Expenses'!I373</f>
        <v>3114240</v>
      </c>
      <c r="E321" s="124">
        <f t="shared" si="26"/>
        <v>1108795</v>
      </c>
      <c r="F321" s="124">
        <f t="shared" si="27"/>
        <v>4223035</v>
      </c>
      <c r="G321" s="124">
        <f>'Workforce &amp; Expenses'!J373</f>
        <v>901250</v>
      </c>
      <c r="H321" s="124">
        <f t="shared" si="28"/>
        <v>3554720</v>
      </c>
      <c r="I321" s="124">
        <f t="shared" si="29"/>
        <v>4455970</v>
      </c>
      <c r="J321" s="124">
        <f t="shared" si="30"/>
        <v>0</v>
      </c>
      <c r="K321" s="124">
        <f t="shared" si="38"/>
        <v>443518</v>
      </c>
      <c r="L321" s="124">
        <f t="shared" si="39"/>
        <v>388078</v>
      </c>
      <c r="M321" s="124">
        <f t="shared" si="33"/>
        <v>277199</v>
      </c>
      <c r="N321" s="124">
        <f t="shared" si="34"/>
        <v>2132832</v>
      </c>
      <c r="O321" s="124">
        <f t="shared" si="35"/>
        <v>1421888</v>
      </c>
    </row>
    <row r="322">
      <c r="A322" s="126">
        <f>'Monthly Data'!A118</f>
        <v>46631</v>
      </c>
      <c r="B322" s="124">
        <f>'Clinical Trials &amp; R&amp;D'!L54</f>
        <v>4262449</v>
      </c>
      <c r="C322" s="124">
        <f>'Clinical Trials &amp; R&amp;D'!T54</f>
        <v>4455970</v>
      </c>
      <c r="D322" s="124">
        <f>'Workforce &amp; Expenses'!I374</f>
        <v>3153654</v>
      </c>
      <c r="E322" s="124">
        <f t="shared" si="26"/>
        <v>1108795</v>
      </c>
      <c r="F322" s="124">
        <f t="shared" si="27"/>
        <v>4262449</v>
      </c>
      <c r="G322" s="124">
        <f>'Workforce &amp; Expenses'!J374</f>
        <v>901250</v>
      </c>
      <c r="H322" s="124">
        <f t="shared" si="28"/>
        <v>3554720</v>
      </c>
      <c r="I322" s="124">
        <f t="shared" si="29"/>
        <v>4455970</v>
      </c>
      <c r="J322" s="124">
        <f t="shared" si="30"/>
        <v>0</v>
      </c>
      <c r="K322" s="124">
        <f t="shared" si="38"/>
        <v>443518</v>
      </c>
      <c r="L322" s="124">
        <f t="shared" si="39"/>
        <v>388078</v>
      </c>
      <c r="M322" s="124">
        <f t="shared" si="33"/>
        <v>277199</v>
      </c>
      <c r="N322" s="124">
        <f t="shared" si="34"/>
        <v>2132832</v>
      </c>
      <c r="O322" s="124">
        <f t="shared" si="35"/>
        <v>1421888</v>
      </c>
    </row>
    <row r="323">
      <c r="A323" s="126">
        <f>'Monthly Data'!A119</f>
        <v>46661</v>
      </c>
      <c r="B323" s="124">
        <f>'Clinical Trials &amp; R&amp;D'!L55</f>
        <v>4262449</v>
      </c>
      <c r="C323" s="124">
        <f>'Clinical Trials &amp; R&amp;D'!T55</f>
        <v>4473995</v>
      </c>
      <c r="D323" s="124">
        <f>'Workforce &amp; Expenses'!I375</f>
        <v>3153654</v>
      </c>
      <c r="E323" s="124">
        <f t="shared" si="26"/>
        <v>1108795</v>
      </c>
      <c r="F323" s="124">
        <f t="shared" si="27"/>
        <v>4262449</v>
      </c>
      <c r="G323" s="124">
        <f>'Workforce &amp; Expenses'!J375</f>
        <v>919275</v>
      </c>
      <c r="H323" s="124">
        <f t="shared" si="28"/>
        <v>3554720</v>
      </c>
      <c r="I323" s="124">
        <f t="shared" si="29"/>
        <v>4473995</v>
      </c>
      <c r="J323" s="124">
        <f t="shared" si="30"/>
        <v>0</v>
      </c>
      <c r="K323" s="124">
        <f t="shared" si="38"/>
        <v>443518</v>
      </c>
      <c r="L323" s="124">
        <f t="shared" si="39"/>
        <v>388078</v>
      </c>
      <c r="M323" s="124">
        <f t="shared" si="33"/>
        <v>277199</v>
      </c>
      <c r="N323" s="124">
        <f t="shared" si="34"/>
        <v>2132832</v>
      </c>
      <c r="O323" s="124">
        <f t="shared" si="35"/>
        <v>1421888</v>
      </c>
    </row>
    <row r="324">
      <c r="A324" s="126">
        <f>'Monthly Data'!A120</f>
        <v>46692</v>
      </c>
      <c r="B324" s="124">
        <f>'Clinical Trials &amp; R&amp;D'!L56</f>
        <v>4301863</v>
      </c>
      <c r="C324" s="124">
        <f>'Clinical Trials &amp; R&amp;D'!T56</f>
        <v>4473995</v>
      </c>
      <c r="D324" s="124">
        <f>'Workforce &amp; Expenses'!I376</f>
        <v>3193068</v>
      </c>
      <c r="E324" s="124">
        <f t="shared" si="26"/>
        <v>1108795</v>
      </c>
      <c r="F324" s="124">
        <f t="shared" si="27"/>
        <v>4301863</v>
      </c>
      <c r="G324" s="124">
        <f>'Workforce &amp; Expenses'!J376</f>
        <v>919275</v>
      </c>
      <c r="H324" s="124">
        <f t="shared" si="28"/>
        <v>3554720</v>
      </c>
      <c r="I324" s="124">
        <f t="shared" si="29"/>
        <v>4473995</v>
      </c>
      <c r="J324" s="124">
        <f t="shared" si="30"/>
        <v>0</v>
      </c>
      <c r="K324" s="124">
        <f t="shared" si="38"/>
        <v>443518</v>
      </c>
      <c r="L324" s="124">
        <f t="shared" si="39"/>
        <v>388078</v>
      </c>
      <c r="M324" s="124">
        <f t="shared" si="33"/>
        <v>277199</v>
      </c>
      <c r="N324" s="124">
        <f t="shared" si="34"/>
        <v>2132832</v>
      </c>
      <c r="O324" s="124">
        <f t="shared" si="35"/>
        <v>1421888</v>
      </c>
    </row>
    <row r="325">
      <c r="A325" s="126">
        <f>'Monthly Data'!A121</f>
        <v>46722</v>
      </c>
      <c r="B325" s="124">
        <f>'Clinical Trials &amp; R&amp;D'!L57</f>
        <v>4320850</v>
      </c>
      <c r="C325" s="124">
        <f>'Clinical Trials &amp; R&amp;D'!T57</f>
        <v>4492020</v>
      </c>
      <c r="D325" s="124">
        <f>'Workforce &amp; Expenses'!I377</f>
        <v>3212055</v>
      </c>
      <c r="E325" s="124">
        <f t="shared" si="26"/>
        <v>1108795</v>
      </c>
      <c r="F325" s="124">
        <f t="shared" si="27"/>
        <v>4320850</v>
      </c>
      <c r="G325" s="124">
        <f>'Workforce &amp; Expenses'!J377</f>
        <v>937300</v>
      </c>
      <c r="H325" s="124">
        <f t="shared" si="28"/>
        <v>3554720</v>
      </c>
      <c r="I325" s="124">
        <f t="shared" si="29"/>
        <v>4492020</v>
      </c>
      <c r="J325" s="124">
        <f t="shared" si="30"/>
        <v>0</v>
      </c>
      <c r="K325" s="124">
        <f t="shared" si="38"/>
        <v>443518</v>
      </c>
      <c r="L325" s="124">
        <f t="shared" si="39"/>
        <v>388078</v>
      </c>
      <c r="M325" s="124">
        <f t="shared" si="33"/>
        <v>277199</v>
      </c>
      <c r="N325" s="124">
        <f t="shared" si="34"/>
        <v>2132832</v>
      </c>
      <c r="O325" s="124">
        <f t="shared" si="35"/>
        <v>1421888</v>
      </c>
    </row>
    <row r="326">
      <c r="A326" s="126">
        <f>'Monthly Data'!A122</f>
        <v>46753</v>
      </c>
      <c r="B326" s="124">
        <f>'Clinical Trials &amp; R&amp;D'!L58</f>
        <v>4491074</v>
      </c>
      <c r="C326" s="124">
        <f>'Clinical Trials &amp; R&amp;D'!T58</f>
        <v>4728484</v>
      </c>
      <c r="D326" s="124">
        <f>'Workforce &amp; Expenses'!I378</f>
        <v>3349013</v>
      </c>
      <c r="E326" s="124">
        <f t="shared" si="26"/>
        <v>1142061</v>
      </c>
      <c r="F326" s="124">
        <f t="shared" si="27"/>
        <v>4491074</v>
      </c>
      <c r="G326" s="124">
        <f>'Workforce &amp; Expenses'!J378</f>
        <v>983985</v>
      </c>
      <c r="H326" s="124">
        <f t="shared" si="28"/>
        <v>3744499</v>
      </c>
      <c r="I326" s="124">
        <f t="shared" si="29"/>
        <v>4728484</v>
      </c>
      <c r="J326" s="124">
        <f t="shared" si="30"/>
        <v>0</v>
      </c>
      <c r="K326" s="124">
        <f t="shared" si="38"/>
        <v>456824</v>
      </c>
      <c r="L326" s="124">
        <f t="shared" si="39"/>
        <v>399721</v>
      </c>
      <c r="M326" s="124">
        <f t="shared" si="33"/>
        <v>285516</v>
      </c>
      <c r="N326" s="124">
        <f t="shared" si="34"/>
        <v>2246699</v>
      </c>
      <c r="O326" s="124">
        <f t="shared" si="35"/>
        <v>1497800</v>
      </c>
    </row>
    <row r="327">
      <c r="A327" s="126">
        <f>'Monthly Data'!A123</f>
        <v>46784</v>
      </c>
      <c r="B327" s="124">
        <f>'Clinical Trials &amp; R&amp;D'!L59</f>
        <v>4491074</v>
      </c>
      <c r="C327" s="124">
        <f>'Clinical Trials &amp; R&amp;D'!T59</f>
        <v>4747050</v>
      </c>
      <c r="D327" s="124">
        <f>'Workforce &amp; Expenses'!I379</f>
        <v>3349013</v>
      </c>
      <c r="E327" s="124">
        <f t="shared" si="26"/>
        <v>1142061</v>
      </c>
      <c r="F327" s="124">
        <f t="shared" si="27"/>
        <v>4491074</v>
      </c>
      <c r="G327" s="124">
        <f>'Workforce &amp; Expenses'!J379</f>
        <v>1002551</v>
      </c>
      <c r="H327" s="124">
        <f t="shared" si="28"/>
        <v>3744499</v>
      </c>
      <c r="I327" s="124">
        <f t="shared" si="29"/>
        <v>4747050</v>
      </c>
      <c r="J327" s="124">
        <f t="shared" si="30"/>
        <v>0</v>
      </c>
      <c r="K327" s="124">
        <f t="shared" si="38"/>
        <v>456824</v>
      </c>
      <c r="L327" s="124">
        <f t="shared" si="39"/>
        <v>399721</v>
      </c>
      <c r="M327" s="124">
        <f t="shared" si="33"/>
        <v>285516</v>
      </c>
      <c r="N327" s="124">
        <f t="shared" si="34"/>
        <v>2246699</v>
      </c>
      <c r="O327" s="124">
        <f t="shared" si="35"/>
        <v>1497800</v>
      </c>
    </row>
    <row r="328">
      <c r="A328" s="126">
        <f>'Monthly Data'!A124</f>
        <v>46813</v>
      </c>
      <c r="B328" s="124">
        <f>'Clinical Trials &amp; R&amp;D'!L60</f>
        <v>4531671</v>
      </c>
      <c r="C328" s="124">
        <f>'Clinical Trials &amp; R&amp;D'!T60</f>
        <v>4747050</v>
      </c>
      <c r="D328" s="124">
        <f>'Workforce &amp; Expenses'!I380</f>
        <v>3389610</v>
      </c>
      <c r="E328" s="124">
        <f t="shared" si="26"/>
        <v>1142061</v>
      </c>
      <c r="F328" s="124">
        <f t="shared" si="27"/>
        <v>4531671</v>
      </c>
      <c r="G328" s="124">
        <f>'Workforce &amp; Expenses'!J380</f>
        <v>1002551</v>
      </c>
      <c r="H328" s="124">
        <f t="shared" si="28"/>
        <v>3744499</v>
      </c>
      <c r="I328" s="124">
        <f t="shared" si="29"/>
        <v>4747050</v>
      </c>
      <c r="J328" s="124">
        <f t="shared" si="30"/>
        <v>0</v>
      </c>
      <c r="K328" s="124">
        <f t="shared" si="38"/>
        <v>456824</v>
      </c>
      <c r="L328" s="124">
        <f t="shared" si="39"/>
        <v>399721</v>
      </c>
      <c r="M328" s="124">
        <f t="shared" si="33"/>
        <v>285516</v>
      </c>
      <c r="N328" s="124">
        <f t="shared" si="34"/>
        <v>2246699</v>
      </c>
      <c r="O328" s="124">
        <f t="shared" si="35"/>
        <v>1497800</v>
      </c>
    </row>
    <row r="329">
      <c r="A329" s="126">
        <f>'Monthly Data'!A125</f>
        <v>46844</v>
      </c>
      <c r="B329" s="124">
        <f>'Clinical Trials &amp; R&amp;D'!L61</f>
        <v>4531671</v>
      </c>
      <c r="C329" s="124">
        <f>'Clinical Trials &amp; R&amp;D'!T61</f>
        <v>4765615</v>
      </c>
      <c r="D329" s="124">
        <f>'Workforce &amp; Expenses'!I381</f>
        <v>3389610</v>
      </c>
      <c r="E329" s="124">
        <f t="shared" si="26"/>
        <v>1142061</v>
      </c>
      <c r="F329" s="124">
        <f t="shared" si="27"/>
        <v>4531671</v>
      </c>
      <c r="G329" s="124">
        <f>'Workforce &amp; Expenses'!J381</f>
        <v>1021116</v>
      </c>
      <c r="H329" s="124">
        <f t="shared" si="28"/>
        <v>3744499</v>
      </c>
      <c r="I329" s="124">
        <f t="shared" si="29"/>
        <v>4765615</v>
      </c>
      <c r="J329" s="124">
        <f t="shared" si="30"/>
        <v>0</v>
      </c>
      <c r="K329" s="124">
        <f t="shared" si="38"/>
        <v>456824</v>
      </c>
      <c r="L329" s="124">
        <f t="shared" si="39"/>
        <v>399721</v>
      </c>
      <c r="M329" s="124">
        <f t="shared" si="33"/>
        <v>285516</v>
      </c>
      <c r="N329" s="124">
        <f t="shared" si="34"/>
        <v>2246699</v>
      </c>
      <c r="O329" s="124">
        <f t="shared" si="35"/>
        <v>1497800</v>
      </c>
    </row>
    <row r="330">
      <c r="A330" s="126">
        <f>'Monthly Data'!A126</f>
        <v>46874</v>
      </c>
      <c r="B330" s="124">
        <f>'Clinical Trials &amp; R&amp;D'!L62</f>
        <v>4572269</v>
      </c>
      <c r="C330" s="124">
        <f>'Clinical Trials &amp; R&amp;D'!T62</f>
        <v>4784181</v>
      </c>
      <c r="D330" s="124">
        <f>'Workforce &amp; Expenses'!I382</f>
        <v>3430208</v>
      </c>
      <c r="E330" s="124">
        <f t="shared" si="26"/>
        <v>1142061</v>
      </c>
      <c r="F330" s="124">
        <f t="shared" si="27"/>
        <v>4572269</v>
      </c>
      <c r="G330" s="124">
        <f>'Workforce &amp; Expenses'!J382</f>
        <v>1039682</v>
      </c>
      <c r="H330" s="124">
        <f t="shared" si="28"/>
        <v>3744499</v>
      </c>
      <c r="I330" s="124">
        <f t="shared" si="29"/>
        <v>4784181</v>
      </c>
      <c r="J330" s="124">
        <f t="shared" si="30"/>
        <v>0</v>
      </c>
      <c r="K330" s="124">
        <f t="shared" si="38"/>
        <v>456824</v>
      </c>
      <c r="L330" s="124">
        <f t="shared" si="39"/>
        <v>399721</v>
      </c>
      <c r="M330" s="124">
        <f t="shared" si="33"/>
        <v>285516</v>
      </c>
      <c r="N330" s="124">
        <f t="shared" si="34"/>
        <v>2246699</v>
      </c>
      <c r="O330" s="124">
        <f t="shared" si="35"/>
        <v>1497800</v>
      </c>
    </row>
    <row r="331">
      <c r="A331" s="126">
        <f>'Monthly Data'!A127</f>
        <v>46905</v>
      </c>
      <c r="B331" s="124">
        <f>'Clinical Trials &amp; R&amp;D'!L63</f>
        <v>4572269</v>
      </c>
      <c r="C331" s="124">
        <f>'Clinical Trials &amp; R&amp;D'!T63</f>
        <v>4802747</v>
      </c>
      <c r="D331" s="124">
        <f>'Workforce &amp; Expenses'!I383</f>
        <v>3430208</v>
      </c>
      <c r="E331" s="124">
        <f t="shared" si="26"/>
        <v>1142061</v>
      </c>
      <c r="F331" s="124">
        <f t="shared" si="27"/>
        <v>4572269</v>
      </c>
      <c r="G331" s="124">
        <f>'Workforce &amp; Expenses'!J383</f>
        <v>1058248</v>
      </c>
      <c r="H331" s="124">
        <f t="shared" si="28"/>
        <v>3744499</v>
      </c>
      <c r="I331" s="124">
        <f t="shared" si="29"/>
        <v>4802747</v>
      </c>
      <c r="J331" s="124">
        <f t="shared" si="30"/>
        <v>0</v>
      </c>
      <c r="K331" s="124">
        <f t="shared" si="38"/>
        <v>456824</v>
      </c>
      <c r="L331" s="124">
        <f t="shared" si="39"/>
        <v>399721</v>
      </c>
      <c r="M331" s="124">
        <f t="shared" si="33"/>
        <v>285516</v>
      </c>
      <c r="N331" s="124">
        <f t="shared" si="34"/>
        <v>2246699</v>
      </c>
      <c r="O331" s="124">
        <f t="shared" si="35"/>
        <v>1497800</v>
      </c>
    </row>
    <row r="332">
      <c r="A332" s="126">
        <f>'Monthly Data'!A128</f>
        <v>46935</v>
      </c>
      <c r="B332" s="124">
        <f>'Clinical Trials &amp; R&amp;D'!L64</f>
        <v>4612866</v>
      </c>
      <c r="C332" s="124">
        <f>'Clinical Trials &amp; R&amp;D'!T64</f>
        <v>4802747</v>
      </c>
      <c r="D332" s="124">
        <f>'Workforce &amp; Expenses'!I384</f>
        <v>3470805</v>
      </c>
      <c r="E332" s="124">
        <f t="shared" si="26"/>
        <v>1142061</v>
      </c>
      <c r="F332" s="124">
        <f t="shared" si="27"/>
        <v>4612866</v>
      </c>
      <c r="G332" s="124">
        <f>'Workforce &amp; Expenses'!J384</f>
        <v>1058248</v>
      </c>
      <c r="H332" s="124">
        <f t="shared" si="28"/>
        <v>3744499</v>
      </c>
      <c r="I332" s="124">
        <f t="shared" si="29"/>
        <v>4802747</v>
      </c>
      <c r="J332" s="124">
        <f t="shared" si="30"/>
        <v>0</v>
      </c>
      <c r="K332" s="124">
        <f t="shared" si="38"/>
        <v>456824</v>
      </c>
      <c r="L332" s="124">
        <f t="shared" si="39"/>
        <v>399721</v>
      </c>
      <c r="M332" s="124">
        <f t="shared" si="33"/>
        <v>285516</v>
      </c>
      <c r="N332" s="124">
        <f t="shared" si="34"/>
        <v>2246699</v>
      </c>
      <c r="O332" s="124">
        <f t="shared" si="35"/>
        <v>1497800</v>
      </c>
    </row>
    <row r="333">
      <c r="A333" s="126">
        <f>'Monthly Data'!A129</f>
        <v>46966</v>
      </c>
      <c r="B333" s="124">
        <f>'Clinical Trials &amp; R&amp;D'!L65</f>
        <v>4612866</v>
      </c>
      <c r="C333" s="124">
        <f>'Clinical Trials &amp; R&amp;D'!T65</f>
        <v>4821313</v>
      </c>
      <c r="D333" s="124">
        <f>'Workforce &amp; Expenses'!I385</f>
        <v>3470805</v>
      </c>
      <c r="E333" s="124">
        <f t="shared" si="26"/>
        <v>1142061</v>
      </c>
      <c r="F333" s="124">
        <f t="shared" si="27"/>
        <v>4612866</v>
      </c>
      <c r="G333" s="124">
        <f>'Workforce &amp; Expenses'!J385</f>
        <v>1076814</v>
      </c>
      <c r="H333" s="124">
        <f t="shared" si="28"/>
        <v>3744499</v>
      </c>
      <c r="I333" s="124">
        <f t="shared" si="29"/>
        <v>4821313</v>
      </c>
      <c r="J333" s="124">
        <f t="shared" si="30"/>
        <v>0</v>
      </c>
      <c r="K333" s="124">
        <f t="shared" si="38"/>
        <v>456824</v>
      </c>
      <c r="L333" s="124">
        <f t="shared" si="39"/>
        <v>399721</v>
      </c>
      <c r="M333" s="124">
        <f t="shared" si="33"/>
        <v>285516</v>
      </c>
      <c r="N333" s="124">
        <f t="shared" si="34"/>
        <v>2246699</v>
      </c>
      <c r="O333" s="124">
        <f t="shared" si="35"/>
        <v>1497800</v>
      </c>
    </row>
    <row r="334">
      <c r="A334" s="126">
        <f>'Monthly Data'!A130</f>
        <v>46997</v>
      </c>
      <c r="B334" s="124">
        <f>'Clinical Trials &amp; R&amp;D'!L66</f>
        <v>4653463</v>
      </c>
      <c r="C334" s="124">
        <f>'Clinical Trials &amp; R&amp;D'!T66</f>
        <v>4839878</v>
      </c>
      <c r="D334" s="124">
        <f>'Workforce &amp; Expenses'!I386</f>
        <v>3511402</v>
      </c>
      <c r="E334" s="124">
        <f t="shared" si="26"/>
        <v>1142061</v>
      </c>
      <c r="F334" s="124">
        <f t="shared" si="27"/>
        <v>4653463</v>
      </c>
      <c r="G334" s="124">
        <f>'Workforce &amp; Expenses'!J386</f>
        <v>1095379</v>
      </c>
      <c r="H334" s="124">
        <f t="shared" si="28"/>
        <v>3744499</v>
      </c>
      <c r="I334" s="124">
        <f t="shared" si="29"/>
        <v>4839878</v>
      </c>
      <c r="J334" s="124">
        <f t="shared" si="30"/>
        <v>0</v>
      </c>
      <c r="K334" s="124">
        <f t="shared" si="38"/>
        <v>456824</v>
      </c>
      <c r="L334" s="124">
        <f t="shared" si="39"/>
        <v>399721</v>
      </c>
      <c r="M334" s="124">
        <f t="shared" si="33"/>
        <v>285516</v>
      </c>
      <c r="N334" s="124">
        <f t="shared" si="34"/>
        <v>2246699</v>
      </c>
      <c r="O334" s="124">
        <f t="shared" si="35"/>
        <v>1497800</v>
      </c>
    </row>
    <row r="335">
      <c r="A335" s="126">
        <f>'Monthly Data'!A131</f>
        <v>47027</v>
      </c>
      <c r="B335" s="124">
        <f>'Clinical Trials &amp; R&amp;D'!L67</f>
        <v>4653463</v>
      </c>
      <c r="C335" s="124">
        <f>'Clinical Trials &amp; R&amp;D'!T67</f>
        <v>4858444</v>
      </c>
      <c r="D335" s="124">
        <f>'Workforce &amp; Expenses'!I387</f>
        <v>3511402</v>
      </c>
      <c r="E335" s="124">
        <f t="shared" si="26"/>
        <v>1142061</v>
      </c>
      <c r="F335" s="124">
        <f t="shared" si="27"/>
        <v>4653463</v>
      </c>
      <c r="G335" s="124">
        <f>'Workforce &amp; Expenses'!J387</f>
        <v>1113945</v>
      </c>
      <c r="H335" s="124">
        <f t="shared" si="28"/>
        <v>3744499</v>
      </c>
      <c r="I335" s="124">
        <f t="shared" si="29"/>
        <v>4858444</v>
      </c>
      <c r="J335" s="124">
        <f t="shared" si="30"/>
        <v>0</v>
      </c>
      <c r="K335" s="124">
        <f t="shared" si="38"/>
        <v>456824</v>
      </c>
      <c r="L335" s="124">
        <f t="shared" si="39"/>
        <v>399721</v>
      </c>
      <c r="M335" s="124">
        <f t="shared" si="33"/>
        <v>285516</v>
      </c>
      <c r="N335" s="124">
        <f t="shared" si="34"/>
        <v>2246699</v>
      </c>
      <c r="O335" s="124">
        <f t="shared" si="35"/>
        <v>1497800</v>
      </c>
    </row>
    <row r="336">
      <c r="A336" s="126">
        <f>'Monthly Data'!A132</f>
        <v>47058</v>
      </c>
      <c r="B336" s="124">
        <f>'Clinical Trials &amp; R&amp;D'!L68</f>
        <v>4694060</v>
      </c>
      <c r="C336" s="124">
        <f>'Clinical Trials &amp; R&amp;D'!T68</f>
        <v>4858444</v>
      </c>
      <c r="D336" s="124">
        <f>'Workforce &amp; Expenses'!I388</f>
        <v>3551999</v>
      </c>
      <c r="E336" s="124">
        <f t="shared" si="26"/>
        <v>1142061</v>
      </c>
      <c r="F336" s="124">
        <f t="shared" si="27"/>
        <v>4694060</v>
      </c>
      <c r="G336" s="124">
        <f>'Workforce &amp; Expenses'!J388</f>
        <v>1113945</v>
      </c>
      <c r="H336" s="124">
        <f t="shared" si="28"/>
        <v>3744499</v>
      </c>
      <c r="I336" s="124">
        <f t="shared" si="29"/>
        <v>4858444</v>
      </c>
      <c r="J336" s="124">
        <f t="shared" si="30"/>
        <v>0</v>
      </c>
      <c r="K336" s="124">
        <f t="shared" si="38"/>
        <v>456824</v>
      </c>
      <c r="L336" s="124">
        <f t="shared" si="39"/>
        <v>399721</v>
      </c>
      <c r="M336" s="124">
        <f t="shared" si="33"/>
        <v>285516</v>
      </c>
      <c r="N336" s="124">
        <f t="shared" si="34"/>
        <v>2246699</v>
      </c>
      <c r="O336" s="124">
        <f t="shared" si="35"/>
        <v>1497800</v>
      </c>
    </row>
    <row r="337">
      <c r="A337" s="126">
        <f>'Monthly Data'!A133</f>
        <v>47088</v>
      </c>
      <c r="B337" s="124">
        <f>'Clinical Trials &amp; R&amp;D'!L69</f>
        <v>4694060</v>
      </c>
      <c r="C337" s="124">
        <f>'Clinical Trials &amp; R&amp;D'!T69</f>
        <v>4877010</v>
      </c>
      <c r="D337" s="124">
        <f>'Workforce &amp; Expenses'!I389</f>
        <v>3551999</v>
      </c>
      <c r="E337" s="124">
        <f t="shared" si="26"/>
        <v>1142061</v>
      </c>
      <c r="F337" s="124">
        <f t="shared" si="27"/>
        <v>4694060</v>
      </c>
      <c r="G337" s="124">
        <f>'Workforce &amp; Expenses'!J389</f>
        <v>1132511</v>
      </c>
      <c r="H337" s="124">
        <f t="shared" si="28"/>
        <v>3744499</v>
      </c>
      <c r="I337" s="124">
        <f t="shared" si="29"/>
        <v>4877010</v>
      </c>
      <c r="J337" s="124">
        <f t="shared" si="30"/>
        <v>0</v>
      </c>
      <c r="K337" s="124">
        <f t="shared" si="38"/>
        <v>456824</v>
      </c>
      <c r="L337" s="124">
        <f t="shared" si="39"/>
        <v>399721</v>
      </c>
      <c r="M337" s="124">
        <f t="shared" si="33"/>
        <v>285516</v>
      </c>
      <c r="N337" s="124">
        <f t="shared" si="34"/>
        <v>2246699</v>
      </c>
      <c r="O337" s="124">
        <f t="shared" si="35"/>
        <v>1497800</v>
      </c>
    </row>
    <row r="338">
      <c r="A338" s="126">
        <f>'Monthly Data'!A134</f>
        <v>47119</v>
      </c>
      <c r="B338" s="124">
        <f>'Clinical Trials &amp; R&amp;D'!L70</f>
        <v>4834880</v>
      </c>
      <c r="C338" s="124">
        <f>'Clinical Trials &amp; R&amp;D'!T70</f>
        <v>5178876</v>
      </c>
      <c r="D338" s="124">
        <f>'Workforce &amp; Expenses'!I390</f>
        <v>3658560</v>
      </c>
      <c r="E338" s="124">
        <f t="shared" si="26"/>
        <v>1176320</v>
      </c>
      <c r="F338" s="124">
        <f t="shared" si="27"/>
        <v>4834880</v>
      </c>
      <c r="G338" s="124">
        <f>'Workforce &amp; Expenses'!J390</f>
        <v>1185609</v>
      </c>
      <c r="H338" s="124">
        <f t="shared" si="28"/>
        <v>3993267</v>
      </c>
      <c r="I338" s="124">
        <f t="shared" si="29"/>
        <v>5178876</v>
      </c>
      <c r="J338" s="124">
        <f t="shared" si="30"/>
        <v>0</v>
      </c>
      <c r="K338" s="124">
        <f t="shared" si="38"/>
        <v>470528</v>
      </c>
      <c r="L338" s="124">
        <f t="shared" si="39"/>
        <v>411712</v>
      </c>
      <c r="M338" s="124">
        <f t="shared" si="33"/>
        <v>294080</v>
      </c>
      <c r="N338" s="124">
        <f t="shared" si="34"/>
        <v>2395960</v>
      </c>
      <c r="O338" s="124">
        <f t="shared" si="35"/>
        <v>1597307</v>
      </c>
    </row>
    <row r="339">
      <c r="A339" s="126">
        <f>'Monthly Data'!A135</f>
        <v>47150</v>
      </c>
      <c r="B339" s="124">
        <f>'Clinical Trials &amp; R&amp;D'!L71</f>
        <v>4856552</v>
      </c>
      <c r="C339" s="124">
        <f>'Clinical Trials &amp; R&amp;D'!T71</f>
        <v>5197999</v>
      </c>
      <c r="D339" s="124">
        <f>'Workforce &amp; Expenses'!I391</f>
        <v>3680232</v>
      </c>
      <c r="E339" s="124">
        <f t="shared" si="26"/>
        <v>1176320</v>
      </c>
      <c r="F339" s="124">
        <f t="shared" si="27"/>
        <v>4856552</v>
      </c>
      <c r="G339" s="124">
        <f>'Workforce &amp; Expenses'!J391</f>
        <v>1204732</v>
      </c>
      <c r="H339" s="124">
        <f t="shared" si="28"/>
        <v>3993267</v>
      </c>
      <c r="I339" s="124">
        <f t="shared" si="29"/>
        <v>5197999</v>
      </c>
      <c r="J339" s="124">
        <f t="shared" si="30"/>
        <v>0</v>
      </c>
      <c r="K339" s="124">
        <f t="shared" si="38"/>
        <v>470528</v>
      </c>
      <c r="L339" s="124">
        <f t="shared" si="39"/>
        <v>411712</v>
      </c>
      <c r="M339" s="124">
        <f t="shared" si="33"/>
        <v>294080</v>
      </c>
      <c r="N339" s="124">
        <f t="shared" si="34"/>
        <v>2395960</v>
      </c>
      <c r="O339" s="124">
        <f t="shared" si="35"/>
        <v>1597307</v>
      </c>
    </row>
    <row r="340">
      <c r="A340" s="126">
        <f>'Monthly Data'!A136</f>
        <v>47178</v>
      </c>
      <c r="B340" s="124">
        <f>'Clinical Trials &amp; R&amp;D'!L72</f>
        <v>4856552</v>
      </c>
      <c r="C340" s="124">
        <f>'Clinical Trials &amp; R&amp;D'!T72</f>
        <v>5217121</v>
      </c>
      <c r="D340" s="124">
        <f>'Workforce &amp; Expenses'!I392</f>
        <v>3680232</v>
      </c>
      <c r="E340" s="124">
        <f t="shared" si="26"/>
        <v>1176320</v>
      </c>
      <c r="F340" s="124">
        <f t="shared" si="27"/>
        <v>4856552</v>
      </c>
      <c r="G340" s="124">
        <f>'Workforce &amp; Expenses'!J392</f>
        <v>1223854</v>
      </c>
      <c r="H340" s="124">
        <f t="shared" si="28"/>
        <v>3993267</v>
      </c>
      <c r="I340" s="124">
        <f t="shared" si="29"/>
        <v>5217121</v>
      </c>
      <c r="J340" s="124">
        <f t="shared" si="30"/>
        <v>0</v>
      </c>
      <c r="K340" s="124">
        <f t="shared" si="38"/>
        <v>470528</v>
      </c>
      <c r="L340" s="124">
        <f t="shared" si="39"/>
        <v>411712</v>
      </c>
      <c r="M340" s="124">
        <f t="shared" si="33"/>
        <v>294080</v>
      </c>
      <c r="N340" s="124">
        <f t="shared" si="34"/>
        <v>2395960</v>
      </c>
      <c r="O340" s="124">
        <f t="shared" si="35"/>
        <v>1597307</v>
      </c>
    </row>
    <row r="341">
      <c r="A341" s="126">
        <f>'Monthly Data'!A137</f>
        <v>47209</v>
      </c>
      <c r="B341" s="124">
        <f>'Clinical Trials &amp; R&amp;D'!L73</f>
        <v>4878224</v>
      </c>
      <c r="C341" s="124">
        <f>'Clinical Trials &amp; R&amp;D'!T73</f>
        <v>5236244</v>
      </c>
      <c r="D341" s="124">
        <f>'Workforce &amp; Expenses'!I393</f>
        <v>3701904</v>
      </c>
      <c r="E341" s="124">
        <f t="shared" si="26"/>
        <v>1176320</v>
      </c>
      <c r="F341" s="124">
        <f t="shared" si="27"/>
        <v>4878224</v>
      </c>
      <c r="G341" s="124">
        <f>'Workforce &amp; Expenses'!J393</f>
        <v>1242977</v>
      </c>
      <c r="H341" s="124">
        <f t="shared" si="28"/>
        <v>3993267</v>
      </c>
      <c r="I341" s="124">
        <f t="shared" si="29"/>
        <v>5236244</v>
      </c>
      <c r="J341" s="124">
        <f t="shared" si="30"/>
        <v>0</v>
      </c>
      <c r="K341" s="124">
        <f t="shared" si="38"/>
        <v>470528</v>
      </c>
      <c r="L341" s="124">
        <f t="shared" si="39"/>
        <v>411712</v>
      </c>
      <c r="M341" s="124">
        <f t="shared" si="33"/>
        <v>294080</v>
      </c>
      <c r="N341" s="124">
        <f t="shared" si="34"/>
        <v>2395960</v>
      </c>
      <c r="O341" s="124">
        <f t="shared" si="35"/>
        <v>1597307</v>
      </c>
    </row>
    <row r="342">
      <c r="A342" s="126">
        <f>'Monthly Data'!A138</f>
        <v>47239</v>
      </c>
      <c r="B342" s="124">
        <f>'Clinical Trials &amp; R&amp;D'!L74</f>
        <v>4878224</v>
      </c>
      <c r="C342" s="124">
        <f>'Clinical Trials &amp; R&amp;D'!T74</f>
        <v>5255367</v>
      </c>
      <c r="D342" s="124">
        <f>'Workforce &amp; Expenses'!I394</f>
        <v>3701904</v>
      </c>
      <c r="E342" s="124">
        <f t="shared" si="26"/>
        <v>1176320</v>
      </c>
      <c r="F342" s="124">
        <f t="shared" si="27"/>
        <v>4878224</v>
      </c>
      <c r="G342" s="124">
        <f>'Workforce &amp; Expenses'!J394</f>
        <v>1262100</v>
      </c>
      <c r="H342" s="124">
        <f t="shared" si="28"/>
        <v>3993267</v>
      </c>
      <c r="I342" s="124">
        <f t="shared" si="29"/>
        <v>5255367</v>
      </c>
      <c r="J342" s="124">
        <f t="shared" si="30"/>
        <v>0</v>
      </c>
      <c r="K342" s="124">
        <f t="shared" si="38"/>
        <v>470528</v>
      </c>
      <c r="L342" s="124">
        <f t="shared" si="39"/>
        <v>411712</v>
      </c>
      <c r="M342" s="124">
        <f t="shared" si="33"/>
        <v>294080</v>
      </c>
      <c r="N342" s="124">
        <f t="shared" si="34"/>
        <v>2395960</v>
      </c>
      <c r="O342" s="124">
        <f t="shared" si="35"/>
        <v>1597307</v>
      </c>
    </row>
    <row r="343">
      <c r="A343" s="126">
        <f>'Monthly Data'!A139</f>
        <v>47270</v>
      </c>
      <c r="B343" s="124">
        <f>'Clinical Trials &amp; R&amp;D'!L75</f>
        <v>4899897</v>
      </c>
      <c r="C343" s="124">
        <f>'Clinical Trials &amp; R&amp;D'!T75</f>
        <v>5274489</v>
      </c>
      <c r="D343" s="124">
        <f>'Workforce &amp; Expenses'!I395</f>
        <v>3723577</v>
      </c>
      <c r="E343" s="124">
        <f t="shared" si="26"/>
        <v>1176320</v>
      </c>
      <c r="F343" s="124">
        <f t="shared" si="27"/>
        <v>4899897</v>
      </c>
      <c r="G343" s="124">
        <f>'Workforce &amp; Expenses'!J395</f>
        <v>1281222</v>
      </c>
      <c r="H343" s="124">
        <f t="shared" si="28"/>
        <v>3993267</v>
      </c>
      <c r="I343" s="124">
        <f t="shared" si="29"/>
        <v>5274489</v>
      </c>
      <c r="J343" s="124">
        <f t="shared" si="30"/>
        <v>0</v>
      </c>
      <c r="K343" s="124">
        <f t="shared" si="38"/>
        <v>470528</v>
      </c>
      <c r="L343" s="124">
        <f t="shared" si="39"/>
        <v>411712</v>
      </c>
      <c r="M343" s="124">
        <f t="shared" si="33"/>
        <v>294080</v>
      </c>
      <c r="N343" s="124">
        <f t="shared" si="34"/>
        <v>2395960</v>
      </c>
      <c r="O343" s="124">
        <f t="shared" si="35"/>
        <v>1597307</v>
      </c>
    </row>
    <row r="344">
      <c r="A344" s="126">
        <f>'Monthly Data'!A140</f>
        <v>47300</v>
      </c>
      <c r="B344" s="124">
        <f>'Clinical Trials &amp; R&amp;D'!L76</f>
        <v>4899897</v>
      </c>
      <c r="C344" s="124">
        <f>'Clinical Trials &amp; R&amp;D'!T76</f>
        <v>5293612</v>
      </c>
      <c r="D344" s="124">
        <f>'Workforce &amp; Expenses'!I396</f>
        <v>3723577</v>
      </c>
      <c r="E344" s="124">
        <f t="shared" si="26"/>
        <v>1176320</v>
      </c>
      <c r="F344" s="124">
        <f t="shared" si="27"/>
        <v>4899897</v>
      </c>
      <c r="G344" s="124">
        <f>'Workforce &amp; Expenses'!J396</f>
        <v>1300345</v>
      </c>
      <c r="H344" s="124">
        <f t="shared" si="28"/>
        <v>3993267</v>
      </c>
      <c r="I344" s="124">
        <f t="shared" si="29"/>
        <v>5293612</v>
      </c>
      <c r="J344" s="124">
        <f t="shared" si="30"/>
        <v>0</v>
      </c>
      <c r="K344" s="124">
        <f t="shared" si="38"/>
        <v>470528</v>
      </c>
      <c r="L344" s="124">
        <f t="shared" si="39"/>
        <v>411712</v>
      </c>
      <c r="M344" s="124">
        <f t="shared" si="33"/>
        <v>294080</v>
      </c>
      <c r="N344" s="124">
        <f t="shared" si="34"/>
        <v>2395960</v>
      </c>
      <c r="O344" s="124">
        <f t="shared" si="35"/>
        <v>1597307</v>
      </c>
    </row>
    <row r="345">
      <c r="A345" s="126">
        <f>'Monthly Data'!A141</f>
        <v>47331</v>
      </c>
      <c r="B345" s="124">
        <f>'Clinical Trials &amp; R&amp;D'!L77</f>
        <v>4899897</v>
      </c>
      <c r="C345" s="124">
        <f>'Clinical Trials &amp; R&amp;D'!T77</f>
        <v>5312735</v>
      </c>
      <c r="D345" s="124">
        <f>'Workforce &amp; Expenses'!I397</f>
        <v>3723577</v>
      </c>
      <c r="E345" s="124">
        <f t="shared" si="26"/>
        <v>1176320</v>
      </c>
      <c r="F345" s="124">
        <f t="shared" si="27"/>
        <v>4899897</v>
      </c>
      <c r="G345" s="124">
        <f>'Workforce &amp; Expenses'!J397</f>
        <v>1319468</v>
      </c>
      <c r="H345" s="124">
        <f t="shared" si="28"/>
        <v>3993267</v>
      </c>
      <c r="I345" s="124">
        <f t="shared" si="29"/>
        <v>5312735</v>
      </c>
      <c r="J345" s="124">
        <f t="shared" si="30"/>
        <v>0</v>
      </c>
      <c r="K345" s="124">
        <f t="shared" si="38"/>
        <v>470528</v>
      </c>
      <c r="L345" s="124">
        <f t="shared" si="39"/>
        <v>411712</v>
      </c>
      <c r="M345" s="124">
        <f t="shared" si="33"/>
        <v>294080</v>
      </c>
      <c r="N345" s="124">
        <f t="shared" si="34"/>
        <v>2395960</v>
      </c>
      <c r="O345" s="124">
        <f t="shared" si="35"/>
        <v>1597307</v>
      </c>
    </row>
    <row r="346">
      <c r="A346" s="126">
        <f>'Monthly Data'!A142</f>
        <v>47362</v>
      </c>
      <c r="B346" s="124">
        <f>'Clinical Trials &amp; R&amp;D'!L78</f>
        <v>4921569</v>
      </c>
      <c r="C346" s="124">
        <f>'Clinical Trials &amp; R&amp;D'!T78</f>
        <v>5331858</v>
      </c>
      <c r="D346" s="124">
        <f>'Workforce &amp; Expenses'!I398</f>
        <v>3745249</v>
      </c>
      <c r="E346" s="124">
        <f t="shared" si="26"/>
        <v>1176320</v>
      </c>
      <c r="F346" s="124">
        <f t="shared" si="27"/>
        <v>4921569</v>
      </c>
      <c r="G346" s="124">
        <f>'Workforce &amp; Expenses'!J398</f>
        <v>1338591</v>
      </c>
      <c r="H346" s="124">
        <f t="shared" si="28"/>
        <v>3993267</v>
      </c>
      <c r="I346" s="124">
        <f t="shared" si="29"/>
        <v>5331858</v>
      </c>
      <c r="J346" s="124">
        <f t="shared" si="30"/>
        <v>0</v>
      </c>
      <c r="K346" s="124">
        <f t="shared" si="38"/>
        <v>470528</v>
      </c>
      <c r="L346" s="124">
        <f t="shared" si="39"/>
        <v>411712</v>
      </c>
      <c r="M346" s="124">
        <f t="shared" si="33"/>
        <v>294080</v>
      </c>
      <c r="N346" s="124">
        <f t="shared" si="34"/>
        <v>2395960</v>
      </c>
      <c r="O346" s="124">
        <f t="shared" si="35"/>
        <v>1597307</v>
      </c>
    </row>
    <row r="347">
      <c r="A347" s="126">
        <f>'Monthly Data'!A143</f>
        <v>47392</v>
      </c>
      <c r="B347" s="124">
        <f>'Clinical Trials &amp; R&amp;D'!L79</f>
        <v>4921569</v>
      </c>
      <c r="C347" s="124">
        <f>'Clinical Trials &amp; R&amp;D'!T79</f>
        <v>5350980</v>
      </c>
      <c r="D347" s="124">
        <f>'Workforce &amp; Expenses'!I399</f>
        <v>3745249</v>
      </c>
      <c r="E347" s="124">
        <f t="shared" si="26"/>
        <v>1176320</v>
      </c>
      <c r="F347" s="124">
        <f t="shared" si="27"/>
        <v>4921569</v>
      </c>
      <c r="G347" s="124">
        <f>'Workforce &amp; Expenses'!J399</f>
        <v>1357713</v>
      </c>
      <c r="H347" s="124">
        <f t="shared" si="28"/>
        <v>3993267</v>
      </c>
      <c r="I347" s="124">
        <f t="shared" si="29"/>
        <v>5350980</v>
      </c>
      <c r="J347" s="124">
        <f t="shared" si="30"/>
        <v>0</v>
      </c>
      <c r="K347" s="124">
        <f t="shared" si="38"/>
        <v>470528</v>
      </c>
      <c r="L347" s="124">
        <f t="shared" si="39"/>
        <v>411712</v>
      </c>
      <c r="M347" s="124">
        <f t="shared" si="33"/>
        <v>294080</v>
      </c>
      <c r="N347" s="124">
        <f t="shared" si="34"/>
        <v>2395960</v>
      </c>
      <c r="O347" s="124">
        <f t="shared" si="35"/>
        <v>1597307</v>
      </c>
    </row>
    <row r="348">
      <c r="A348" s="126">
        <f>'Monthly Data'!A144</f>
        <v>47423</v>
      </c>
      <c r="B348" s="124">
        <f>'Clinical Trials &amp; R&amp;D'!L80</f>
        <v>4943242</v>
      </c>
      <c r="C348" s="124">
        <f>'Clinical Trials &amp; R&amp;D'!T80</f>
        <v>5370103</v>
      </c>
      <c r="D348" s="124">
        <f>'Workforce &amp; Expenses'!I400</f>
        <v>3766922</v>
      </c>
      <c r="E348" s="124">
        <f t="shared" si="26"/>
        <v>1176320</v>
      </c>
      <c r="F348" s="124">
        <f t="shared" si="27"/>
        <v>4943242</v>
      </c>
      <c r="G348" s="124">
        <f>'Workforce &amp; Expenses'!J400</f>
        <v>1376836</v>
      </c>
      <c r="H348" s="124">
        <f t="shared" si="28"/>
        <v>3993267</v>
      </c>
      <c r="I348" s="124">
        <f t="shared" si="29"/>
        <v>5370103</v>
      </c>
      <c r="J348" s="124">
        <f t="shared" si="30"/>
        <v>0</v>
      </c>
      <c r="K348" s="124">
        <f t="shared" si="38"/>
        <v>470528</v>
      </c>
      <c r="L348" s="124">
        <f t="shared" si="39"/>
        <v>411712</v>
      </c>
      <c r="M348" s="124">
        <f t="shared" si="33"/>
        <v>294080</v>
      </c>
      <c r="N348" s="124">
        <f t="shared" si="34"/>
        <v>2395960</v>
      </c>
      <c r="O348" s="124">
        <f t="shared" si="35"/>
        <v>1597307</v>
      </c>
    </row>
    <row r="349">
      <c r="A349" s="126">
        <f>'Monthly Data'!A145</f>
        <v>47453</v>
      </c>
      <c r="B349" s="124">
        <f>'Clinical Trials &amp; R&amp;D'!L81</f>
        <v>4943242</v>
      </c>
      <c r="C349" s="124">
        <f>'Clinical Trials &amp; R&amp;D'!T81</f>
        <v>5389226</v>
      </c>
      <c r="D349" s="124">
        <f>'Workforce &amp; Expenses'!I401</f>
        <v>3766922</v>
      </c>
      <c r="E349" s="124">
        <f t="shared" si="26"/>
        <v>1176320</v>
      </c>
      <c r="F349" s="124">
        <f t="shared" si="27"/>
        <v>4943242</v>
      </c>
      <c r="G349" s="124">
        <f>'Workforce &amp; Expenses'!J401</f>
        <v>1395959</v>
      </c>
      <c r="H349" s="124">
        <f t="shared" si="28"/>
        <v>3993267</v>
      </c>
      <c r="I349" s="124">
        <f t="shared" si="29"/>
        <v>5389226</v>
      </c>
      <c r="J349" s="124">
        <f t="shared" si="30"/>
        <v>0</v>
      </c>
      <c r="K349" s="124">
        <f t="shared" si="38"/>
        <v>470528</v>
      </c>
      <c r="L349" s="124">
        <f t="shared" si="39"/>
        <v>411712</v>
      </c>
      <c r="M349" s="124">
        <f t="shared" si="33"/>
        <v>294080</v>
      </c>
      <c r="N349" s="124">
        <f t="shared" si="34"/>
        <v>2395960</v>
      </c>
      <c r="O349" s="124">
        <f t="shared" si="35"/>
        <v>1597307</v>
      </c>
    </row>
    <row r="350">
      <c r="A350" s="126">
        <f>'Monthly Data'!A146</f>
        <v>47484</v>
      </c>
      <c r="B350" s="124">
        <f>'Clinical Trials &amp; R&amp;D'!L82</f>
        <v>5091539</v>
      </c>
      <c r="C350" s="124">
        <f>'Clinical Trials &amp; R&amp;D'!T82</f>
        <v>5687743</v>
      </c>
      <c r="D350" s="124">
        <f>'Workforce &amp; Expenses'!I402</f>
        <v>3879929</v>
      </c>
      <c r="E350" s="124">
        <f t="shared" si="26"/>
        <v>1211610</v>
      </c>
      <c r="F350" s="124">
        <f t="shared" si="27"/>
        <v>5091539</v>
      </c>
      <c r="G350" s="124">
        <f>'Workforce &amp; Expenses'!J402</f>
        <v>1457534</v>
      </c>
      <c r="H350" s="124">
        <f t="shared" si="28"/>
        <v>4230209</v>
      </c>
      <c r="I350" s="124">
        <f t="shared" si="29"/>
        <v>5687743</v>
      </c>
      <c r="J350" s="124">
        <f t="shared" si="30"/>
        <v>0</v>
      </c>
      <c r="K350" s="124">
        <f t="shared" si="38"/>
        <v>484644</v>
      </c>
      <c r="L350" s="124">
        <f t="shared" si="39"/>
        <v>424064</v>
      </c>
      <c r="M350" s="124">
        <f t="shared" si="33"/>
        <v>302902</v>
      </c>
      <c r="N350" s="124">
        <f t="shared" si="34"/>
        <v>2538125</v>
      </c>
      <c r="O350" s="124">
        <f t="shared" si="35"/>
        <v>1692084</v>
      </c>
    </row>
    <row r="351">
      <c r="A351" s="126">
        <f>'Monthly Data'!A147</f>
        <v>47515</v>
      </c>
      <c r="B351" s="124">
        <f>'Clinical Trials &amp; R&amp;D'!L83</f>
        <v>5113862</v>
      </c>
      <c r="C351" s="124">
        <f>'Clinical Trials &amp; R&amp;D'!T83</f>
        <v>5707439</v>
      </c>
      <c r="D351" s="124">
        <f>'Workforce &amp; Expenses'!I403</f>
        <v>3902252</v>
      </c>
      <c r="E351" s="124">
        <f t="shared" si="26"/>
        <v>1211610</v>
      </c>
      <c r="F351" s="124">
        <f t="shared" si="27"/>
        <v>5113862</v>
      </c>
      <c r="G351" s="124">
        <f>'Workforce &amp; Expenses'!J403</f>
        <v>1477230</v>
      </c>
      <c r="H351" s="124">
        <f t="shared" si="28"/>
        <v>4230209</v>
      </c>
      <c r="I351" s="124">
        <f t="shared" si="29"/>
        <v>5707439</v>
      </c>
      <c r="J351" s="124">
        <f t="shared" si="30"/>
        <v>0</v>
      </c>
      <c r="K351" s="124">
        <f t="shared" si="38"/>
        <v>484644</v>
      </c>
      <c r="L351" s="124">
        <f t="shared" si="39"/>
        <v>424064</v>
      </c>
      <c r="M351" s="124">
        <f t="shared" si="33"/>
        <v>302902</v>
      </c>
      <c r="N351" s="124">
        <f t="shared" si="34"/>
        <v>2538125</v>
      </c>
      <c r="O351" s="124">
        <f t="shared" si="35"/>
        <v>1692084</v>
      </c>
    </row>
    <row r="352">
      <c r="A352" s="126">
        <f>'Monthly Data'!A148</f>
        <v>47543</v>
      </c>
      <c r="B352" s="124">
        <f>'Clinical Trials &amp; R&amp;D'!L84</f>
        <v>5113862</v>
      </c>
      <c r="C352" s="124">
        <f>'Clinical Trials &amp; R&amp;D'!T84</f>
        <v>5727136</v>
      </c>
      <c r="D352" s="124">
        <f>'Workforce &amp; Expenses'!I404</f>
        <v>3902252</v>
      </c>
      <c r="E352" s="124">
        <f t="shared" si="26"/>
        <v>1211610</v>
      </c>
      <c r="F352" s="124">
        <f t="shared" si="27"/>
        <v>5113862</v>
      </c>
      <c r="G352" s="124">
        <f>'Workforce &amp; Expenses'!J404</f>
        <v>1496927</v>
      </c>
      <c r="H352" s="124">
        <f t="shared" si="28"/>
        <v>4230209</v>
      </c>
      <c r="I352" s="124">
        <f t="shared" si="29"/>
        <v>5727136</v>
      </c>
      <c r="J352" s="124">
        <f t="shared" si="30"/>
        <v>0</v>
      </c>
      <c r="K352" s="124">
        <f t="shared" si="38"/>
        <v>484644</v>
      </c>
      <c r="L352" s="124">
        <f t="shared" si="39"/>
        <v>424064</v>
      </c>
      <c r="M352" s="124">
        <f t="shared" si="33"/>
        <v>302902</v>
      </c>
      <c r="N352" s="124">
        <f t="shared" si="34"/>
        <v>2538125</v>
      </c>
      <c r="O352" s="124">
        <f t="shared" si="35"/>
        <v>1692084</v>
      </c>
    </row>
    <row r="353">
      <c r="A353" s="126">
        <f>'Monthly Data'!A149</f>
        <v>47574</v>
      </c>
      <c r="B353" s="124">
        <f>'Clinical Trials &amp; R&amp;D'!L85</f>
        <v>5093115</v>
      </c>
      <c r="C353" s="124">
        <f>'Clinical Trials &amp; R&amp;D'!T85</f>
        <v>5746832</v>
      </c>
      <c r="D353" s="124">
        <f>'Workforce &amp; Expenses'!I405</f>
        <v>3881505</v>
      </c>
      <c r="E353" s="124">
        <f t="shared" si="26"/>
        <v>1211610</v>
      </c>
      <c r="F353" s="124">
        <f t="shared" si="27"/>
        <v>5093115</v>
      </c>
      <c r="G353" s="124">
        <f>'Workforce &amp; Expenses'!J405</f>
        <v>1516623</v>
      </c>
      <c r="H353" s="124">
        <f t="shared" si="28"/>
        <v>4230209</v>
      </c>
      <c r="I353" s="124">
        <f t="shared" si="29"/>
        <v>5746832</v>
      </c>
      <c r="J353" s="124">
        <f t="shared" si="30"/>
        <v>0</v>
      </c>
      <c r="K353" s="124">
        <f t="shared" si="38"/>
        <v>484644</v>
      </c>
      <c r="L353" s="124">
        <f t="shared" si="39"/>
        <v>424064</v>
      </c>
      <c r="M353" s="124">
        <f t="shared" si="33"/>
        <v>302902</v>
      </c>
      <c r="N353" s="124">
        <f t="shared" si="34"/>
        <v>2538125</v>
      </c>
      <c r="O353" s="124">
        <f t="shared" si="35"/>
        <v>1692084</v>
      </c>
    </row>
    <row r="354">
      <c r="A354" s="126">
        <f>'Monthly Data'!A150</f>
        <v>47604</v>
      </c>
      <c r="B354" s="124">
        <f>'Clinical Trials &amp; R&amp;D'!L86</f>
        <v>5093115</v>
      </c>
      <c r="C354" s="124">
        <f>'Clinical Trials &amp; R&amp;D'!T86</f>
        <v>5766529</v>
      </c>
      <c r="D354" s="124">
        <f>'Workforce &amp; Expenses'!I406</f>
        <v>3881505</v>
      </c>
      <c r="E354" s="124">
        <f t="shared" si="26"/>
        <v>1211610</v>
      </c>
      <c r="F354" s="124">
        <f t="shared" si="27"/>
        <v>5093115</v>
      </c>
      <c r="G354" s="124">
        <f>'Workforce &amp; Expenses'!J406</f>
        <v>1536320</v>
      </c>
      <c r="H354" s="124">
        <f t="shared" si="28"/>
        <v>4230209</v>
      </c>
      <c r="I354" s="124">
        <f t="shared" si="29"/>
        <v>5766529</v>
      </c>
      <c r="J354" s="124">
        <f t="shared" si="30"/>
        <v>0</v>
      </c>
      <c r="K354" s="124">
        <f t="shared" si="38"/>
        <v>484644</v>
      </c>
      <c r="L354" s="124">
        <f t="shared" si="39"/>
        <v>424064</v>
      </c>
      <c r="M354" s="124">
        <f t="shared" si="33"/>
        <v>302902</v>
      </c>
      <c r="N354" s="124">
        <f t="shared" si="34"/>
        <v>2538125</v>
      </c>
      <c r="O354" s="124">
        <f t="shared" si="35"/>
        <v>1692084</v>
      </c>
    </row>
    <row r="355">
      <c r="A355" s="126">
        <f>'Monthly Data'!A151</f>
        <v>47635</v>
      </c>
      <c r="B355" s="124">
        <f>'Clinical Trials &amp; R&amp;D'!L87</f>
        <v>5115437</v>
      </c>
      <c r="C355" s="124">
        <f>'Clinical Trials &amp; R&amp;D'!T87</f>
        <v>5805921</v>
      </c>
      <c r="D355" s="124">
        <f>'Workforce &amp; Expenses'!I407</f>
        <v>3903827</v>
      </c>
      <c r="E355" s="124">
        <f t="shared" si="26"/>
        <v>1211610</v>
      </c>
      <c r="F355" s="124">
        <f t="shared" si="27"/>
        <v>5115437</v>
      </c>
      <c r="G355" s="124">
        <f>'Workforce &amp; Expenses'!J407</f>
        <v>1575712</v>
      </c>
      <c r="H355" s="124">
        <f t="shared" si="28"/>
        <v>4230209</v>
      </c>
      <c r="I355" s="124">
        <f t="shared" si="29"/>
        <v>5805921</v>
      </c>
      <c r="J355" s="124">
        <f t="shared" si="30"/>
        <v>0</v>
      </c>
      <c r="K355" s="124">
        <f t="shared" si="38"/>
        <v>484644</v>
      </c>
      <c r="L355" s="124">
        <f t="shared" si="39"/>
        <v>424064</v>
      </c>
      <c r="M355" s="124">
        <f t="shared" si="33"/>
        <v>302902</v>
      </c>
      <c r="N355" s="124">
        <f t="shared" si="34"/>
        <v>2538125</v>
      </c>
      <c r="O355" s="124">
        <f t="shared" si="35"/>
        <v>1692084</v>
      </c>
    </row>
    <row r="356">
      <c r="A356" s="126">
        <f>'Monthly Data'!A152</f>
        <v>47665</v>
      </c>
      <c r="B356" s="124">
        <f>'Clinical Trials &amp; R&amp;D'!L88</f>
        <v>5115437</v>
      </c>
      <c r="C356" s="124">
        <f>'Clinical Trials &amp; R&amp;D'!T88</f>
        <v>5825618</v>
      </c>
      <c r="D356" s="124">
        <f>'Workforce &amp; Expenses'!I408</f>
        <v>3903827</v>
      </c>
      <c r="E356" s="124">
        <f t="shared" si="26"/>
        <v>1211610</v>
      </c>
      <c r="F356" s="124">
        <f t="shared" si="27"/>
        <v>5115437</v>
      </c>
      <c r="G356" s="124">
        <f>'Workforce &amp; Expenses'!J408</f>
        <v>1595409</v>
      </c>
      <c r="H356" s="124">
        <f t="shared" si="28"/>
        <v>4230209</v>
      </c>
      <c r="I356" s="124">
        <f t="shared" si="29"/>
        <v>5825618</v>
      </c>
      <c r="J356" s="124">
        <f t="shared" si="30"/>
        <v>0</v>
      </c>
      <c r="K356" s="124">
        <f t="shared" si="38"/>
        <v>484644</v>
      </c>
      <c r="L356" s="124">
        <f t="shared" si="39"/>
        <v>424064</v>
      </c>
      <c r="M356" s="124">
        <f t="shared" si="33"/>
        <v>302902</v>
      </c>
      <c r="N356" s="124">
        <f t="shared" si="34"/>
        <v>2538125</v>
      </c>
      <c r="O356" s="124">
        <f t="shared" si="35"/>
        <v>1692084</v>
      </c>
    </row>
    <row r="357">
      <c r="A357" s="126">
        <f>'Monthly Data'!A153</f>
        <v>47696</v>
      </c>
      <c r="B357" s="124">
        <f>'Clinical Trials &amp; R&amp;D'!L89</f>
        <v>5115437</v>
      </c>
      <c r="C357" s="124">
        <f>'Clinical Trials &amp; R&amp;D'!T89</f>
        <v>5845314</v>
      </c>
      <c r="D357" s="124">
        <f>'Workforce &amp; Expenses'!I409</f>
        <v>3903827</v>
      </c>
      <c r="E357" s="124">
        <f t="shared" si="26"/>
        <v>1211610</v>
      </c>
      <c r="F357" s="124">
        <f t="shared" si="27"/>
        <v>5115437</v>
      </c>
      <c r="G357" s="124">
        <f>'Workforce &amp; Expenses'!J409</f>
        <v>1615105</v>
      </c>
      <c r="H357" s="124">
        <f t="shared" si="28"/>
        <v>4230209</v>
      </c>
      <c r="I357" s="124">
        <f t="shared" si="29"/>
        <v>5845314</v>
      </c>
      <c r="J357" s="124">
        <f t="shared" si="30"/>
        <v>0</v>
      </c>
      <c r="K357" s="124">
        <f t="shared" si="38"/>
        <v>484644</v>
      </c>
      <c r="L357" s="124">
        <f t="shared" si="39"/>
        <v>424064</v>
      </c>
      <c r="M357" s="124">
        <f t="shared" si="33"/>
        <v>302902</v>
      </c>
      <c r="N357" s="124">
        <f t="shared" si="34"/>
        <v>2538125</v>
      </c>
      <c r="O357" s="124">
        <f t="shared" si="35"/>
        <v>1692084</v>
      </c>
    </row>
    <row r="358">
      <c r="A358" s="126">
        <f>'Monthly Data'!A154</f>
        <v>47727</v>
      </c>
      <c r="B358" s="124">
        <f>'Clinical Trials &amp; R&amp;D'!L90</f>
        <v>5115437</v>
      </c>
      <c r="C358" s="124">
        <f>'Clinical Trials &amp; R&amp;D'!T90</f>
        <v>5865011</v>
      </c>
      <c r="D358" s="124">
        <f>'Workforce &amp; Expenses'!I410</f>
        <v>3903827</v>
      </c>
      <c r="E358" s="124">
        <f t="shared" si="26"/>
        <v>1211610</v>
      </c>
      <c r="F358" s="124">
        <f t="shared" si="27"/>
        <v>5115437</v>
      </c>
      <c r="G358" s="124">
        <f>'Workforce &amp; Expenses'!J410</f>
        <v>1634802</v>
      </c>
      <c r="H358" s="124">
        <f t="shared" si="28"/>
        <v>4230209</v>
      </c>
      <c r="I358" s="124">
        <f t="shared" si="29"/>
        <v>5865011</v>
      </c>
      <c r="J358" s="124">
        <f t="shared" si="30"/>
        <v>0</v>
      </c>
      <c r="K358" s="124">
        <f t="shared" si="38"/>
        <v>484644</v>
      </c>
      <c r="L358" s="124">
        <f t="shared" si="39"/>
        <v>424064</v>
      </c>
      <c r="M358" s="124">
        <f t="shared" si="33"/>
        <v>302902</v>
      </c>
      <c r="N358" s="124">
        <f t="shared" si="34"/>
        <v>2538125</v>
      </c>
      <c r="O358" s="124">
        <f t="shared" si="35"/>
        <v>1692084</v>
      </c>
    </row>
    <row r="359">
      <c r="A359" s="126">
        <f>'Monthly Data'!A155</f>
        <v>47757</v>
      </c>
      <c r="B359" s="124">
        <f>'Clinical Trials &amp; R&amp;D'!L91</f>
        <v>5117013</v>
      </c>
      <c r="C359" s="124">
        <f>'Clinical Trials &amp; R&amp;D'!T91</f>
        <v>5884707</v>
      </c>
      <c r="D359" s="124">
        <f>'Workforce &amp; Expenses'!I411</f>
        <v>3905403</v>
      </c>
      <c r="E359" s="124">
        <f t="shared" si="26"/>
        <v>1211610</v>
      </c>
      <c r="F359" s="124">
        <f t="shared" si="27"/>
        <v>5117013</v>
      </c>
      <c r="G359" s="124">
        <f>'Workforce &amp; Expenses'!J411</f>
        <v>1654498</v>
      </c>
      <c r="H359" s="124">
        <f t="shared" si="28"/>
        <v>4230209</v>
      </c>
      <c r="I359" s="124">
        <f t="shared" si="29"/>
        <v>5884707</v>
      </c>
      <c r="J359" s="124">
        <f t="shared" si="30"/>
        <v>0</v>
      </c>
      <c r="K359" s="124">
        <f t="shared" si="38"/>
        <v>484644</v>
      </c>
      <c r="L359" s="124">
        <f t="shared" si="39"/>
        <v>424064</v>
      </c>
      <c r="M359" s="124">
        <f t="shared" si="33"/>
        <v>302902</v>
      </c>
      <c r="N359" s="124">
        <f t="shared" si="34"/>
        <v>2538125</v>
      </c>
      <c r="O359" s="124">
        <f t="shared" si="35"/>
        <v>1692084</v>
      </c>
    </row>
    <row r="360">
      <c r="A360" s="126">
        <f>'Monthly Data'!A156</f>
        <v>47788</v>
      </c>
      <c r="B360" s="124">
        <f>'Clinical Trials &amp; R&amp;D'!L92</f>
        <v>5117013</v>
      </c>
      <c r="C360" s="124">
        <f>'Clinical Trials &amp; R&amp;D'!T92</f>
        <v>5904403</v>
      </c>
      <c r="D360" s="124">
        <f>'Workforce &amp; Expenses'!I412</f>
        <v>3905403</v>
      </c>
      <c r="E360" s="124">
        <f t="shared" si="26"/>
        <v>1211610</v>
      </c>
      <c r="F360" s="124">
        <f t="shared" si="27"/>
        <v>5117013</v>
      </c>
      <c r="G360" s="124">
        <f>'Workforce &amp; Expenses'!J412</f>
        <v>1674194</v>
      </c>
      <c r="H360" s="124">
        <f t="shared" si="28"/>
        <v>4230209</v>
      </c>
      <c r="I360" s="124">
        <f t="shared" si="29"/>
        <v>5904403</v>
      </c>
      <c r="J360" s="124">
        <f t="shared" si="30"/>
        <v>0</v>
      </c>
      <c r="K360" s="124">
        <f t="shared" si="38"/>
        <v>484644</v>
      </c>
      <c r="L360" s="124">
        <f t="shared" si="39"/>
        <v>424064</v>
      </c>
      <c r="M360" s="124">
        <f t="shared" si="33"/>
        <v>302902</v>
      </c>
      <c r="N360" s="124">
        <f t="shared" si="34"/>
        <v>2538125</v>
      </c>
      <c r="O360" s="124">
        <f t="shared" si="35"/>
        <v>1692084</v>
      </c>
    </row>
    <row r="361">
      <c r="A361" s="126">
        <f>'Monthly Data'!A157</f>
        <v>47818</v>
      </c>
      <c r="B361" s="124">
        <f>'Clinical Trials &amp; R&amp;D'!L93</f>
        <v>5117013</v>
      </c>
      <c r="C361" s="124">
        <f>'Clinical Trials &amp; R&amp;D'!T93</f>
        <v>5924100</v>
      </c>
      <c r="D361" s="124">
        <f>'Workforce &amp; Expenses'!I413</f>
        <v>3905403</v>
      </c>
      <c r="E361" s="124">
        <f t="shared" si="26"/>
        <v>1211610</v>
      </c>
      <c r="F361" s="124">
        <f t="shared" si="27"/>
        <v>5117013</v>
      </c>
      <c r="G361" s="124">
        <f>'Workforce &amp; Expenses'!J413</f>
        <v>1693891</v>
      </c>
      <c r="H361" s="124">
        <f t="shared" si="28"/>
        <v>4230209</v>
      </c>
      <c r="I361" s="124">
        <f t="shared" si="29"/>
        <v>5924100</v>
      </c>
      <c r="J361" s="124">
        <f t="shared" si="30"/>
        <v>0</v>
      </c>
      <c r="K361" s="124">
        <f t="shared" si="38"/>
        <v>484644</v>
      </c>
      <c r="L361" s="124">
        <f t="shared" si="39"/>
        <v>424064</v>
      </c>
      <c r="M361" s="124">
        <f t="shared" si="33"/>
        <v>302902</v>
      </c>
      <c r="N361" s="124">
        <f t="shared" si="34"/>
        <v>2538125</v>
      </c>
      <c r="O361" s="124">
        <f t="shared" si="35"/>
        <v>1692084</v>
      </c>
    </row>
    <row r="362">
      <c r="A362" s="126">
        <f>'Monthly Data'!A158</f>
        <v>47849</v>
      </c>
      <c r="B362" s="124">
        <f>'Clinical Trials &amp; R&amp;D'!L94</f>
        <v>5270525</v>
      </c>
      <c r="C362" s="124">
        <f>'Clinical Trials &amp; R&amp;D'!T94</f>
        <v>6271477</v>
      </c>
      <c r="D362" s="124">
        <f>'Workforce &amp; Expenses'!I414</f>
        <v>4022566</v>
      </c>
      <c r="E362" s="124">
        <f t="shared" si="26"/>
        <v>1247959</v>
      </c>
      <c r="F362" s="124">
        <f t="shared" si="27"/>
        <v>5270525</v>
      </c>
      <c r="G362" s="124">
        <f>'Workforce &amp; Expenses'!J414</f>
        <v>1764995</v>
      </c>
      <c r="H362" s="124">
        <f t="shared" si="28"/>
        <v>4506482</v>
      </c>
      <c r="I362" s="124">
        <f t="shared" si="29"/>
        <v>6271477</v>
      </c>
      <c r="J362" s="124">
        <f t="shared" si="30"/>
        <v>0</v>
      </c>
      <c r="K362" s="124">
        <f t="shared" si="38"/>
        <v>499184</v>
      </c>
      <c r="L362" s="124">
        <f t="shared" si="39"/>
        <v>436786</v>
      </c>
      <c r="M362" s="124">
        <f t="shared" si="33"/>
        <v>311989</v>
      </c>
      <c r="N362" s="124">
        <f t="shared" si="34"/>
        <v>2703889</v>
      </c>
      <c r="O362" s="124">
        <f t="shared" si="35"/>
        <v>1802593</v>
      </c>
    </row>
    <row r="363">
      <c r="A363" s="126">
        <f>'Monthly Data'!A159</f>
        <v>47880</v>
      </c>
      <c r="B363" s="124">
        <f>'Clinical Trials &amp; R&amp;D'!L95</f>
        <v>5293517</v>
      </c>
      <c r="C363" s="124">
        <f>'Clinical Trials &amp; R&amp;D'!T95</f>
        <v>6291764</v>
      </c>
      <c r="D363" s="124">
        <f>'Workforce &amp; Expenses'!I415</f>
        <v>4045558</v>
      </c>
      <c r="E363" s="124">
        <f t="shared" si="26"/>
        <v>1247959</v>
      </c>
      <c r="F363" s="124">
        <f t="shared" si="27"/>
        <v>5293517</v>
      </c>
      <c r="G363" s="124">
        <f>'Workforce &amp; Expenses'!J415</f>
        <v>1785282</v>
      </c>
      <c r="H363" s="124">
        <f t="shared" si="28"/>
        <v>4506482</v>
      </c>
      <c r="I363" s="124">
        <f t="shared" si="29"/>
        <v>6291764</v>
      </c>
      <c r="J363" s="124">
        <f t="shared" si="30"/>
        <v>0</v>
      </c>
      <c r="K363" s="124">
        <f t="shared" si="38"/>
        <v>499184</v>
      </c>
      <c r="L363" s="124">
        <f t="shared" si="39"/>
        <v>436786</v>
      </c>
      <c r="M363" s="124">
        <f t="shared" si="33"/>
        <v>311989</v>
      </c>
      <c r="N363" s="124">
        <f t="shared" si="34"/>
        <v>2703889</v>
      </c>
      <c r="O363" s="124">
        <f t="shared" si="35"/>
        <v>1802593</v>
      </c>
    </row>
    <row r="364">
      <c r="A364" s="126">
        <f>'Monthly Data'!A160</f>
        <v>47908</v>
      </c>
      <c r="B364" s="124">
        <f>'Clinical Trials &amp; R&amp;D'!L96</f>
        <v>5293517</v>
      </c>
      <c r="C364" s="124">
        <f>'Clinical Trials &amp; R&amp;D'!T96</f>
        <v>6312051</v>
      </c>
      <c r="D364" s="124">
        <f>'Workforce &amp; Expenses'!I416</f>
        <v>4045558</v>
      </c>
      <c r="E364" s="124">
        <f t="shared" si="26"/>
        <v>1247959</v>
      </c>
      <c r="F364" s="124">
        <f t="shared" si="27"/>
        <v>5293517</v>
      </c>
      <c r="G364" s="124">
        <f>'Workforce &amp; Expenses'!J416</f>
        <v>1805569</v>
      </c>
      <c r="H364" s="124">
        <f t="shared" si="28"/>
        <v>4506482</v>
      </c>
      <c r="I364" s="124">
        <f t="shared" si="29"/>
        <v>6312051</v>
      </c>
      <c r="J364" s="124">
        <f t="shared" si="30"/>
        <v>0</v>
      </c>
      <c r="K364" s="124">
        <f t="shared" si="38"/>
        <v>499184</v>
      </c>
      <c r="L364" s="124">
        <f t="shared" si="39"/>
        <v>436786</v>
      </c>
      <c r="M364" s="124">
        <f t="shared" si="33"/>
        <v>311989</v>
      </c>
      <c r="N364" s="124">
        <f t="shared" si="34"/>
        <v>2703889</v>
      </c>
      <c r="O364" s="124">
        <f t="shared" si="35"/>
        <v>1802593</v>
      </c>
    </row>
    <row r="365">
      <c r="A365" s="126">
        <f>'Monthly Data'!A161</f>
        <v>47939</v>
      </c>
      <c r="B365" s="124">
        <f>'Clinical Trials &amp; R&amp;D'!L97</f>
        <v>5272147</v>
      </c>
      <c r="C365" s="124">
        <f>'Clinical Trials &amp; R&amp;D'!T97</f>
        <v>6332339</v>
      </c>
      <c r="D365" s="124">
        <f>'Workforce &amp; Expenses'!I417</f>
        <v>4024188</v>
      </c>
      <c r="E365" s="124">
        <f t="shared" si="26"/>
        <v>1247959</v>
      </c>
      <c r="F365" s="124">
        <f t="shared" si="27"/>
        <v>5272147</v>
      </c>
      <c r="G365" s="124">
        <f>'Workforce &amp; Expenses'!J417</f>
        <v>1825857</v>
      </c>
      <c r="H365" s="124">
        <f t="shared" si="28"/>
        <v>4506482</v>
      </c>
      <c r="I365" s="124">
        <f t="shared" si="29"/>
        <v>6332339</v>
      </c>
      <c r="J365" s="124">
        <f t="shared" si="30"/>
        <v>0</v>
      </c>
      <c r="K365" s="124">
        <f t="shared" si="38"/>
        <v>499184</v>
      </c>
      <c r="L365" s="124">
        <f t="shared" si="39"/>
        <v>436786</v>
      </c>
      <c r="M365" s="124">
        <f t="shared" si="33"/>
        <v>311989</v>
      </c>
      <c r="N365" s="124">
        <f t="shared" si="34"/>
        <v>2703889</v>
      </c>
      <c r="O365" s="124">
        <f t="shared" si="35"/>
        <v>1802593</v>
      </c>
    </row>
    <row r="366">
      <c r="A366" s="126">
        <f>'Monthly Data'!A162</f>
        <v>47969</v>
      </c>
      <c r="B366" s="124">
        <f>'Clinical Trials &amp; R&amp;D'!L98</f>
        <v>5272147</v>
      </c>
      <c r="C366" s="124">
        <f>'Clinical Trials &amp; R&amp;D'!T98</f>
        <v>6352626</v>
      </c>
      <c r="D366" s="124">
        <f>'Workforce &amp; Expenses'!I418</f>
        <v>4024188</v>
      </c>
      <c r="E366" s="124">
        <f t="shared" si="26"/>
        <v>1247959</v>
      </c>
      <c r="F366" s="124">
        <f t="shared" si="27"/>
        <v>5272147</v>
      </c>
      <c r="G366" s="124">
        <f>'Workforce &amp; Expenses'!J418</f>
        <v>1846144</v>
      </c>
      <c r="H366" s="124">
        <f t="shared" si="28"/>
        <v>4506482</v>
      </c>
      <c r="I366" s="124">
        <f t="shared" si="29"/>
        <v>6352626</v>
      </c>
      <c r="J366" s="124">
        <f t="shared" si="30"/>
        <v>0</v>
      </c>
      <c r="K366" s="124">
        <f t="shared" si="38"/>
        <v>499184</v>
      </c>
      <c r="L366" s="124">
        <f t="shared" si="39"/>
        <v>436786</v>
      </c>
      <c r="M366" s="124">
        <f t="shared" si="33"/>
        <v>311989</v>
      </c>
      <c r="N366" s="124">
        <f t="shared" si="34"/>
        <v>2703889</v>
      </c>
      <c r="O366" s="124">
        <f t="shared" si="35"/>
        <v>1802593</v>
      </c>
    </row>
    <row r="367">
      <c r="A367" s="126">
        <f>'Monthly Data'!A163</f>
        <v>48000</v>
      </c>
      <c r="B367" s="124">
        <f>'Clinical Trials &amp; R&amp;D'!L99</f>
        <v>5295139</v>
      </c>
      <c r="C367" s="124">
        <f>'Clinical Trials &amp; R&amp;D'!T99</f>
        <v>6393201</v>
      </c>
      <c r="D367" s="124">
        <f>'Workforce &amp; Expenses'!I419</f>
        <v>4047180</v>
      </c>
      <c r="E367" s="124">
        <f t="shared" si="26"/>
        <v>1247959</v>
      </c>
      <c r="F367" s="124">
        <f t="shared" si="27"/>
        <v>5295139</v>
      </c>
      <c r="G367" s="124">
        <f>'Workforce &amp; Expenses'!J419</f>
        <v>1886719</v>
      </c>
      <c r="H367" s="124">
        <f t="shared" si="28"/>
        <v>4506482</v>
      </c>
      <c r="I367" s="124">
        <f t="shared" si="29"/>
        <v>6393201</v>
      </c>
      <c r="J367" s="124">
        <f t="shared" si="30"/>
        <v>0</v>
      </c>
      <c r="K367" s="124">
        <f t="shared" si="38"/>
        <v>499184</v>
      </c>
      <c r="L367" s="124">
        <f t="shared" si="39"/>
        <v>436786</v>
      </c>
      <c r="M367" s="124">
        <f t="shared" si="33"/>
        <v>311989</v>
      </c>
      <c r="N367" s="124">
        <f t="shared" si="34"/>
        <v>2703889</v>
      </c>
      <c r="O367" s="124">
        <f t="shared" si="35"/>
        <v>1802593</v>
      </c>
    </row>
    <row r="368">
      <c r="A368" s="126">
        <f>'Monthly Data'!A164</f>
        <v>48030</v>
      </c>
      <c r="B368" s="124">
        <f>'Clinical Trials &amp; R&amp;D'!L100</f>
        <v>5295139</v>
      </c>
      <c r="C368" s="124">
        <f>'Clinical Trials &amp; R&amp;D'!T100</f>
        <v>6413488</v>
      </c>
      <c r="D368" s="124">
        <f>'Workforce &amp; Expenses'!I420</f>
        <v>4047180</v>
      </c>
      <c r="E368" s="124">
        <f t="shared" si="26"/>
        <v>1247959</v>
      </c>
      <c r="F368" s="124">
        <f t="shared" si="27"/>
        <v>5295139</v>
      </c>
      <c r="G368" s="124">
        <f>'Workforce &amp; Expenses'!J420</f>
        <v>1907006</v>
      </c>
      <c r="H368" s="124">
        <f t="shared" si="28"/>
        <v>4506482</v>
      </c>
      <c r="I368" s="124">
        <f t="shared" si="29"/>
        <v>6413488</v>
      </c>
      <c r="J368" s="124">
        <f t="shared" si="30"/>
        <v>0</v>
      </c>
      <c r="K368" s="124">
        <f t="shared" si="38"/>
        <v>499184</v>
      </c>
      <c r="L368" s="124">
        <f t="shared" si="39"/>
        <v>436786</v>
      </c>
      <c r="M368" s="124">
        <f t="shared" si="33"/>
        <v>311989</v>
      </c>
      <c r="N368" s="124">
        <f t="shared" si="34"/>
        <v>2703889</v>
      </c>
      <c r="O368" s="124">
        <f t="shared" si="35"/>
        <v>1802593</v>
      </c>
    </row>
    <row r="369">
      <c r="A369" s="126">
        <f>'Monthly Data'!A165</f>
        <v>48061</v>
      </c>
      <c r="B369" s="124">
        <f>'Clinical Trials &amp; R&amp;D'!L101</f>
        <v>5295139</v>
      </c>
      <c r="C369" s="124">
        <f>'Clinical Trials &amp; R&amp;D'!T101</f>
        <v>6433775</v>
      </c>
      <c r="D369" s="124">
        <f>'Workforce &amp; Expenses'!I421</f>
        <v>4047180</v>
      </c>
      <c r="E369" s="124">
        <f t="shared" si="26"/>
        <v>1247959</v>
      </c>
      <c r="F369" s="124">
        <f t="shared" si="27"/>
        <v>5295139</v>
      </c>
      <c r="G369" s="124">
        <f>'Workforce &amp; Expenses'!J421</f>
        <v>1927293</v>
      </c>
      <c r="H369" s="124">
        <f t="shared" si="28"/>
        <v>4506482</v>
      </c>
      <c r="I369" s="124">
        <f t="shared" si="29"/>
        <v>6433775</v>
      </c>
      <c r="J369" s="124">
        <f t="shared" si="30"/>
        <v>0</v>
      </c>
      <c r="K369" s="124">
        <f t="shared" si="38"/>
        <v>499184</v>
      </c>
      <c r="L369" s="124">
        <f t="shared" si="39"/>
        <v>436786</v>
      </c>
      <c r="M369" s="124">
        <f t="shared" si="33"/>
        <v>311989</v>
      </c>
      <c r="N369" s="124">
        <f t="shared" si="34"/>
        <v>2703889</v>
      </c>
      <c r="O369" s="124">
        <f t="shared" si="35"/>
        <v>1802593</v>
      </c>
    </row>
    <row r="370">
      <c r="A370" s="126">
        <f>'Monthly Data'!A166</f>
        <v>48092</v>
      </c>
      <c r="B370" s="124">
        <f>'Clinical Trials &amp; R&amp;D'!L102</f>
        <v>5295139</v>
      </c>
      <c r="C370" s="124">
        <f>'Clinical Trials &amp; R&amp;D'!T102</f>
        <v>6454062</v>
      </c>
      <c r="D370" s="124">
        <f>'Workforce &amp; Expenses'!I422</f>
        <v>4047180</v>
      </c>
      <c r="E370" s="124">
        <f t="shared" si="26"/>
        <v>1247959</v>
      </c>
      <c r="F370" s="124">
        <f t="shared" si="27"/>
        <v>5295139</v>
      </c>
      <c r="G370" s="124">
        <f>'Workforce &amp; Expenses'!J422</f>
        <v>1947580</v>
      </c>
      <c r="H370" s="124">
        <f t="shared" si="28"/>
        <v>4506482</v>
      </c>
      <c r="I370" s="124">
        <f t="shared" si="29"/>
        <v>6454062</v>
      </c>
      <c r="J370" s="124">
        <f t="shared" si="30"/>
        <v>0</v>
      </c>
      <c r="K370" s="124">
        <f t="shared" si="38"/>
        <v>499184</v>
      </c>
      <c r="L370" s="124">
        <f t="shared" si="39"/>
        <v>436786</v>
      </c>
      <c r="M370" s="124">
        <f t="shared" si="33"/>
        <v>311989</v>
      </c>
      <c r="N370" s="124">
        <f t="shared" si="34"/>
        <v>2703889</v>
      </c>
      <c r="O370" s="124">
        <f t="shared" si="35"/>
        <v>1802593</v>
      </c>
    </row>
    <row r="371">
      <c r="A371" s="126">
        <f>'Monthly Data'!A167</f>
        <v>48122</v>
      </c>
      <c r="B371" s="124">
        <f>'Clinical Trials &amp; R&amp;D'!L103</f>
        <v>5296762</v>
      </c>
      <c r="C371" s="124">
        <f>'Clinical Trials &amp; R&amp;D'!T103</f>
        <v>6474350</v>
      </c>
      <c r="D371" s="124">
        <f>'Workforce &amp; Expenses'!I423</f>
        <v>4048803</v>
      </c>
      <c r="E371" s="124">
        <f t="shared" si="26"/>
        <v>1247959</v>
      </c>
      <c r="F371" s="124">
        <f t="shared" si="27"/>
        <v>5296762</v>
      </c>
      <c r="G371" s="124">
        <f>'Workforce &amp; Expenses'!J423</f>
        <v>1967868</v>
      </c>
      <c r="H371" s="124">
        <f t="shared" si="28"/>
        <v>4506482</v>
      </c>
      <c r="I371" s="124">
        <f t="shared" si="29"/>
        <v>6474350</v>
      </c>
      <c r="J371" s="124">
        <f t="shared" si="30"/>
        <v>0</v>
      </c>
      <c r="K371" s="124">
        <f t="shared" si="38"/>
        <v>499184</v>
      </c>
      <c r="L371" s="124">
        <f t="shared" si="39"/>
        <v>436786</v>
      </c>
      <c r="M371" s="124">
        <f t="shared" si="33"/>
        <v>311989</v>
      </c>
      <c r="N371" s="124">
        <f t="shared" si="34"/>
        <v>2703889</v>
      </c>
      <c r="O371" s="124">
        <f t="shared" si="35"/>
        <v>1802593</v>
      </c>
    </row>
    <row r="372">
      <c r="A372" s="126">
        <f>'Monthly Data'!A168</f>
        <v>48153</v>
      </c>
      <c r="B372" s="124">
        <f>'Clinical Trials &amp; R&amp;D'!L104</f>
        <v>5296762</v>
      </c>
      <c r="C372" s="124">
        <f>'Clinical Trials &amp; R&amp;D'!T104</f>
        <v>6494637</v>
      </c>
      <c r="D372" s="124">
        <f>'Workforce &amp; Expenses'!I424</f>
        <v>4048803</v>
      </c>
      <c r="E372" s="124">
        <f t="shared" si="26"/>
        <v>1247959</v>
      </c>
      <c r="F372" s="124">
        <f t="shared" si="27"/>
        <v>5296762</v>
      </c>
      <c r="G372" s="124">
        <f>'Workforce &amp; Expenses'!J424</f>
        <v>1988155</v>
      </c>
      <c r="H372" s="124">
        <f t="shared" si="28"/>
        <v>4506482</v>
      </c>
      <c r="I372" s="124">
        <f t="shared" si="29"/>
        <v>6494637</v>
      </c>
      <c r="J372" s="124">
        <f t="shared" si="30"/>
        <v>0</v>
      </c>
      <c r="K372" s="124">
        <f t="shared" si="38"/>
        <v>499184</v>
      </c>
      <c r="L372" s="124">
        <f t="shared" si="39"/>
        <v>436786</v>
      </c>
      <c r="M372" s="124">
        <f t="shared" si="33"/>
        <v>311989</v>
      </c>
      <c r="N372" s="124">
        <f t="shared" si="34"/>
        <v>2703889</v>
      </c>
      <c r="O372" s="124">
        <f t="shared" si="35"/>
        <v>1802593</v>
      </c>
    </row>
    <row r="373">
      <c r="A373" s="126">
        <f>'Monthly Data'!A169</f>
        <v>48183</v>
      </c>
      <c r="B373" s="124">
        <f>'Clinical Trials &amp; R&amp;D'!L105</f>
        <v>5296762</v>
      </c>
      <c r="C373" s="124">
        <f>'Clinical Trials &amp; R&amp;D'!T105</f>
        <v>6514924</v>
      </c>
      <c r="D373" s="124">
        <f>'Workforce &amp; Expenses'!I425</f>
        <v>4048803</v>
      </c>
      <c r="E373" s="124">
        <f t="shared" si="26"/>
        <v>1247959</v>
      </c>
      <c r="F373" s="124">
        <f t="shared" si="27"/>
        <v>5296762</v>
      </c>
      <c r="G373" s="124">
        <f>'Workforce &amp; Expenses'!J425</f>
        <v>2008442</v>
      </c>
      <c r="H373" s="124">
        <f t="shared" si="28"/>
        <v>4506482</v>
      </c>
      <c r="I373" s="124">
        <f t="shared" si="29"/>
        <v>6514924</v>
      </c>
      <c r="J373" s="124">
        <f t="shared" si="30"/>
        <v>0</v>
      </c>
      <c r="K373" s="124">
        <f t="shared" si="38"/>
        <v>499184</v>
      </c>
      <c r="L373" s="124">
        <f t="shared" si="39"/>
        <v>436786</v>
      </c>
      <c r="M373" s="124">
        <f t="shared" si="33"/>
        <v>311989</v>
      </c>
      <c r="N373" s="124">
        <f t="shared" si="34"/>
        <v>2703889</v>
      </c>
      <c r="O373" s="124">
        <f t="shared" si="35"/>
        <v>1802593</v>
      </c>
    </row>
    <row r="374">
      <c r="A374" s="126">
        <f>'Monthly Data'!A170</f>
        <v>48214</v>
      </c>
      <c r="B374" s="124">
        <f>'Clinical Trials &amp; R&amp;D'!L106</f>
        <v>5455666</v>
      </c>
      <c r="C374" s="124">
        <f>'Clinical Trials &amp; R&amp;D'!T106</f>
        <v>6887681</v>
      </c>
      <c r="D374" s="124">
        <f>'Workforce &amp; Expenses'!I426</f>
        <v>4170268</v>
      </c>
      <c r="E374" s="124">
        <f t="shared" si="26"/>
        <v>1285398</v>
      </c>
      <c r="F374" s="124">
        <f t="shared" si="27"/>
        <v>5455666</v>
      </c>
      <c r="G374" s="124">
        <f>'Workforce &amp; Expenses'!J426</f>
        <v>2089592</v>
      </c>
      <c r="H374" s="124">
        <f t="shared" si="28"/>
        <v>4798089</v>
      </c>
      <c r="I374" s="124">
        <f t="shared" si="29"/>
        <v>6887681</v>
      </c>
      <c r="J374" s="124">
        <f t="shared" si="30"/>
        <v>0</v>
      </c>
      <c r="K374" s="124">
        <f t="shared" si="38"/>
        <v>514159</v>
      </c>
      <c r="L374" s="124">
        <f t="shared" si="39"/>
        <v>449889</v>
      </c>
      <c r="M374" s="124">
        <f t="shared" si="33"/>
        <v>321350</v>
      </c>
      <c r="N374" s="124">
        <f t="shared" si="34"/>
        <v>2878853</v>
      </c>
      <c r="O374" s="124">
        <f t="shared" si="35"/>
        <v>1919236</v>
      </c>
    </row>
    <row r="375">
      <c r="A375" s="126">
        <f>'Monthly Data'!A171</f>
        <v>48245</v>
      </c>
      <c r="B375" s="124">
        <f>'Clinical Trials &amp; R&amp;D'!L107</f>
        <v>5479348</v>
      </c>
      <c r="C375" s="124">
        <f>'Clinical Trials &amp; R&amp;D'!T107</f>
        <v>6908576</v>
      </c>
      <c r="D375" s="124">
        <f>'Workforce &amp; Expenses'!I427</f>
        <v>4193950</v>
      </c>
      <c r="E375" s="124">
        <f t="shared" si="26"/>
        <v>1285398</v>
      </c>
      <c r="F375" s="124">
        <f t="shared" si="27"/>
        <v>5479348</v>
      </c>
      <c r="G375" s="124">
        <f>'Workforce &amp; Expenses'!J427</f>
        <v>2110487</v>
      </c>
      <c r="H375" s="124">
        <f t="shared" si="28"/>
        <v>4798089</v>
      </c>
      <c r="I375" s="124">
        <f t="shared" si="29"/>
        <v>6908576</v>
      </c>
      <c r="J375" s="124">
        <f t="shared" si="30"/>
        <v>0</v>
      </c>
      <c r="K375" s="124">
        <f t="shared" si="38"/>
        <v>514159</v>
      </c>
      <c r="L375" s="124">
        <f t="shared" si="39"/>
        <v>449889</v>
      </c>
      <c r="M375" s="124">
        <f t="shared" si="33"/>
        <v>321350</v>
      </c>
      <c r="N375" s="124">
        <f t="shared" si="34"/>
        <v>2878853</v>
      </c>
      <c r="O375" s="124">
        <f t="shared" si="35"/>
        <v>1919236</v>
      </c>
    </row>
    <row r="376">
      <c r="A376" s="126">
        <f>'Monthly Data'!A172</f>
        <v>48274</v>
      </c>
      <c r="B376" s="124">
        <f>'Clinical Trials &amp; R&amp;D'!L108</f>
        <v>5457337</v>
      </c>
      <c r="C376" s="124">
        <f>'Clinical Trials &amp; R&amp;D'!T108</f>
        <v>6929472</v>
      </c>
      <c r="D376" s="124">
        <f>'Workforce &amp; Expenses'!I428</f>
        <v>4171939</v>
      </c>
      <c r="E376" s="124">
        <f t="shared" si="26"/>
        <v>1285398</v>
      </c>
      <c r="F376" s="124">
        <f t="shared" si="27"/>
        <v>5457337</v>
      </c>
      <c r="G376" s="124">
        <f>'Workforce &amp; Expenses'!J428</f>
        <v>2131383</v>
      </c>
      <c r="H376" s="124">
        <f t="shared" si="28"/>
        <v>4798089</v>
      </c>
      <c r="I376" s="124">
        <f t="shared" si="29"/>
        <v>6929472</v>
      </c>
      <c r="J376" s="124">
        <f t="shared" si="30"/>
        <v>0</v>
      </c>
      <c r="K376" s="124">
        <f t="shared" si="38"/>
        <v>514159</v>
      </c>
      <c r="L376" s="124">
        <f t="shared" si="39"/>
        <v>449889</v>
      </c>
      <c r="M376" s="124">
        <f t="shared" si="33"/>
        <v>321350</v>
      </c>
      <c r="N376" s="124">
        <f t="shared" si="34"/>
        <v>2878853</v>
      </c>
      <c r="O376" s="124">
        <f t="shared" si="35"/>
        <v>1919236</v>
      </c>
    </row>
    <row r="377">
      <c r="A377" s="126">
        <f>'Monthly Data'!A173</f>
        <v>48305</v>
      </c>
      <c r="B377" s="124">
        <f>'Clinical Trials &amp; R&amp;D'!L109</f>
        <v>5457337</v>
      </c>
      <c r="C377" s="124">
        <f>'Clinical Trials &amp; R&amp;D'!T109</f>
        <v>6950368</v>
      </c>
      <c r="D377" s="124">
        <f>'Workforce &amp; Expenses'!I429</f>
        <v>4171939</v>
      </c>
      <c r="E377" s="124">
        <f t="shared" si="26"/>
        <v>1285398</v>
      </c>
      <c r="F377" s="124">
        <f t="shared" si="27"/>
        <v>5457337</v>
      </c>
      <c r="G377" s="124">
        <f>'Workforce &amp; Expenses'!J429</f>
        <v>2152279</v>
      </c>
      <c r="H377" s="124">
        <f t="shared" si="28"/>
        <v>4798089</v>
      </c>
      <c r="I377" s="124">
        <f t="shared" si="29"/>
        <v>6950368</v>
      </c>
      <c r="J377" s="124">
        <f t="shared" si="30"/>
        <v>0</v>
      </c>
      <c r="K377" s="124">
        <f t="shared" si="38"/>
        <v>514159</v>
      </c>
      <c r="L377" s="124">
        <f t="shared" si="39"/>
        <v>449889</v>
      </c>
      <c r="M377" s="124">
        <f t="shared" si="33"/>
        <v>321350</v>
      </c>
      <c r="N377" s="124">
        <f t="shared" si="34"/>
        <v>2878853</v>
      </c>
      <c r="O377" s="124">
        <f t="shared" si="35"/>
        <v>1919236</v>
      </c>
    </row>
    <row r="378">
      <c r="A378" s="126">
        <f>'Monthly Data'!A174</f>
        <v>48335</v>
      </c>
      <c r="B378" s="124">
        <f>'Clinical Trials &amp; R&amp;D'!L110</f>
        <v>5457337</v>
      </c>
      <c r="C378" s="124">
        <f>'Clinical Trials &amp; R&amp;D'!T110</f>
        <v>6971264</v>
      </c>
      <c r="D378" s="124">
        <f>'Workforce &amp; Expenses'!I430</f>
        <v>4171939</v>
      </c>
      <c r="E378" s="124">
        <f t="shared" si="26"/>
        <v>1285398</v>
      </c>
      <c r="F378" s="124">
        <f t="shared" si="27"/>
        <v>5457337</v>
      </c>
      <c r="G378" s="124">
        <f>'Workforce &amp; Expenses'!J430</f>
        <v>2173175</v>
      </c>
      <c r="H378" s="124">
        <f t="shared" si="28"/>
        <v>4798089</v>
      </c>
      <c r="I378" s="124">
        <f t="shared" si="29"/>
        <v>6971264</v>
      </c>
      <c r="J378" s="124">
        <f t="shared" si="30"/>
        <v>0</v>
      </c>
      <c r="K378" s="124">
        <f t="shared" si="38"/>
        <v>514159</v>
      </c>
      <c r="L378" s="124">
        <f t="shared" si="39"/>
        <v>449889</v>
      </c>
      <c r="M378" s="124">
        <f t="shared" si="33"/>
        <v>321350</v>
      </c>
      <c r="N378" s="124">
        <f t="shared" si="34"/>
        <v>2878853</v>
      </c>
      <c r="O378" s="124">
        <f t="shared" si="35"/>
        <v>1919236</v>
      </c>
    </row>
    <row r="379">
      <c r="A379" s="126">
        <f>'Monthly Data'!A175</f>
        <v>48366</v>
      </c>
      <c r="B379" s="124">
        <f>'Clinical Trials &amp; R&amp;D'!L111</f>
        <v>5481019</v>
      </c>
      <c r="C379" s="124">
        <f>'Clinical Trials &amp; R&amp;D'!T111</f>
        <v>6992160</v>
      </c>
      <c r="D379" s="124">
        <f>'Workforce &amp; Expenses'!I431</f>
        <v>4195621</v>
      </c>
      <c r="E379" s="124">
        <f t="shared" si="26"/>
        <v>1285398</v>
      </c>
      <c r="F379" s="124">
        <f t="shared" si="27"/>
        <v>5481019</v>
      </c>
      <c r="G379" s="124">
        <f>'Workforce &amp; Expenses'!J431</f>
        <v>2194071</v>
      </c>
      <c r="H379" s="124">
        <f t="shared" si="28"/>
        <v>4798089</v>
      </c>
      <c r="I379" s="124">
        <f t="shared" si="29"/>
        <v>6992160</v>
      </c>
      <c r="J379" s="124">
        <f t="shared" si="30"/>
        <v>0</v>
      </c>
      <c r="K379" s="124">
        <f t="shared" si="38"/>
        <v>514159</v>
      </c>
      <c r="L379" s="124">
        <f t="shared" si="39"/>
        <v>449889</v>
      </c>
      <c r="M379" s="124">
        <f t="shared" si="33"/>
        <v>321350</v>
      </c>
      <c r="N379" s="124">
        <f t="shared" si="34"/>
        <v>2878853</v>
      </c>
      <c r="O379" s="124">
        <f t="shared" si="35"/>
        <v>1919236</v>
      </c>
    </row>
    <row r="380">
      <c r="A380" s="126">
        <f>'Monthly Data'!A176</f>
        <v>48396</v>
      </c>
      <c r="B380" s="124">
        <f>'Clinical Trials &amp; R&amp;D'!L112</f>
        <v>5459009</v>
      </c>
      <c r="C380" s="124">
        <f>'Clinical Trials &amp; R&amp;D'!T112</f>
        <v>7013056</v>
      </c>
      <c r="D380" s="124">
        <f>'Workforce &amp; Expenses'!I432</f>
        <v>4173611</v>
      </c>
      <c r="E380" s="124">
        <f t="shared" si="26"/>
        <v>1285398</v>
      </c>
      <c r="F380" s="124">
        <f t="shared" si="27"/>
        <v>5459009</v>
      </c>
      <c r="G380" s="124">
        <f>'Workforce &amp; Expenses'!J432</f>
        <v>2214967</v>
      </c>
      <c r="H380" s="124">
        <f t="shared" si="28"/>
        <v>4798089</v>
      </c>
      <c r="I380" s="124">
        <f t="shared" si="29"/>
        <v>7013056</v>
      </c>
      <c r="J380" s="124">
        <f t="shared" si="30"/>
        <v>0</v>
      </c>
      <c r="K380" s="124">
        <f t="shared" si="38"/>
        <v>514159</v>
      </c>
      <c r="L380" s="124">
        <f t="shared" si="39"/>
        <v>449889</v>
      </c>
      <c r="M380" s="124">
        <f t="shared" si="33"/>
        <v>321350</v>
      </c>
      <c r="N380" s="124">
        <f t="shared" si="34"/>
        <v>2878853</v>
      </c>
      <c r="O380" s="124">
        <f t="shared" si="35"/>
        <v>1919236</v>
      </c>
    </row>
    <row r="381">
      <c r="A381" s="126">
        <f>'Monthly Data'!A177</f>
        <v>48427</v>
      </c>
      <c r="B381" s="124">
        <f>'Clinical Trials &amp; R&amp;D'!L113</f>
        <v>5459009</v>
      </c>
      <c r="C381" s="124">
        <f>'Clinical Trials &amp; R&amp;D'!T113</f>
        <v>7033952</v>
      </c>
      <c r="D381" s="124">
        <f>'Workforce &amp; Expenses'!I433</f>
        <v>4173611</v>
      </c>
      <c r="E381" s="124">
        <f t="shared" si="26"/>
        <v>1285398</v>
      </c>
      <c r="F381" s="124">
        <f t="shared" si="27"/>
        <v>5459009</v>
      </c>
      <c r="G381" s="124">
        <f>'Workforce &amp; Expenses'!J433</f>
        <v>2235863</v>
      </c>
      <c r="H381" s="124">
        <f t="shared" si="28"/>
        <v>4798089</v>
      </c>
      <c r="I381" s="124">
        <f t="shared" si="29"/>
        <v>7033952</v>
      </c>
      <c r="J381" s="124">
        <f t="shared" si="30"/>
        <v>0</v>
      </c>
      <c r="K381" s="124">
        <f t="shared" si="38"/>
        <v>514159</v>
      </c>
      <c r="L381" s="124">
        <f t="shared" si="39"/>
        <v>449889</v>
      </c>
      <c r="M381" s="124">
        <f t="shared" si="33"/>
        <v>321350</v>
      </c>
      <c r="N381" s="124">
        <f t="shared" si="34"/>
        <v>2878853</v>
      </c>
      <c r="O381" s="124">
        <f t="shared" si="35"/>
        <v>1919236</v>
      </c>
    </row>
    <row r="382">
      <c r="A382" s="126">
        <f>'Monthly Data'!A178</f>
        <v>48458</v>
      </c>
      <c r="B382" s="124">
        <f>'Clinical Trials &amp; R&amp;D'!L114</f>
        <v>5459009</v>
      </c>
      <c r="C382" s="124">
        <f>'Clinical Trials &amp; R&amp;D'!T114</f>
        <v>7054848</v>
      </c>
      <c r="D382" s="124">
        <f>'Workforce &amp; Expenses'!I434</f>
        <v>4173611</v>
      </c>
      <c r="E382" s="124">
        <f t="shared" si="26"/>
        <v>1285398</v>
      </c>
      <c r="F382" s="124">
        <f t="shared" si="27"/>
        <v>5459009</v>
      </c>
      <c r="G382" s="124">
        <f>'Workforce &amp; Expenses'!J434</f>
        <v>2256759</v>
      </c>
      <c r="H382" s="124">
        <f t="shared" si="28"/>
        <v>4798089</v>
      </c>
      <c r="I382" s="124">
        <f t="shared" si="29"/>
        <v>7054848</v>
      </c>
      <c r="J382" s="124">
        <f t="shared" si="30"/>
        <v>0</v>
      </c>
      <c r="K382" s="124">
        <f t="shared" si="38"/>
        <v>514159</v>
      </c>
      <c r="L382" s="124">
        <f t="shared" si="39"/>
        <v>449889</v>
      </c>
      <c r="M382" s="124">
        <f t="shared" si="33"/>
        <v>321350</v>
      </c>
      <c r="N382" s="124">
        <f t="shared" si="34"/>
        <v>2878853</v>
      </c>
      <c r="O382" s="124">
        <f t="shared" si="35"/>
        <v>1919236</v>
      </c>
    </row>
    <row r="383">
      <c r="A383" s="126">
        <f>'Monthly Data'!A179</f>
        <v>48488</v>
      </c>
      <c r="B383" s="124">
        <f>'Clinical Trials &amp; R&amp;D'!L115</f>
        <v>5482691</v>
      </c>
      <c r="C383" s="124">
        <f>'Clinical Trials &amp; R&amp;D'!T115</f>
        <v>7075744</v>
      </c>
      <c r="D383" s="124">
        <f>'Workforce &amp; Expenses'!I435</f>
        <v>4197293</v>
      </c>
      <c r="E383" s="124">
        <f t="shared" si="26"/>
        <v>1285398</v>
      </c>
      <c r="F383" s="124">
        <f t="shared" si="27"/>
        <v>5482691</v>
      </c>
      <c r="G383" s="124">
        <f>'Workforce &amp; Expenses'!J435</f>
        <v>2277655</v>
      </c>
      <c r="H383" s="124">
        <f t="shared" si="28"/>
        <v>4798089</v>
      </c>
      <c r="I383" s="124">
        <f t="shared" si="29"/>
        <v>7075744</v>
      </c>
      <c r="J383" s="124">
        <f t="shared" si="30"/>
        <v>0</v>
      </c>
      <c r="K383" s="124">
        <f t="shared" si="38"/>
        <v>514159</v>
      </c>
      <c r="L383" s="124">
        <f t="shared" si="39"/>
        <v>449889</v>
      </c>
      <c r="M383" s="124">
        <f t="shared" si="33"/>
        <v>321350</v>
      </c>
      <c r="N383" s="124">
        <f t="shared" si="34"/>
        <v>2878853</v>
      </c>
      <c r="O383" s="124">
        <f t="shared" si="35"/>
        <v>1919236</v>
      </c>
    </row>
    <row r="384">
      <c r="A384" s="126">
        <f>'Monthly Data'!A180</f>
        <v>48519</v>
      </c>
      <c r="B384" s="124">
        <f>'Clinical Trials &amp; R&amp;D'!L116</f>
        <v>5460681</v>
      </c>
      <c r="C384" s="124">
        <f>'Clinical Trials &amp; R&amp;D'!T116</f>
        <v>7096640</v>
      </c>
      <c r="D384" s="124">
        <f>'Workforce &amp; Expenses'!I436</f>
        <v>4175283</v>
      </c>
      <c r="E384" s="124">
        <f t="shared" si="26"/>
        <v>1285398</v>
      </c>
      <c r="F384" s="124">
        <f t="shared" si="27"/>
        <v>5460681</v>
      </c>
      <c r="G384" s="124">
        <f>'Workforce &amp; Expenses'!J436</f>
        <v>2298551</v>
      </c>
      <c r="H384" s="124">
        <f t="shared" si="28"/>
        <v>4798089</v>
      </c>
      <c r="I384" s="124">
        <f t="shared" si="29"/>
        <v>7096640</v>
      </c>
      <c r="J384" s="124">
        <f t="shared" si="30"/>
        <v>0</v>
      </c>
      <c r="K384" s="124">
        <f t="shared" si="38"/>
        <v>514159</v>
      </c>
      <c r="L384" s="124">
        <f t="shared" si="39"/>
        <v>449889</v>
      </c>
      <c r="M384" s="124">
        <f t="shared" si="33"/>
        <v>321350</v>
      </c>
      <c r="N384" s="124">
        <f t="shared" si="34"/>
        <v>2878853</v>
      </c>
      <c r="O384" s="124">
        <f t="shared" si="35"/>
        <v>1919236</v>
      </c>
    </row>
    <row r="385">
      <c r="A385" s="126">
        <f>'Monthly Data'!A181</f>
        <v>48549</v>
      </c>
      <c r="B385" s="124">
        <f>'Clinical Trials &amp; R&amp;D'!L117</f>
        <v>5460681</v>
      </c>
      <c r="C385" s="124">
        <f>'Clinical Trials &amp; R&amp;D'!T117</f>
        <v>7117536</v>
      </c>
      <c r="D385" s="124">
        <f>'Workforce &amp; Expenses'!I437</f>
        <v>4175283</v>
      </c>
      <c r="E385" s="124">
        <f t="shared" si="26"/>
        <v>1285398</v>
      </c>
      <c r="F385" s="124">
        <f t="shared" si="27"/>
        <v>5460681</v>
      </c>
      <c r="G385" s="124">
        <f>'Workforce &amp; Expenses'!J437</f>
        <v>2319447</v>
      </c>
      <c r="H385" s="124">
        <f t="shared" si="28"/>
        <v>4798089</v>
      </c>
      <c r="I385" s="124">
        <f t="shared" si="29"/>
        <v>7117536</v>
      </c>
      <c r="J385" s="124">
        <f t="shared" si="30"/>
        <v>0</v>
      </c>
      <c r="K385" s="124">
        <f t="shared" si="38"/>
        <v>514159</v>
      </c>
      <c r="L385" s="124">
        <f t="shared" si="39"/>
        <v>449889</v>
      </c>
      <c r="M385" s="124">
        <f t="shared" si="33"/>
        <v>321350</v>
      </c>
      <c r="N385" s="124">
        <f t="shared" si="34"/>
        <v>2878853</v>
      </c>
      <c r="O385" s="124">
        <f t="shared" si="35"/>
        <v>1919236</v>
      </c>
    </row>
  </sheetData>
  <mergeCells count="9">
    <mergeCell ref="A123:Q123"/>
    <mergeCell ref="A124:Q124"/>
    <mergeCell ref="A1:V1"/>
    <mergeCell ref="A2:V2"/>
    <mergeCell ref="A25:V25"/>
    <mergeCell ref="A32:V32"/>
    <mergeCell ref="A120:Q120"/>
    <mergeCell ref="A121:Q121"/>
    <mergeCell ref="A122:Q122"/>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49C7"/>
    <outlinePr summaryBelow="0" summaryRight="0"/>
  </sheetPr>
  <sheetViews>
    <sheetView showGridLines="0" workbookViewId="0"/>
  </sheetViews>
  <sheetFormatPr customHeight="1" defaultColWidth="12.63" defaultRowHeight="15.75"/>
  <cols>
    <col customWidth="1" min="1" max="2" width="36.38"/>
    <col customWidth="1" min="3" max="3" width="18.88"/>
    <col customWidth="1" min="4" max="4" width="17.13"/>
    <col customWidth="1" min="5" max="5" width="19.38"/>
    <col customWidth="1" min="6" max="13" width="18.88"/>
    <col hidden="1" min="18" max="20" width="12.63"/>
  </cols>
  <sheetData>
    <row r="1">
      <c r="A1" s="161" t="s">
        <v>436</v>
      </c>
      <c r="B1" s="161"/>
      <c r="C1" s="161"/>
      <c r="D1" s="161"/>
      <c r="E1" s="161"/>
      <c r="F1" s="161"/>
      <c r="G1" s="161"/>
      <c r="H1" s="161"/>
      <c r="I1" s="161"/>
      <c r="J1" s="161"/>
      <c r="K1" s="161"/>
      <c r="L1" s="161"/>
      <c r="M1" s="162"/>
    </row>
    <row r="2" hidden="1">
      <c r="A2" s="72" t="s">
        <v>437</v>
      </c>
    </row>
    <row r="3" hidden="1"/>
    <row r="4">
      <c r="A4" s="80" t="s">
        <v>438</v>
      </c>
      <c r="B4" s="163"/>
      <c r="C4" s="163"/>
      <c r="D4" s="163"/>
      <c r="E4" s="80" t="s">
        <v>439</v>
      </c>
      <c r="F4" s="163"/>
      <c r="G4" s="163"/>
      <c r="H4" s="163"/>
      <c r="I4" s="163"/>
      <c r="J4" s="163"/>
      <c r="K4" s="163"/>
      <c r="L4" s="163"/>
    </row>
    <row r="5">
      <c r="A5" s="16" t="s">
        <v>440</v>
      </c>
      <c r="B5" s="164" t="s">
        <v>441</v>
      </c>
      <c r="D5" s="16" t="s">
        <v>442</v>
      </c>
      <c r="F5" s="16">
        <v>2026.0</v>
      </c>
      <c r="G5" s="16">
        <v>2027.0</v>
      </c>
      <c r="H5" s="16">
        <v>2028.0</v>
      </c>
      <c r="I5" s="16">
        <v>2029.0</v>
      </c>
      <c r="J5" s="16">
        <v>2030.0</v>
      </c>
      <c r="K5" s="16">
        <v>2031.0</v>
      </c>
      <c r="L5" s="16">
        <v>2032.0</v>
      </c>
    </row>
    <row r="6">
      <c r="A6" s="16" t="s">
        <v>443</v>
      </c>
      <c r="B6" s="165">
        <v>46569.0</v>
      </c>
      <c r="D6" s="16" t="s">
        <v>444</v>
      </c>
      <c r="F6" s="82">
        <v>0.5</v>
      </c>
      <c r="G6" s="82">
        <v>0.3</v>
      </c>
      <c r="H6" s="82">
        <v>0.2</v>
      </c>
      <c r="I6" s="82">
        <v>0.15</v>
      </c>
      <c r="J6" s="82">
        <v>0.12</v>
      </c>
      <c r="K6" s="82">
        <v>0.1</v>
      </c>
      <c r="L6" s="82">
        <v>0.08</v>
      </c>
    </row>
    <row r="7">
      <c r="A7" s="16" t="s">
        <v>445</v>
      </c>
      <c r="B7" s="81">
        <v>4000.0</v>
      </c>
      <c r="D7" s="16" t="s">
        <v>446</v>
      </c>
      <c r="F7" s="81">
        <v>22.0</v>
      </c>
      <c r="G7" s="81">
        <v>18.0</v>
      </c>
      <c r="H7" s="81">
        <v>14.0</v>
      </c>
      <c r="I7" s="81">
        <v>12.0</v>
      </c>
      <c r="J7" s="81">
        <v>10.0</v>
      </c>
      <c r="K7" s="81">
        <v>8.0</v>
      </c>
      <c r="L7" s="81">
        <v>6.0</v>
      </c>
    </row>
    <row r="8">
      <c r="A8" s="72" t="s">
        <v>447</v>
      </c>
      <c r="B8" s="82">
        <v>0.02</v>
      </c>
      <c r="D8" s="16" t="s">
        <v>448</v>
      </c>
      <c r="F8" s="82">
        <v>0.0</v>
      </c>
      <c r="G8" s="82">
        <v>0.0</v>
      </c>
      <c r="H8" s="82">
        <v>0.0</v>
      </c>
      <c r="I8" s="82">
        <v>0.0</v>
      </c>
      <c r="J8" s="82">
        <v>0.0</v>
      </c>
      <c r="K8" s="82">
        <v>0.0</v>
      </c>
      <c r="L8" s="82">
        <v>0.0</v>
      </c>
    </row>
    <row r="9">
      <c r="A9" s="16" t="s">
        <v>449</v>
      </c>
      <c r="B9" s="82">
        <v>0.7</v>
      </c>
      <c r="D9" s="16" t="s">
        <v>450</v>
      </c>
      <c r="F9" s="82">
        <v>0.0</v>
      </c>
      <c r="G9" s="82">
        <v>0.0</v>
      </c>
      <c r="H9" s="82">
        <v>0.0</v>
      </c>
      <c r="I9" s="82">
        <v>0.0</v>
      </c>
      <c r="J9" s="82">
        <v>0.0</v>
      </c>
      <c r="K9" s="82">
        <v>0.0</v>
      </c>
      <c r="L9" s="82">
        <v>0.0</v>
      </c>
    </row>
    <row r="10">
      <c r="A10" s="16" t="s">
        <v>451</v>
      </c>
      <c r="B10" s="81">
        <v>1350.0</v>
      </c>
      <c r="D10" s="16" t="s">
        <v>452</v>
      </c>
      <c r="F10" s="166">
        <f t="shared" ref="F10:I10" si="1">$B$8</f>
        <v>0.02</v>
      </c>
      <c r="G10" s="166">
        <f t="shared" si="1"/>
        <v>0.02</v>
      </c>
      <c r="H10" s="166">
        <f t="shared" si="1"/>
        <v>0.02</v>
      </c>
      <c r="I10" s="166">
        <f t="shared" si="1"/>
        <v>0.02</v>
      </c>
      <c r="J10" s="82">
        <v>0.02</v>
      </c>
      <c r="K10" s="82">
        <v>0.02</v>
      </c>
      <c r="L10" s="82">
        <v>0.02</v>
      </c>
    </row>
    <row r="11">
      <c r="A11" s="16" t="s">
        <v>453</v>
      </c>
      <c r="B11" s="81">
        <v>1850.0</v>
      </c>
      <c r="D11" s="16"/>
    </row>
    <row r="12">
      <c r="A12" s="16" t="s">
        <v>454</v>
      </c>
      <c r="B12" s="167">
        <f>B9*B10+(1-B9)*B11</f>
        <v>1500</v>
      </c>
      <c r="D12" s="16"/>
    </row>
    <row r="13">
      <c r="D13" s="16"/>
    </row>
    <row r="16">
      <c r="A16" s="80" t="s">
        <v>455</v>
      </c>
      <c r="B16" s="80"/>
      <c r="C16" s="80"/>
      <c r="D16" s="80"/>
      <c r="E16" s="80"/>
      <c r="F16" s="80"/>
      <c r="G16" s="80"/>
      <c r="H16" s="71"/>
      <c r="I16" s="71"/>
      <c r="J16" s="71"/>
      <c r="K16" s="71"/>
      <c r="L16" s="71"/>
      <c r="M16" s="71"/>
    </row>
    <row r="17">
      <c r="A17" s="64" t="s">
        <v>3</v>
      </c>
      <c r="B17" s="64" t="s">
        <v>456</v>
      </c>
      <c r="C17" s="64" t="s">
        <v>86</v>
      </c>
      <c r="D17" s="64" t="s">
        <v>457</v>
      </c>
      <c r="E17" s="64" t="s">
        <v>458</v>
      </c>
      <c r="F17" s="64" t="s">
        <v>459</v>
      </c>
      <c r="G17" s="64" t="s">
        <v>460</v>
      </c>
    </row>
    <row r="18">
      <c r="A18" s="16">
        <v>2026.0</v>
      </c>
      <c r="B18" s="56">
        <f t="shared" ref="B18:D18" si="2">SUM(F28:F39)</f>
        <v>106458000</v>
      </c>
      <c r="C18" s="56">
        <f t="shared" si="2"/>
        <v>32620108</v>
      </c>
      <c r="D18" s="56">
        <f t="shared" si="2"/>
        <v>7000000</v>
      </c>
      <c r="E18" s="56">
        <f t="shared" ref="E18:F18" si="3">SUM(K28:K39)</f>
        <v>0</v>
      </c>
      <c r="F18" s="56">
        <f t="shared" si="3"/>
        <v>146078108</v>
      </c>
      <c r="G18" s="56">
        <f>I39</f>
        <v>0</v>
      </c>
    </row>
    <row r="19">
      <c r="A19" s="16">
        <v>2027.0</v>
      </c>
      <c r="B19" s="56">
        <f t="shared" ref="B19:D19" si="4">SUM(F40:F51)</f>
        <v>147195000</v>
      </c>
      <c r="C19" s="56">
        <f t="shared" si="4"/>
        <v>41089853</v>
      </c>
      <c r="D19" s="56">
        <f t="shared" si="4"/>
        <v>7000000</v>
      </c>
      <c r="E19" s="56">
        <f t="shared" ref="E19:F19" si="5">SUM(K40:K51)</f>
        <v>37849500</v>
      </c>
      <c r="F19" s="56">
        <f t="shared" si="5"/>
        <v>233134353</v>
      </c>
      <c r="G19" s="56">
        <f>I51</f>
        <v>4416</v>
      </c>
    </row>
    <row r="20">
      <c r="A20" s="16">
        <v>2028.0</v>
      </c>
      <c r="B20" s="56">
        <f t="shared" ref="B20:D20" si="6">SUM(F52:F63)</f>
        <v>182964000</v>
      </c>
      <c r="C20" s="56">
        <f t="shared" si="6"/>
        <v>47677432</v>
      </c>
      <c r="D20" s="56">
        <f t="shared" si="6"/>
        <v>7000000</v>
      </c>
      <c r="E20" s="56">
        <f t="shared" ref="E20:F20" si="7">SUM(K52:K63)</f>
        <v>90624000</v>
      </c>
      <c r="F20" s="56">
        <f t="shared" si="7"/>
        <v>328265432</v>
      </c>
      <c r="G20" s="56">
        <f>I63</f>
        <v>5601</v>
      </c>
    </row>
    <row r="21">
      <c r="A21" s="16">
        <v>2029.0</v>
      </c>
      <c r="B21" s="56">
        <f t="shared" ref="B21:D21" si="8">SUM(F64:F75)</f>
        <v>214423500</v>
      </c>
      <c r="C21" s="56">
        <f t="shared" si="8"/>
        <v>53323930</v>
      </c>
      <c r="D21" s="56">
        <f t="shared" si="8"/>
        <v>7000000</v>
      </c>
      <c r="E21" s="56">
        <f t="shared" ref="E21:F21" si="9">SUM(K64:K75)</f>
        <v>114936000</v>
      </c>
      <c r="F21" s="56">
        <f t="shared" si="9"/>
        <v>389683430</v>
      </c>
      <c r="G21" s="56">
        <f>I75</f>
        <v>7103</v>
      </c>
    </row>
    <row r="22">
      <c r="A22" s="16">
        <v>2030.0</v>
      </c>
      <c r="B22" s="56">
        <f t="shared" ref="B22:D22" si="10">SUM(F76:F87)</f>
        <v>243012000</v>
      </c>
      <c r="C22" s="56">
        <f t="shared" si="10"/>
        <v>58029344</v>
      </c>
      <c r="D22" s="56">
        <f t="shared" si="10"/>
        <v>7000000</v>
      </c>
      <c r="E22" s="56">
        <f>SUM(K76:K87)</f>
        <v>145765500</v>
      </c>
      <c r="F22" s="56">
        <f t="shared" ref="F22:F24" si="12">SUM(B22:E22)</f>
        <v>453806844</v>
      </c>
      <c r="G22" s="56">
        <f>I87</f>
        <v>9009</v>
      </c>
    </row>
    <row r="23">
      <c r="A23" s="16">
        <v>2031.0</v>
      </c>
      <c r="B23" s="56">
        <f t="shared" ref="B23:D23" si="11">SUM(F88:F99)</f>
        <v>269491500</v>
      </c>
      <c r="C23" s="56">
        <f t="shared" si="11"/>
        <v>61793674</v>
      </c>
      <c r="D23" s="56">
        <f t="shared" si="11"/>
        <v>7000000</v>
      </c>
      <c r="E23" s="56">
        <f>SUM(K88:K99)</f>
        <v>184860000</v>
      </c>
      <c r="F23" s="56">
        <f t="shared" si="12"/>
        <v>523145174</v>
      </c>
      <c r="G23" s="56">
        <f>I99</f>
        <v>11425</v>
      </c>
    </row>
    <row r="24">
      <c r="A24" s="16">
        <v>2032.0</v>
      </c>
      <c r="B24" s="56">
        <f t="shared" ref="B24:D24" si="13">SUM(F100:F111)</f>
        <v>293464500</v>
      </c>
      <c r="C24" s="56">
        <f t="shared" si="13"/>
        <v>64616922</v>
      </c>
      <c r="D24" s="56">
        <f t="shared" si="13"/>
        <v>7000000</v>
      </c>
      <c r="E24" s="56">
        <f>SUM(K100:K111)</f>
        <v>234454500</v>
      </c>
      <c r="F24" s="56">
        <f t="shared" si="12"/>
        <v>599535922</v>
      </c>
      <c r="G24" s="56">
        <f>I111</f>
        <v>14490</v>
      </c>
    </row>
    <row r="26" hidden="1">
      <c r="A26" s="80" t="s">
        <v>461</v>
      </c>
    </row>
    <row r="27" ht="48.75" hidden="1" customHeight="1">
      <c r="A27" s="52" t="s">
        <v>2</v>
      </c>
      <c r="B27" s="52" t="s">
        <v>3</v>
      </c>
      <c r="C27" s="52" t="s">
        <v>4</v>
      </c>
      <c r="D27" s="52" t="s">
        <v>338</v>
      </c>
      <c r="E27" s="52" t="s">
        <v>462</v>
      </c>
      <c r="F27" s="52" t="s">
        <v>463</v>
      </c>
      <c r="G27" s="52" t="s">
        <v>7</v>
      </c>
      <c r="H27" s="52" t="s">
        <v>8</v>
      </c>
      <c r="I27" s="52" t="s">
        <v>464</v>
      </c>
      <c r="J27" s="52" t="s">
        <v>465</v>
      </c>
      <c r="K27" s="52" t="s">
        <v>466</v>
      </c>
      <c r="L27" s="52" t="s">
        <v>467</v>
      </c>
      <c r="M27" s="52" t="s">
        <v>468</v>
      </c>
    </row>
    <row r="28" hidden="1">
      <c r="A28" s="67">
        <f t="shared" ref="A28:C28" si="14">A262</f>
        <v>46023</v>
      </c>
      <c r="B28" s="103">
        <f t="shared" si="14"/>
        <v>2026</v>
      </c>
      <c r="C28" s="68">
        <f t="shared" si="14"/>
        <v>4754</v>
      </c>
      <c r="D28" s="68">
        <f t="shared" ref="D28:D111" si="17">F262</f>
        <v>59</v>
      </c>
      <c r="E28" s="68">
        <f t="shared" ref="E28:F28" si="15">D262</f>
        <v>1500</v>
      </c>
      <c r="F28" s="68">
        <f t="shared" si="15"/>
        <v>7131000</v>
      </c>
      <c r="G28" s="68">
        <f t="shared" ref="G28:G111" si="19">H262</f>
        <v>2831970</v>
      </c>
      <c r="H28" s="68">
        <f t="shared" ref="H28:H111" si="20">J262</f>
        <v>205882</v>
      </c>
      <c r="I28" s="68">
        <f t="shared" ref="I28:I111" si="21">P262</f>
        <v>0</v>
      </c>
      <c r="J28" s="68">
        <f t="shared" ref="J28:J111" si="22">$B$12</f>
        <v>1500</v>
      </c>
      <c r="K28" s="68">
        <f t="shared" ref="K28:K111" si="23">Q262</f>
        <v>0</v>
      </c>
      <c r="L28" s="68">
        <f t="shared" ref="L28:L111" si="24">K262</f>
        <v>10168852</v>
      </c>
      <c r="M28" s="68">
        <f t="shared" ref="M28:M111" si="25">N262</f>
        <v>0</v>
      </c>
    </row>
    <row r="29" hidden="1">
      <c r="A29" s="67">
        <f t="shared" ref="A29:C29" si="16">A263</f>
        <v>46054</v>
      </c>
      <c r="B29" s="103">
        <f t="shared" si="16"/>
        <v>2026</v>
      </c>
      <c r="C29" s="68">
        <f t="shared" si="16"/>
        <v>4882</v>
      </c>
      <c r="D29" s="68">
        <f t="shared" si="17"/>
        <v>61</v>
      </c>
      <c r="E29" s="68">
        <f t="shared" ref="E29:F29" si="18">D263</f>
        <v>1500</v>
      </c>
      <c r="F29" s="68">
        <f t="shared" si="18"/>
        <v>7323000</v>
      </c>
      <c r="G29" s="68">
        <f t="shared" si="19"/>
        <v>2906536</v>
      </c>
      <c r="H29" s="68">
        <f t="shared" si="20"/>
        <v>205882</v>
      </c>
      <c r="I29" s="68">
        <f t="shared" si="21"/>
        <v>0</v>
      </c>
      <c r="J29" s="68">
        <f t="shared" si="22"/>
        <v>1500</v>
      </c>
      <c r="K29" s="68">
        <f t="shared" si="23"/>
        <v>0</v>
      </c>
      <c r="L29" s="68">
        <f t="shared" si="24"/>
        <v>10435418</v>
      </c>
      <c r="M29" s="68">
        <f t="shared" si="25"/>
        <v>0</v>
      </c>
    </row>
    <row r="30" hidden="1">
      <c r="A30" s="67">
        <f t="shared" ref="A30:C30" si="26">A264</f>
        <v>46082</v>
      </c>
      <c r="B30" s="103">
        <f t="shared" si="26"/>
        <v>2026</v>
      </c>
      <c r="C30" s="68">
        <f t="shared" si="26"/>
        <v>5134</v>
      </c>
      <c r="D30" s="68">
        <f t="shared" si="17"/>
        <v>64</v>
      </c>
      <c r="E30" s="68">
        <f t="shared" ref="E30:F30" si="27">D264</f>
        <v>1500</v>
      </c>
      <c r="F30" s="68">
        <f t="shared" si="27"/>
        <v>7701000</v>
      </c>
      <c r="G30" s="68">
        <f t="shared" si="19"/>
        <v>2855035</v>
      </c>
      <c r="H30" s="68">
        <f t="shared" si="20"/>
        <v>1286765</v>
      </c>
      <c r="I30" s="68">
        <f t="shared" si="21"/>
        <v>0</v>
      </c>
      <c r="J30" s="68">
        <f t="shared" si="22"/>
        <v>1500</v>
      </c>
      <c r="K30" s="68">
        <f t="shared" si="23"/>
        <v>0</v>
      </c>
      <c r="L30" s="68">
        <f t="shared" si="24"/>
        <v>11842800</v>
      </c>
      <c r="M30" s="68">
        <f t="shared" si="25"/>
        <v>0</v>
      </c>
    </row>
    <row r="31" hidden="1">
      <c r="A31" s="67">
        <f t="shared" ref="A31:C31" si="28">A265</f>
        <v>46113</v>
      </c>
      <c r="B31" s="103">
        <f t="shared" si="28"/>
        <v>2026</v>
      </c>
      <c r="C31" s="68">
        <f t="shared" si="28"/>
        <v>5365</v>
      </c>
      <c r="D31" s="68">
        <f t="shared" si="17"/>
        <v>65</v>
      </c>
      <c r="E31" s="68">
        <f t="shared" ref="E31:F31" si="29">D265</f>
        <v>1500</v>
      </c>
      <c r="F31" s="68">
        <f t="shared" si="29"/>
        <v>8047500</v>
      </c>
      <c r="G31" s="68">
        <f t="shared" si="19"/>
        <v>2868887</v>
      </c>
      <c r="H31" s="68">
        <f t="shared" si="20"/>
        <v>205882</v>
      </c>
      <c r="I31" s="68">
        <f t="shared" si="21"/>
        <v>0</v>
      </c>
      <c r="J31" s="68">
        <f t="shared" si="22"/>
        <v>1500</v>
      </c>
      <c r="K31" s="68">
        <f t="shared" si="23"/>
        <v>0</v>
      </c>
      <c r="L31" s="68">
        <f t="shared" si="24"/>
        <v>11122269</v>
      </c>
      <c r="M31" s="68">
        <f t="shared" si="25"/>
        <v>0</v>
      </c>
    </row>
    <row r="32" hidden="1">
      <c r="A32" s="67">
        <f t="shared" ref="A32:C32" si="30">A266</f>
        <v>46143</v>
      </c>
      <c r="B32" s="103">
        <f t="shared" si="30"/>
        <v>2026</v>
      </c>
      <c r="C32" s="68">
        <f t="shared" si="30"/>
        <v>5643</v>
      </c>
      <c r="D32" s="68">
        <f t="shared" si="17"/>
        <v>68</v>
      </c>
      <c r="E32" s="68">
        <f t="shared" ref="E32:F32" si="31">D266</f>
        <v>1500</v>
      </c>
      <c r="F32" s="68">
        <f t="shared" si="31"/>
        <v>8464500</v>
      </c>
      <c r="G32" s="68">
        <f t="shared" si="19"/>
        <v>2797662</v>
      </c>
      <c r="H32" s="68">
        <f t="shared" si="20"/>
        <v>205882</v>
      </c>
      <c r="I32" s="68">
        <f t="shared" si="21"/>
        <v>0</v>
      </c>
      <c r="J32" s="68">
        <f t="shared" si="22"/>
        <v>1500</v>
      </c>
      <c r="K32" s="68">
        <f t="shared" si="23"/>
        <v>0</v>
      </c>
      <c r="L32" s="68">
        <f t="shared" si="24"/>
        <v>11468044</v>
      </c>
      <c r="M32" s="68">
        <f t="shared" si="25"/>
        <v>0</v>
      </c>
    </row>
    <row r="33" hidden="1">
      <c r="A33" s="67">
        <f t="shared" ref="A33:C33" si="32">A267</f>
        <v>46174</v>
      </c>
      <c r="B33" s="103">
        <f t="shared" si="32"/>
        <v>2026</v>
      </c>
      <c r="C33" s="68">
        <f t="shared" si="32"/>
        <v>5711</v>
      </c>
      <c r="D33" s="68">
        <f t="shared" si="17"/>
        <v>70</v>
      </c>
      <c r="E33" s="68">
        <f t="shared" ref="E33:F33" si="33">D267</f>
        <v>1500</v>
      </c>
      <c r="F33" s="68">
        <f t="shared" si="33"/>
        <v>8566500</v>
      </c>
      <c r="G33" s="68">
        <f t="shared" si="19"/>
        <v>2590912</v>
      </c>
      <c r="H33" s="68">
        <f t="shared" si="20"/>
        <v>1286765</v>
      </c>
      <c r="I33" s="68">
        <f t="shared" si="21"/>
        <v>0</v>
      </c>
      <c r="J33" s="68">
        <f t="shared" si="22"/>
        <v>1500</v>
      </c>
      <c r="K33" s="68">
        <f t="shared" si="23"/>
        <v>0</v>
      </c>
      <c r="L33" s="68">
        <f t="shared" si="24"/>
        <v>12444177</v>
      </c>
      <c r="M33" s="68">
        <f t="shared" si="25"/>
        <v>0</v>
      </c>
    </row>
    <row r="34" hidden="1">
      <c r="A34" s="67">
        <f t="shared" ref="A34:C34" si="34">A268</f>
        <v>46204</v>
      </c>
      <c r="B34" s="103">
        <f t="shared" si="34"/>
        <v>2026</v>
      </c>
      <c r="C34" s="68">
        <f t="shared" si="34"/>
        <v>6081</v>
      </c>
      <c r="D34" s="68">
        <f t="shared" si="17"/>
        <v>71</v>
      </c>
      <c r="E34" s="68">
        <f t="shared" ref="E34:F34" si="35">D268</f>
        <v>1500</v>
      </c>
      <c r="F34" s="68">
        <f t="shared" si="35"/>
        <v>9121500</v>
      </c>
      <c r="G34" s="68">
        <f t="shared" si="19"/>
        <v>2556039</v>
      </c>
      <c r="H34" s="68">
        <f t="shared" si="20"/>
        <v>205882</v>
      </c>
      <c r="I34" s="68">
        <f t="shared" si="21"/>
        <v>0</v>
      </c>
      <c r="J34" s="68">
        <f t="shared" si="22"/>
        <v>1500</v>
      </c>
      <c r="K34" s="68">
        <f t="shared" si="23"/>
        <v>0</v>
      </c>
      <c r="L34" s="68">
        <f t="shared" si="24"/>
        <v>11883421</v>
      </c>
      <c r="M34" s="68">
        <f t="shared" si="25"/>
        <v>0</v>
      </c>
    </row>
    <row r="35" hidden="1">
      <c r="A35" s="67">
        <f t="shared" ref="A35:C35" si="36">A269</f>
        <v>46235</v>
      </c>
      <c r="B35" s="103">
        <f t="shared" si="36"/>
        <v>2026</v>
      </c>
      <c r="C35" s="68">
        <f t="shared" si="36"/>
        <v>6301</v>
      </c>
      <c r="D35" s="68">
        <f t="shared" si="17"/>
        <v>74</v>
      </c>
      <c r="E35" s="68">
        <f t="shared" ref="E35:F35" si="37">D269</f>
        <v>1500</v>
      </c>
      <c r="F35" s="68">
        <f t="shared" si="37"/>
        <v>9451500</v>
      </c>
      <c r="G35" s="68">
        <f t="shared" si="19"/>
        <v>2527143</v>
      </c>
      <c r="H35" s="68">
        <f t="shared" si="20"/>
        <v>205882</v>
      </c>
      <c r="I35" s="68">
        <f t="shared" si="21"/>
        <v>0</v>
      </c>
      <c r="J35" s="68">
        <f t="shared" si="22"/>
        <v>1500</v>
      </c>
      <c r="K35" s="68">
        <f t="shared" si="23"/>
        <v>0</v>
      </c>
      <c r="L35" s="68">
        <f t="shared" si="24"/>
        <v>12184525</v>
      </c>
      <c r="M35" s="68">
        <f t="shared" si="25"/>
        <v>0</v>
      </c>
    </row>
    <row r="36" hidden="1">
      <c r="A36" s="67">
        <f t="shared" ref="A36:C36" si="38">A270</f>
        <v>46266</v>
      </c>
      <c r="B36" s="103">
        <f t="shared" si="38"/>
        <v>2026</v>
      </c>
      <c r="C36" s="68">
        <f t="shared" si="38"/>
        <v>6576</v>
      </c>
      <c r="D36" s="68">
        <f t="shared" si="17"/>
        <v>76</v>
      </c>
      <c r="E36" s="68">
        <f t="shared" ref="E36:F36" si="39">D270</f>
        <v>1500</v>
      </c>
      <c r="F36" s="68">
        <f t="shared" si="39"/>
        <v>9864000</v>
      </c>
      <c r="G36" s="68">
        <f t="shared" si="19"/>
        <v>2572308</v>
      </c>
      <c r="H36" s="68">
        <f t="shared" si="20"/>
        <v>1286765</v>
      </c>
      <c r="I36" s="68">
        <f t="shared" si="21"/>
        <v>0</v>
      </c>
      <c r="J36" s="68">
        <f t="shared" si="22"/>
        <v>1500</v>
      </c>
      <c r="K36" s="68">
        <f t="shared" si="23"/>
        <v>0</v>
      </c>
      <c r="L36" s="68">
        <f t="shared" si="24"/>
        <v>13723073</v>
      </c>
      <c r="M36" s="68">
        <f t="shared" si="25"/>
        <v>0</v>
      </c>
    </row>
    <row r="37" hidden="1">
      <c r="A37" s="67">
        <f t="shared" ref="A37:C37" si="40">A271</f>
        <v>46296</v>
      </c>
      <c r="B37" s="103">
        <f t="shared" si="40"/>
        <v>2026</v>
      </c>
      <c r="C37" s="68">
        <f t="shared" si="40"/>
        <v>6612</v>
      </c>
      <c r="D37" s="68">
        <f t="shared" si="17"/>
        <v>76</v>
      </c>
      <c r="E37" s="68">
        <f t="shared" ref="E37:F37" si="41">D271</f>
        <v>1500</v>
      </c>
      <c r="F37" s="68">
        <f t="shared" si="41"/>
        <v>9918000</v>
      </c>
      <c r="G37" s="68">
        <f t="shared" si="19"/>
        <v>2595441</v>
      </c>
      <c r="H37" s="68">
        <f t="shared" si="20"/>
        <v>205882</v>
      </c>
      <c r="I37" s="68">
        <f t="shared" si="21"/>
        <v>0</v>
      </c>
      <c r="J37" s="68">
        <f t="shared" si="22"/>
        <v>1500</v>
      </c>
      <c r="K37" s="68">
        <f t="shared" si="23"/>
        <v>0</v>
      </c>
      <c r="L37" s="68">
        <f t="shared" si="24"/>
        <v>12719323</v>
      </c>
      <c r="M37" s="68">
        <f t="shared" si="25"/>
        <v>0</v>
      </c>
    </row>
    <row r="38" hidden="1">
      <c r="A38" s="67">
        <f t="shared" ref="A38:C38" si="42">A272</f>
        <v>46327</v>
      </c>
      <c r="B38" s="103">
        <f t="shared" si="42"/>
        <v>2026</v>
      </c>
      <c r="C38" s="68">
        <f t="shared" si="42"/>
        <v>6839</v>
      </c>
      <c r="D38" s="68">
        <f t="shared" si="17"/>
        <v>78</v>
      </c>
      <c r="E38" s="68">
        <f t="shared" ref="E38:F38" si="43">D272</f>
        <v>1500</v>
      </c>
      <c r="F38" s="68">
        <f t="shared" si="43"/>
        <v>10258500</v>
      </c>
      <c r="G38" s="68">
        <f t="shared" si="19"/>
        <v>2704805</v>
      </c>
      <c r="H38" s="68">
        <f t="shared" si="20"/>
        <v>205882</v>
      </c>
      <c r="I38" s="68">
        <f t="shared" si="21"/>
        <v>0</v>
      </c>
      <c r="J38" s="68">
        <f t="shared" si="22"/>
        <v>1500</v>
      </c>
      <c r="K38" s="68">
        <f t="shared" si="23"/>
        <v>0</v>
      </c>
      <c r="L38" s="68">
        <f t="shared" si="24"/>
        <v>13169187</v>
      </c>
      <c r="M38" s="68">
        <f t="shared" si="25"/>
        <v>0</v>
      </c>
    </row>
    <row r="39" hidden="1">
      <c r="A39" s="67">
        <f t="shared" ref="A39:C39" si="44">A273</f>
        <v>46357</v>
      </c>
      <c r="B39" s="103">
        <f t="shared" si="44"/>
        <v>2026</v>
      </c>
      <c r="C39" s="68">
        <f t="shared" si="44"/>
        <v>7074</v>
      </c>
      <c r="D39" s="68">
        <f t="shared" si="17"/>
        <v>80</v>
      </c>
      <c r="E39" s="68">
        <f t="shared" ref="E39:F39" si="45">D273</f>
        <v>1500</v>
      </c>
      <c r="F39" s="68">
        <f t="shared" si="45"/>
        <v>10611000</v>
      </c>
      <c r="G39" s="68">
        <f t="shared" si="19"/>
        <v>2813370</v>
      </c>
      <c r="H39" s="68">
        <f t="shared" si="20"/>
        <v>1492649</v>
      </c>
      <c r="I39" s="68">
        <f t="shared" si="21"/>
        <v>0</v>
      </c>
      <c r="J39" s="68">
        <f t="shared" si="22"/>
        <v>1500</v>
      </c>
      <c r="K39" s="68">
        <f t="shared" si="23"/>
        <v>0</v>
      </c>
      <c r="L39" s="68">
        <f t="shared" si="24"/>
        <v>14917019</v>
      </c>
      <c r="M39" s="68">
        <f t="shared" si="25"/>
        <v>0</v>
      </c>
    </row>
    <row r="40" hidden="1">
      <c r="A40" s="67">
        <f t="shared" ref="A40:C40" si="46">A274</f>
        <v>46388</v>
      </c>
      <c r="B40" s="103">
        <f t="shared" si="46"/>
        <v>2027</v>
      </c>
      <c r="C40" s="68">
        <f t="shared" si="46"/>
        <v>7230</v>
      </c>
      <c r="D40" s="68">
        <f t="shared" si="17"/>
        <v>77</v>
      </c>
      <c r="E40" s="68">
        <f t="shared" ref="E40:F40" si="47">D274</f>
        <v>1500</v>
      </c>
      <c r="F40" s="68">
        <f t="shared" si="47"/>
        <v>10845000</v>
      </c>
      <c r="G40" s="68">
        <f t="shared" si="19"/>
        <v>3695961</v>
      </c>
      <c r="H40" s="68">
        <f t="shared" si="20"/>
        <v>205882</v>
      </c>
      <c r="I40" s="68">
        <f t="shared" si="21"/>
        <v>0</v>
      </c>
      <c r="J40" s="68">
        <f t="shared" si="22"/>
        <v>1500</v>
      </c>
      <c r="K40" s="68">
        <f t="shared" si="23"/>
        <v>0</v>
      </c>
      <c r="L40" s="68">
        <f t="shared" si="24"/>
        <v>14746843</v>
      </c>
      <c r="M40" s="68">
        <f t="shared" si="25"/>
        <v>0</v>
      </c>
    </row>
    <row r="41" hidden="1">
      <c r="A41" s="67">
        <f t="shared" ref="A41:C41" si="48">A275</f>
        <v>46419</v>
      </c>
      <c r="B41" s="103">
        <f t="shared" si="48"/>
        <v>2027</v>
      </c>
      <c r="C41" s="68">
        <f t="shared" si="48"/>
        <v>7390</v>
      </c>
      <c r="D41" s="68">
        <f t="shared" si="17"/>
        <v>79</v>
      </c>
      <c r="E41" s="68">
        <f t="shared" ref="E41:F41" si="49">D275</f>
        <v>1500</v>
      </c>
      <c r="F41" s="68">
        <f t="shared" si="49"/>
        <v>11085000</v>
      </c>
      <c r="G41" s="68">
        <f t="shared" si="19"/>
        <v>3764202</v>
      </c>
      <c r="H41" s="68">
        <f t="shared" si="20"/>
        <v>205882</v>
      </c>
      <c r="I41" s="68">
        <f t="shared" si="21"/>
        <v>0</v>
      </c>
      <c r="J41" s="68">
        <f t="shared" si="22"/>
        <v>1500</v>
      </c>
      <c r="K41" s="68">
        <f t="shared" si="23"/>
        <v>0</v>
      </c>
      <c r="L41" s="68">
        <f t="shared" si="24"/>
        <v>15055084</v>
      </c>
      <c r="M41" s="68">
        <f t="shared" si="25"/>
        <v>0</v>
      </c>
    </row>
    <row r="42" hidden="1">
      <c r="A42" s="67">
        <f t="shared" ref="A42:C42" si="50">A276</f>
        <v>46447</v>
      </c>
      <c r="B42" s="103">
        <f t="shared" si="50"/>
        <v>2027</v>
      </c>
      <c r="C42" s="68">
        <f t="shared" si="50"/>
        <v>7554</v>
      </c>
      <c r="D42" s="68">
        <f t="shared" si="17"/>
        <v>82</v>
      </c>
      <c r="E42" s="68">
        <f t="shared" ref="E42:F42" si="51">D276</f>
        <v>1500</v>
      </c>
      <c r="F42" s="68">
        <f t="shared" si="51"/>
        <v>11331000</v>
      </c>
      <c r="G42" s="68">
        <f t="shared" si="19"/>
        <v>3658014</v>
      </c>
      <c r="H42" s="68">
        <f t="shared" si="20"/>
        <v>1286765</v>
      </c>
      <c r="I42" s="68">
        <f t="shared" si="21"/>
        <v>0</v>
      </c>
      <c r="J42" s="68">
        <f t="shared" si="22"/>
        <v>1500</v>
      </c>
      <c r="K42" s="68">
        <f t="shared" si="23"/>
        <v>0</v>
      </c>
      <c r="L42" s="68">
        <f t="shared" si="24"/>
        <v>16275779</v>
      </c>
      <c r="M42" s="68">
        <f t="shared" si="25"/>
        <v>0</v>
      </c>
    </row>
    <row r="43" hidden="1">
      <c r="A43" s="67">
        <f t="shared" ref="A43:C43" si="52">A277</f>
        <v>46478</v>
      </c>
      <c r="B43" s="103">
        <f t="shared" si="52"/>
        <v>2027</v>
      </c>
      <c r="C43" s="68">
        <f t="shared" si="52"/>
        <v>7721</v>
      </c>
      <c r="D43" s="68">
        <f t="shared" si="17"/>
        <v>83</v>
      </c>
      <c r="E43" s="68">
        <f t="shared" ref="E43:F43" si="53">D277</f>
        <v>1500</v>
      </c>
      <c r="F43" s="68">
        <f t="shared" si="53"/>
        <v>11581500</v>
      </c>
      <c r="G43" s="68">
        <f t="shared" si="19"/>
        <v>3663348</v>
      </c>
      <c r="H43" s="68">
        <f t="shared" si="20"/>
        <v>205882</v>
      </c>
      <c r="I43" s="68">
        <f t="shared" si="21"/>
        <v>0</v>
      </c>
      <c r="J43" s="68">
        <f t="shared" si="22"/>
        <v>1500</v>
      </c>
      <c r="K43" s="68">
        <f t="shared" si="23"/>
        <v>0</v>
      </c>
      <c r="L43" s="68">
        <f t="shared" si="24"/>
        <v>15450730</v>
      </c>
      <c r="M43" s="68">
        <f t="shared" si="25"/>
        <v>0</v>
      </c>
    </row>
    <row r="44" hidden="1">
      <c r="A44" s="67">
        <f t="shared" ref="A44:C44" si="54">A278</f>
        <v>46508</v>
      </c>
      <c r="B44" s="103">
        <f t="shared" si="54"/>
        <v>2027</v>
      </c>
      <c r="C44" s="68">
        <f t="shared" si="54"/>
        <v>7891</v>
      </c>
      <c r="D44" s="68">
        <f t="shared" si="17"/>
        <v>86</v>
      </c>
      <c r="E44" s="68">
        <f t="shared" ref="E44:F44" si="55">D278</f>
        <v>1500</v>
      </c>
      <c r="F44" s="68">
        <f t="shared" si="55"/>
        <v>11836500</v>
      </c>
      <c r="G44" s="68">
        <f t="shared" si="19"/>
        <v>3538220</v>
      </c>
      <c r="H44" s="68">
        <f t="shared" si="20"/>
        <v>205882</v>
      </c>
      <c r="I44" s="68">
        <f t="shared" si="21"/>
        <v>0</v>
      </c>
      <c r="J44" s="68">
        <f t="shared" si="22"/>
        <v>1500</v>
      </c>
      <c r="K44" s="68">
        <f t="shared" si="23"/>
        <v>0</v>
      </c>
      <c r="L44" s="68">
        <f t="shared" si="24"/>
        <v>15580602</v>
      </c>
      <c r="M44" s="68">
        <f t="shared" si="25"/>
        <v>0</v>
      </c>
    </row>
    <row r="45" hidden="1">
      <c r="A45" s="67">
        <f t="shared" ref="A45:C45" si="56">A279</f>
        <v>46539</v>
      </c>
      <c r="B45" s="103">
        <f t="shared" si="56"/>
        <v>2027</v>
      </c>
      <c r="C45" s="68">
        <f t="shared" si="56"/>
        <v>8066</v>
      </c>
      <c r="D45" s="68">
        <f t="shared" si="17"/>
        <v>88</v>
      </c>
      <c r="E45" s="68">
        <f t="shared" ref="E45:F45" si="57">D279</f>
        <v>1500</v>
      </c>
      <c r="F45" s="68">
        <f t="shared" si="57"/>
        <v>12099000</v>
      </c>
      <c r="G45" s="68">
        <f t="shared" si="19"/>
        <v>3257147</v>
      </c>
      <c r="H45" s="68">
        <f t="shared" si="20"/>
        <v>1286765</v>
      </c>
      <c r="I45" s="68">
        <f t="shared" si="21"/>
        <v>0</v>
      </c>
      <c r="J45" s="68">
        <f t="shared" si="22"/>
        <v>1500</v>
      </c>
      <c r="K45" s="68">
        <f t="shared" si="23"/>
        <v>0</v>
      </c>
      <c r="L45" s="68">
        <f t="shared" si="24"/>
        <v>16642912</v>
      </c>
      <c r="M45" s="68">
        <f t="shared" si="25"/>
        <v>0</v>
      </c>
    </row>
    <row r="46" hidden="1">
      <c r="A46" s="67">
        <f t="shared" ref="A46:C46" si="58">A280</f>
        <v>46569</v>
      </c>
      <c r="B46" s="103">
        <f t="shared" si="58"/>
        <v>2027</v>
      </c>
      <c r="C46" s="68">
        <f t="shared" si="58"/>
        <v>8244</v>
      </c>
      <c r="D46" s="68">
        <f t="shared" si="17"/>
        <v>89</v>
      </c>
      <c r="E46" s="68">
        <f t="shared" ref="E46:F46" si="59">D280</f>
        <v>1500</v>
      </c>
      <c r="F46" s="68">
        <f t="shared" si="59"/>
        <v>12366000</v>
      </c>
      <c r="G46" s="68">
        <f t="shared" si="19"/>
        <v>3204049</v>
      </c>
      <c r="H46" s="68">
        <f t="shared" si="20"/>
        <v>205882</v>
      </c>
      <c r="I46" s="68">
        <f t="shared" si="21"/>
        <v>4000</v>
      </c>
      <c r="J46" s="68">
        <f t="shared" si="22"/>
        <v>1500</v>
      </c>
      <c r="K46" s="68">
        <f t="shared" si="23"/>
        <v>6000000</v>
      </c>
      <c r="L46" s="68">
        <f t="shared" si="24"/>
        <v>21775931</v>
      </c>
      <c r="M46" s="68">
        <f t="shared" si="25"/>
        <v>0</v>
      </c>
    </row>
    <row r="47" hidden="1">
      <c r="A47" s="67">
        <f t="shared" ref="A47:C47" si="60">A281</f>
        <v>46600</v>
      </c>
      <c r="B47" s="103">
        <f t="shared" si="60"/>
        <v>2027</v>
      </c>
      <c r="C47" s="68">
        <f t="shared" si="60"/>
        <v>8426</v>
      </c>
      <c r="D47" s="68">
        <f t="shared" si="17"/>
        <v>92</v>
      </c>
      <c r="E47" s="68">
        <f t="shared" ref="E47:F47" si="61">D281</f>
        <v>1500</v>
      </c>
      <c r="F47" s="68">
        <f t="shared" si="61"/>
        <v>12639000</v>
      </c>
      <c r="G47" s="68">
        <f t="shared" si="19"/>
        <v>3141853</v>
      </c>
      <c r="H47" s="68">
        <f t="shared" si="20"/>
        <v>205882</v>
      </c>
      <c r="I47" s="68">
        <f t="shared" si="21"/>
        <v>4080</v>
      </c>
      <c r="J47" s="68">
        <f t="shared" si="22"/>
        <v>1500</v>
      </c>
      <c r="K47" s="68">
        <f t="shared" si="23"/>
        <v>6120000</v>
      </c>
      <c r="L47" s="68">
        <f t="shared" si="24"/>
        <v>22106735</v>
      </c>
      <c r="M47" s="68">
        <f t="shared" si="25"/>
        <v>0</v>
      </c>
    </row>
    <row r="48" hidden="1">
      <c r="A48" s="67">
        <f t="shared" ref="A48:C48" si="62">A282</f>
        <v>46631</v>
      </c>
      <c r="B48" s="103">
        <f t="shared" si="62"/>
        <v>2027</v>
      </c>
      <c r="C48" s="68">
        <f t="shared" si="62"/>
        <v>8612</v>
      </c>
      <c r="D48" s="68">
        <f t="shared" si="17"/>
        <v>94</v>
      </c>
      <c r="E48" s="68">
        <f t="shared" ref="E48:F48" si="63">D282</f>
        <v>1500</v>
      </c>
      <c r="F48" s="68">
        <f t="shared" si="63"/>
        <v>12918000</v>
      </c>
      <c r="G48" s="68">
        <f t="shared" si="19"/>
        <v>3181539</v>
      </c>
      <c r="H48" s="68">
        <f t="shared" si="20"/>
        <v>1286765</v>
      </c>
      <c r="I48" s="68">
        <f t="shared" si="21"/>
        <v>4162</v>
      </c>
      <c r="J48" s="68">
        <f t="shared" si="22"/>
        <v>1500</v>
      </c>
      <c r="K48" s="68">
        <f t="shared" si="23"/>
        <v>6243000</v>
      </c>
      <c r="L48" s="68">
        <f t="shared" si="24"/>
        <v>23629304</v>
      </c>
      <c r="M48" s="68">
        <f t="shared" si="25"/>
        <v>0</v>
      </c>
    </row>
    <row r="49" hidden="1">
      <c r="A49" s="67">
        <f t="shared" ref="A49:C49" si="64">A283</f>
        <v>46661</v>
      </c>
      <c r="B49" s="103">
        <f t="shared" si="64"/>
        <v>2027</v>
      </c>
      <c r="C49" s="68">
        <f t="shared" si="64"/>
        <v>8803</v>
      </c>
      <c r="D49" s="68">
        <f t="shared" si="17"/>
        <v>94</v>
      </c>
      <c r="E49" s="68">
        <f t="shared" ref="E49:F49" si="65">D283</f>
        <v>1500</v>
      </c>
      <c r="F49" s="68">
        <f t="shared" si="65"/>
        <v>13204500</v>
      </c>
      <c r="G49" s="68">
        <f t="shared" si="19"/>
        <v>3210151</v>
      </c>
      <c r="H49" s="68">
        <f t="shared" si="20"/>
        <v>205882</v>
      </c>
      <c r="I49" s="68">
        <f t="shared" si="21"/>
        <v>4245</v>
      </c>
      <c r="J49" s="68">
        <f t="shared" si="22"/>
        <v>1500</v>
      </c>
      <c r="K49" s="68">
        <f t="shared" si="23"/>
        <v>6367500</v>
      </c>
      <c r="L49" s="68">
        <f t="shared" si="24"/>
        <v>22988033</v>
      </c>
      <c r="M49" s="68">
        <f t="shared" si="25"/>
        <v>0</v>
      </c>
    </row>
    <row r="50" hidden="1">
      <c r="A50" s="67">
        <f t="shared" ref="A50:C50" si="66">A284</f>
        <v>46692</v>
      </c>
      <c r="B50" s="103">
        <f t="shared" si="66"/>
        <v>2027</v>
      </c>
      <c r="C50" s="68">
        <f t="shared" si="66"/>
        <v>8997</v>
      </c>
      <c r="D50" s="68">
        <f t="shared" si="17"/>
        <v>96</v>
      </c>
      <c r="E50" s="68">
        <f t="shared" ref="E50:F50" si="67">D284</f>
        <v>1500</v>
      </c>
      <c r="F50" s="68">
        <f t="shared" si="67"/>
        <v>13495500</v>
      </c>
      <c r="G50" s="68">
        <f t="shared" si="19"/>
        <v>3328991</v>
      </c>
      <c r="H50" s="68">
        <f t="shared" si="20"/>
        <v>205882</v>
      </c>
      <c r="I50" s="68">
        <f t="shared" si="21"/>
        <v>4330</v>
      </c>
      <c r="J50" s="68">
        <f t="shared" si="22"/>
        <v>1500</v>
      </c>
      <c r="K50" s="68">
        <f t="shared" si="23"/>
        <v>6495000</v>
      </c>
      <c r="L50" s="68">
        <f t="shared" si="24"/>
        <v>23525373</v>
      </c>
      <c r="M50" s="68">
        <f t="shared" si="25"/>
        <v>0</v>
      </c>
    </row>
    <row r="51" hidden="1">
      <c r="A51" s="67">
        <f t="shared" ref="A51:C51" si="68">A285</f>
        <v>46722</v>
      </c>
      <c r="B51" s="103">
        <f t="shared" si="68"/>
        <v>2027</v>
      </c>
      <c r="C51" s="68">
        <f t="shared" si="68"/>
        <v>9196</v>
      </c>
      <c r="D51" s="68">
        <f t="shared" si="17"/>
        <v>98</v>
      </c>
      <c r="E51" s="68">
        <f t="shared" ref="E51:F51" si="69">D285</f>
        <v>1500</v>
      </c>
      <c r="F51" s="68">
        <f t="shared" si="69"/>
        <v>13794000</v>
      </c>
      <c r="G51" s="68">
        <f t="shared" si="19"/>
        <v>3446378</v>
      </c>
      <c r="H51" s="68">
        <f t="shared" si="20"/>
        <v>1492649</v>
      </c>
      <c r="I51" s="68">
        <f t="shared" si="21"/>
        <v>4416</v>
      </c>
      <c r="J51" s="68">
        <f t="shared" si="22"/>
        <v>1500</v>
      </c>
      <c r="K51" s="68">
        <f t="shared" si="23"/>
        <v>6624000</v>
      </c>
      <c r="L51" s="68">
        <f t="shared" si="24"/>
        <v>25357027</v>
      </c>
      <c r="M51" s="68">
        <f t="shared" si="25"/>
        <v>0</v>
      </c>
    </row>
    <row r="52" hidden="1">
      <c r="A52" s="67">
        <f t="shared" ref="A52:C52" si="70">A286</f>
        <v>46753</v>
      </c>
      <c r="B52" s="103">
        <f t="shared" si="70"/>
        <v>2028</v>
      </c>
      <c r="C52" s="68">
        <f t="shared" si="70"/>
        <v>9337</v>
      </c>
      <c r="D52" s="68">
        <f t="shared" si="17"/>
        <v>91</v>
      </c>
      <c r="E52" s="68">
        <f t="shared" ref="E52:F52" si="71">D286</f>
        <v>1500</v>
      </c>
      <c r="F52" s="68">
        <f t="shared" si="71"/>
        <v>14005500</v>
      </c>
      <c r="G52" s="68">
        <f t="shared" si="19"/>
        <v>4367954</v>
      </c>
      <c r="H52" s="68">
        <f t="shared" si="20"/>
        <v>205882</v>
      </c>
      <c r="I52" s="68">
        <f t="shared" si="21"/>
        <v>4505</v>
      </c>
      <c r="J52" s="68">
        <f t="shared" si="22"/>
        <v>1500</v>
      </c>
      <c r="K52" s="68">
        <f t="shared" si="23"/>
        <v>6757500</v>
      </c>
      <c r="L52" s="68">
        <f t="shared" si="24"/>
        <v>25336836</v>
      </c>
      <c r="M52" s="68">
        <f t="shared" si="25"/>
        <v>0</v>
      </c>
    </row>
    <row r="53" hidden="1">
      <c r="A53" s="67">
        <f t="shared" ref="A53:C53" si="72">A287</f>
        <v>46784</v>
      </c>
      <c r="B53" s="103">
        <f t="shared" si="72"/>
        <v>2028</v>
      </c>
      <c r="C53" s="68">
        <f t="shared" si="72"/>
        <v>9480</v>
      </c>
      <c r="D53" s="68">
        <f t="shared" si="17"/>
        <v>93</v>
      </c>
      <c r="E53" s="68">
        <f t="shared" ref="E53:F53" si="73">D287</f>
        <v>1500</v>
      </c>
      <c r="F53" s="68">
        <f t="shared" si="73"/>
        <v>14220000</v>
      </c>
      <c r="G53" s="68">
        <f t="shared" si="19"/>
        <v>4431276</v>
      </c>
      <c r="H53" s="68">
        <f t="shared" si="20"/>
        <v>205882</v>
      </c>
      <c r="I53" s="68">
        <f t="shared" si="21"/>
        <v>4595</v>
      </c>
      <c r="J53" s="68">
        <f t="shared" si="22"/>
        <v>1500</v>
      </c>
      <c r="K53" s="68">
        <f t="shared" si="23"/>
        <v>6892500</v>
      </c>
      <c r="L53" s="68">
        <f t="shared" si="24"/>
        <v>25749658</v>
      </c>
      <c r="M53" s="68">
        <f t="shared" si="25"/>
        <v>0</v>
      </c>
    </row>
    <row r="54" hidden="1">
      <c r="A54" s="67">
        <f t="shared" ref="A54:C54" si="74">A288</f>
        <v>46813</v>
      </c>
      <c r="B54" s="103">
        <f t="shared" si="74"/>
        <v>2028</v>
      </c>
      <c r="C54" s="68">
        <f t="shared" si="74"/>
        <v>9625</v>
      </c>
      <c r="D54" s="68">
        <f t="shared" si="17"/>
        <v>96</v>
      </c>
      <c r="E54" s="68">
        <f t="shared" ref="E54:F54" si="75">D288</f>
        <v>1500</v>
      </c>
      <c r="F54" s="68">
        <f t="shared" si="75"/>
        <v>14437500</v>
      </c>
      <c r="G54" s="68">
        <f t="shared" si="19"/>
        <v>4282553</v>
      </c>
      <c r="H54" s="68">
        <f t="shared" si="20"/>
        <v>1286765</v>
      </c>
      <c r="I54" s="68">
        <f t="shared" si="21"/>
        <v>4687</v>
      </c>
      <c r="J54" s="68">
        <f t="shared" si="22"/>
        <v>1500</v>
      </c>
      <c r="K54" s="68">
        <f t="shared" si="23"/>
        <v>7030500</v>
      </c>
      <c r="L54" s="68">
        <f t="shared" si="24"/>
        <v>27037318</v>
      </c>
      <c r="M54" s="68">
        <f t="shared" si="25"/>
        <v>0</v>
      </c>
    </row>
    <row r="55" hidden="1">
      <c r="A55" s="67">
        <f t="shared" ref="A55:C55" si="76">A289</f>
        <v>46844</v>
      </c>
      <c r="B55" s="103">
        <f t="shared" si="76"/>
        <v>2028</v>
      </c>
      <c r="C55" s="68">
        <f t="shared" si="76"/>
        <v>9772</v>
      </c>
      <c r="D55" s="68">
        <f t="shared" si="17"/>
        <v>97</v>
      </c>
      <c r="E55" s="68">
        <f t="shared" ref="E55:F55" si="77">D289</f>
        <v>1500</v>
      </c>
      <c r="F55" s="68">
        <f t="shared" si="77"/>
        <v>14658000</v>
      </c>
      <c r="G55" s="68">
        <f t="shared" si="19"/>
        <v>4281262</v>
      </c>
      <c r="H55" s="68">
        <f t="shared" si="20"/>
        <v>205882</v>
      </c>
      <c r="I55" s="68">
        <f t="shared" si="21"/>
        <v>4780</v>
      </c>
      <c r="J55" s="68">
        <f t="shared" si="22"/>
        <v>1500</v>
      </c>
      <c r="K55" s="68">
        <f t="shared" si="23"/>
        <v>7170000</v>
      </c>
      <c r="L55" s="68">
        <f t="shared" si="24"/>
        <v>26315144</v>
      </c>
      <c r="M55" s="68">
        <f t="shared" si="25"/>
        <v>0</v>
      </c>
    </row>
    <row r="56" hidden="1">
      <c r="A56" s="67">
        <f t="shared" ref="A56:C56" si="78">A290</f>
        <v>46874</v>
      </c>
      <c r="B56" s="103">
        <f t="shared" si="78"/>
        <v>2028</v>
      </c>
      <c r="C56" s="68">
        <f t="shared" si="78"/>
        <v>9922</v>
      </c>
      <c r="D56" s="68">
        <f t="shared" si="17"/>
        <v>100</v>
      </c>
      <c r="E56" s="68">
        <f t="shared" ref="E56:F56" si="79">D290</f>
        <v>1500</v>
      </c>
      <c r="F56" s="68">
        <f t="shared" si="79"/>
        <v>14883000</v>
      </c>
      <c r="G56" s="68">
        <f t="shared" si="19"/>
        <v>4114209</v>
      </c>
      <c r="H56" s="68">
        <f t="shared" si="20"/>
        <v>205882</v>
      </c>
      <c r="I56" s="68">
        <f t="shared" si="21"/>
        <v>4876</v>
      </c>
      <c r="J56" s="68">
        <f t="shared" si="22"/>
        <v>1500</v>
      </c>
      <c r="K56" s="68">
        <f t="shared" si="23"/>
        <v>7314000</v>
      </c>
      <c r="L56" s="68">
        <f t="shared" si="24"/>
        <v>26517091</v>
      </c>
      <c r="M56" s="68">
        <f t="shared" si="25"/>
        <v>0</v>
      </c>
    </row>
    <row r="57" hidden="1">
      <c r="A57" s="67">
        <f t="shared" ref="A57:C57" si="80">A291</f>
        <v>46905</v>
      </c>
      <c r="B57" s="103">
        <f t="shared" si="80"/>
        <v>2028</v>
      </c>
      <c r="C57" s="68">
        <f t="shared" si="80"/>
        <v>10074</v>
      </c>
      <c r="D57" s="68">
        <f t="shared" si="17"/>
        <v>102</v>
      </c>
      <c r="E57" s="68">
        <f t="shared" ref="E57:F57" si="81">D291</f>
        <v>1500</v>
      </c>
      <c r="F57" s="68">
        <f t="shared" si="81"/>
        <v>15111000</v>
      </c>
      <c r="G57" s="68">
        <f t="shared" si="19"/>
        <v>3775329</v>
      </c>
      <c r="H57" s="68">
        <f t="shared" si="20"/>
        <v>1286765</v>
      </c>
      <c r="I57" s="68">
        <f t="shared" si="21"/>
        <v>4973</v>
      </c>
      <c r="J57" s="68">
        <f t="shared" si="22"/>
        <v>1500</v>
      </c>
      <c r="K57" s="68">
        <f t="shared" si="23"/>
        <v>7459500</v>
      </c>
      <c r="L57" s="68">
        <f t="shared" si="24"/>
        <v>27632594</v>
      </c>
      <c r="M57" s="68">
        <f t="shared" si="25"/>
        <v>0</v>
      </c>
    </row>
    <row r="58" hidden="1">
      <c r="A58" s="67">
        <f t="shared" ref="A58:C58" si="82">A292</f>
        <v>46935</v>
      </c>
      <c r="B58" s="103">
        <f t="shared" si="82"/>
        <v>2028</v>
      </c>
      <c r="C58" s="68">
        <f t="shared" si="82"/>
        <v>10228</v>
      </c>
      <c r="D58" s="68">
        <f t="shared" si="17"/>
        <v>103</v>
      </c>
      <c r="E58" s="68">
        <f t="shared" ref="E58:F58" si="83">D292</f>
        <v>1500</v>
      </c>
      <c r="F58" s="68">
        <f t="shared" si="83"/>
        <v>15342000</v>
      </c>
      <c r="G58" s="68">
        <f t="shared" si="19"/>
        <v>3708057</v>
      </c>
      <c r="H58" s="68">
        <f t="shared" si="20"/>
        <v>205882</v>
      </c>
      <c r="I58" s="68">
        <f t="shared" si="21"/>
        <v>5073</v>
      </c>
      <c r="J58" s="68">
        <f t="shared" si="22"/>
        <v>1500</v>
      </c>
      <c r="K58" s="68">
        <f t="shared" si="23"/>
        <v>7609500</v>
      </c>
      <c r="L58" s="68">
        <f t="shared" si="24"/>
        <v>26865439</v>
      </c>
      <c r="M58" s="68">
        <f t="shared" si="25"/>
        <v>0</v>
      </c>
    </row>
    <row r="59" hidden="1">
      <c r="A59" s="67">
        <f t="shared" ref="A59:C59" si="84">A293</f>
        <v>46966</v>
      </c>
      <c r="B59" s="103">
        <f t="shared" si="84"/>
        <v>2028</v>
      </c>
      <c r="C59" s="68">
        <f t="shared" si="84"/>
        <v>10385</v>
      </c>
      <c r="D59" s="68">
        <f t="shared" si="17"/>
        <v>106</v>
      </c>
      <c r="E59" s="68">
        <f t="shared" ref="E59:F59" si="85">D293</f>
        <v>1500</v>
      </c>
      <c r="F59" s="68">
        <f t="shared" si="85"/>
        <v>15577500</v>
      </c>
      <c r="G59" s="68">
        <f t="shared" si="19"/>
        <v>3619961</v>
      </c>
      <c r="H59" s="68">
        <f t="shared" si="20"/>
        <v>205882</v>
      </c>
      <c r="I59" s="68">
        <f t="shared" si="21"/>
        <v>5174</v>
      </c>
      <c r="J59" s="68">
        <f t="shared" si="22"/>
        <v>1500</v>
      </c>
      <c r="K59" s="68">
        <f t="shared" si="23"/>
        <v>7761000</v>
      </c>
      <c r="L59" s="68">
        <f t="shared" si="24"/>
        <v>27164343</v>
      </c>
      <c r="M59" s="68">
        <f t="shared" si="25"/>
        <v>0</v>
      </c>
    </row>
    <row r="60" hidden="1">
      <c r="A60" s="67">
        <f t="shared" ref="A60:C60" si="86">A294</f>
        <v>46997</v>
      </c>
      <c r="B60" s="103">
        <f t="shared" si="86"/>
        <v>2028</v>
      </c>
      <c r="C60" s="68">
        <f t="shared" si="86"/>
        <v>10544</v>
      </c>
      <c r="D60" s="68">
        <f t="shared" si="17"/>
        <v>108</v>
      </c>
      <c r="E60" s="68">
        <f t="shared" ref="E60:F60" si="87">D294</f>
        <v>1500</v>
      </c>
      <c r="F60" s="68">
        <f t="shared" si="87"/>
        <v>15816000</v>
      </c>
      <c r="G60" s="68">
        <f t="shared" si="19"/>
        <v>3655385</v>
      </c>
      <c r="H60" s="68">
        <f t="shared" si="20"/>
        <v>1286765</v>
      </c>
      <c r="I60" s="68">
        <f t="shared" si="21"/>
        <v>5278</v>
      </c>
      <c r="J60" s="68">
        <f t="shared" si="22"/>
        <v>1500</v>
      </c>
      <c r="K60" s="68">
        <f t="shared" si="23"/>
        <v>7917000</v>
      </c>
      <c r="L60" s="68">
        <f t="shared" si="24"/>
        <v>28675150</v>
      </c>
      <c r="M60" s="68">
        <f t="shared" si="25"/>
        <v>0</v>
      </c>
    </row>
    <row r="61" hidden="1">
      <c r="A61" s="67">
        <f t="shared" ref="A61:C61" si="88">A295</f>
        <v>47027</v>
      </c>
      <c r="B61" s="103">
        <f t="shared" si="88"/>
        <v>2028</v>
      </c>
      <c r="C61" s="68">
        <f t="shared" si="88"/>
        <v>10705</v>
      </c>
      <c r="D61" s="68">
        <f t="shared" si="17"/>
        <v>108</v>
      </c>
      <c r="E61" s="68">
        <f t="shared" ref="E61:F61" si="89">D295</f>
        <v>1500</v>
      </c>
      <c r="F61" s="68">
        <f t="shared" si="89"/>
        <v>16057500</v>
      </c>
      <c r="G61" s="68">
        <f t="shared" si="19"/>
        <v>3688259</v>
      </c>
      <c r="H61" s="68">
        <f t="shared" si="20"/>
        <v>205882</v>
      </c>
      <c r="I61" s="68">
        <f t="shared" si="21"/>
        <v>5383</v>
      </c>
      <c r="J61" s="68">
        <f t="shared" si="22"/>
        <v>1500</v>
      </c>
      <c r="K61" s="68">
        <f t="shared" si="23"/>
        <v>8074500</v>
      </c>
      <c r="L61" s="68">
        <f t="shared" si="24"/>
        <v>28026141</v>
      </c>
      <c r="M61" s="68">
        <f t="shared" si="25"/>
        <v>0</v>
      </c>
    </row>
    <row r="62" hidden="1">
      <c r="A62" s="67">
        <f t="shared" ref="A62:C62" si="90">A296</f>
        <v>47058</v>
      </c>
      <c r="B62" s="103">
        <f t="shared" si="90"/>
        <v>2028</v>
      </c>
      <c r="C62" s="68">
        <f t="shared" si="90"/>
        <v>10869</v>
      </c>
      <c r="D62" s="68">
        <f t="shared" si="17"/>
        <v>110</v>
      </c>
      <c r="E62" s="68">
        <f t="shared" ref="E62:F62" si="91">D296</f>
        <v>1500</v>
      </c>
      <c r="F62" s="68">
        <f t="shared" si="91"/>
        <v>16303500</v>
      </c>
      <c r="G62" s="68">
        <f t="shared" si="19"/>
        <v>3814469</v>
      </c>
      <c r="H62" s="68">
        <f t="shared" si="20"/>
        <v>205882</v>
      </c>
      <c r="I62" s="68">
        <f t="shared" si="21"/>
        <v>5491</v>
      </c>
      <c r="J62" s="68">
        <f t="shared" si="22"/>
        <v>1500</v>
      </c>
      <c r="K62" s="68">
        <f t="shared" si="23"/>
        <v>8236500</v>
      </c>
      <c r="L62" s="68">
        <f t="shared" si="24"/>
        <v>28560351</v>
      </c>
      <c r="M62" s="68">
        <f t="shared" si="25"/>
        <v>0</v>
      </c>
    </row>
    <row r="63" hidden="1">
      <c r="A63" s="67">
        <f t="shared" ref="A63:C63" si="92">A297</f>
        <v>47088</v>
      </c>
      <c r="B63" s="103">
        <f t="shared" si="92"/>
        <v>2028</v>
      </c>
      <c r="C63" s="68">
        <f t="shared" si="92"/>
        <v>11035</v>
      </c>
      <c r="D63" s="68">
        <f t="shared" si="17"/>
        <v>112</v>
      </c>
      <c r="E63" s="68">
        <f t="shared" ref="E63:F63" si="93">D297</f>
        <v>1500</v>
      </c>
      <c r="F63" s="68">
        <f t="shared" si="93"/>
        <v>16552500</v>
      </c>
      <c r="G63" s="68">
        <f t="shared" si="19"/>
        <v>3938718</v>
      </c>
      <c r="H63" s="68">
        <f t="shared" si="20"/>
        <v>1492649</v>
      </c>
      <c r="I63" s="68">
        <f t="shared" si="21"/>
        <v>5601</v>
      </c>
      <c r="J63" s="68">
        <f t="shared" si="22"/>
        <v>1500</v>
      </c>
      <c r="K63" s="68">
        <f t="shared" si="23"/>
        <v>8401500</v>
      </c>
      <c r="L63" s="68">
        <f t="shared" si="24"/>
        <v>30385367</v>
      </c>
      <c r="M63" s="68">
        <f t="shared" si="25"/>
        <v>0</v>
      </c>
    </row>
    <row r="64" hidden="1">
      <c r="A64" s="67">
        <f t="shared" ref="A64:C64" si="94">A298</f>
        <v>47119</v>
      </c>
      <c r="B64" s="103">
        <f t="shared" si="94"/>
        <v>2029</v>
      </c>
      <c r="C64" s="68">
        <f t="shared" si="94"/>
        <v>11164</v>
      </c>
      <c r="D64" s="68">
        <f t="shared" si="17"/>
        <v>103</v>
      </c>
      <c r="E64" s="68">
        <f t="shared" ref="E64:F64" si="95">D298</f>
        <v>1500</v>
      </c>
      <c r="F64" s="68">
        <f t="shared" si="95"/>
        <v>16746000</v>
      </c>
      <c r="G64" s="68">
        <f t="shared" si="19"/>
        <v>4943948</v>
      </c>
      <c r="H64" s="68">
        <f t="shared" si="20"/>
        <v>205882</v>
      </c>
      <c r="I64" s="68">
        <f t="shared" si="21"/>
        <v>5713</v>
      </c>
      <c r="J64" s="68">
        <f t="shared" si="22"/>
        <v>1500</v>
      </c>
      <c r="K64" s="68">
        <f t="shared" si="23"/>
        <v>8569500</v>
      </c>
      <c r="L64" s="68">
        <f t="shared" si="24"/>
        <v>30465330</v>
      </c>
      <c r="M64" s="68">
        <f t="shared" si="25"/>
        <v>0</v>
      </c>
    </row>
    <row r="65" hidden="1">
      <c r="A65" s="67">
        <f t="shared" ref="A65:C65" si="96">A299</f>
        <v>47150</v>
      </c>
      <c r="B65" s="103">
        <f t="shared" si="96"/>
        <v>2029</v>
      </c>
      <c r="C65" s="68">
        <f t="shared" si="96"/>
        <v>11295</v>
      </c>
      <c r="D65" s="68">
        <f t="shared" si="17"/>
        <v>105</v>
      </c>
      <c r="E65" s="68">
        <f t="shared" ref="E65:F65" si="97">D299</f>
        <v>1500</v>
      </c>
      <c r="F65" s="68">
        <f t="shared" si="97"/>
        <v>16942500</v>
      </c>
      <c r="G65" s="68">
        <f t="shared" si="19"/>
        <v>5003054</v>
      </c>
      <c r="H65" s="68">
        <f t="shared" si="20"/>
        <v>205882</v>
      </c>
      <c r="I65" s="68">
        <f t="shared" si="21"/>
        <v>5827</v>
      </c>
      <c r="J65" s="68">
        <f t="shared" si="22"/>
        <v>1500</v>
      </c>
      <c r="K65" s="68">
        <f t="shared" si="23"/>
        <v>8740500</v>
      </c>
      <c r="L65" s="68">
        <f t="shared" si="24"/>
        <v>30891936</v>
      </c>
      <c r="M65" s="68">
        <f t="shared" si="25"/>
        <v>0</v>
      </c>
    </row>
    <row r="66" hidden="1">
      <c r="A66" s="67">
        <f t="shared" ref="A66:C66" si="98">A300</f>
        <v>47178</v>
      </c>
      <c r="B66" s="103">
        <f t="shared" si="98"/>
        <v>2029</v>
      </c>
      <c r="C66" s="68">
        <f t="shared" si="98"/>
        <v>11427</v>
      </c>
      <c r="D66" s="68">
        <f t="shared" si="17"/>
        <v>108</v>
      </c>
      <c r="E66" s="68">
        <f t="shared" ref="E66:F66" si="99">D300</f>
        <v>1500</v>
      </c>
      <c r="F66" s="68">
        <f t="shared" si="99"/>
        <v>17140500</v>
      </c>
      <c r="G66" s="68">
        <f t="shared" si="19"/>
        <v>4817872</v>
      </c>
      <c r="H66" s="68">
        <f t="shared" si="20"/>
        <v>1286765</v>
      </c>
      <c r="I66" s="68">
        <f t="shared" si="21"/>
        <v>5944</v>
      </c>
      <c r="J66" s="68">
        <f t="shared" si="22"/>
        <v>1500</v>
      </c>
      <c r="K66" s="68">
        <f t="shared" si="23"/>
        <v>8916000</v>
      </c>
      <c r="L66" s="68">
        <f t="shared" si="24"/>
        <v>32161137</v>
      </c>
      <c r="M66" s="68">
        <f t="shared" si="25"/>
        <v>0</v>
      </c>
    </row>
    <row r="67" hidden="1">
      <c r="A67" s="67">
        <f t="shared" ref="A67:C67" si="100">A301</f>
        <v>47209</v>
      </c>
      <c r="B67" s="103">
        <f t="shared" si="100"/>
        <v>2029</v>
      </c>
      <c r="C67" s="68">
        <f t="shared" si="100"/>
        <v>11561</v>
      </c>
      <c r="D67" s="68">
        <f t="shared" si="17"/>
        <v>109</v>
      </c>
      <c r="E67" s="68">
        <f t="shared" ref="E67:F67" si="101">D301</f>
        <v>1500</v>
      </c>
      <c r="F67" s="68">
        <f t="shared" si="101"/>
        <v>17341500</v>
      </c>
      <c r="G67" s="68">
        <f t="shared" si="19"/>
        <v>4810903</v>
      </c>
      <c r="H67" s="68">
        <f t="shared" si="20"/>
        <v>205882</v>
      </c>
      <c r="I67" s="68">
        <f t="shared" si="21"/>
        <v>6063</v>
      </c>
      <c r="J67" s="68">
        <f t="shared" si="22"/>
        <v>1500</v>
      </c>
      <c r="K67" s="68">
        <f t="shared" si="23"/>
        <v>9094500</v>
      </c>
      <c r="L67" s="68">
        <f t="shared" si="24"/>
        <v>31452785</v>
      </c>
      <c r="M67" s="68">
        <f t="shared" si="25"/>
        <v>0</v>
      </c>
    </row>
    <row r="68" hidden="1">
      <c r="A68" s="67">
        <f t="shared" ref="A68:C68" si="102">A302</f>
        <v>47239</v>
      </c>
      <c r="B68" s="103">
        <f t="shared" si="102"/>
        <v>2029</v>
      </c>
      <c r="C68" s="68">
        <f t="shared" si="102"/>
        <v>11697</v>
      </c>
      <c r="D68" s="68">
        <f t="shared" si="17"/>
        <v>112</v>
      </c>
      <c r="E68" s="68">
        <f t="shared" ref="E68:F68" si="103">D302</f>
        <v>1500</v>
      </c>
      <c r="F68" s="68">
        <f t="shared" si="103"/>
        <v>17545500</v>
      </c>
      <c r="G68" s="68">
        <f t="shared" si="19"/>
        <v>4607914</v>
      </c>
      <c r="H68" s="68">
        <f t="shared" si="20"/>
        <v>205882</v>
      </c>
      <c r="I68" s="68">
        <f t="shared" si="21"/>
        <v>6184</v>
      </c>
      <c r="J68" s="68">
        <f t="shared" si="22"/>
        <v>1500</v>
      </c>
      <c r="K68" s="68">
        <f t="shared" si="23"/>
        <v>9276000</v>
      </c>
      <c r="L68" s="68">
        <f t="shared" si="24"/>
        <v>31635296</v>
      </c>
      <c r="M68" s="68">
        <f t="shared" si="25"/>
        <v>0</v>
      </c>
    </row>
    <row r="69" hidden="1">
      <c r="A69" s="67">
        <f t="shared" ref="A69:C69" si="104">A303</f>
        <v>47270</v>
      </c>
      <c r="B69" s="103">
        <f t="shared" si="104"/>
        <v>2029</v>
      </c>
      <c r="C69" s="68">
        <f t="shared" si="104"/>
        <v>11834</v>
      </c>
      <c r="D69" s="68">
        <f t="shared" si="17"/>
        <v>114</v>
      </c>
      <c r="E69" s="68">
        <f t="shared" ref="E69:F69" si="105">D303</f>
        <v>1500</v>
      </c>
      <c r="F69" s="68">
        <f t="shared" si="105"/>
        <v>17751000</v>
      </c>
      <c r="G69" s="68">
        <f t="shared" si="19"/>
        <v>4219485</v>
      </c>
      <c r="H69" s="68">
        <f t="shared" si="20"/>
        <v>1286765</v>
      </c>
      <c r="I69" s="68">
        <f t="shared" si="21"/>
        <v>6308</v>
      </c>
      <c r="J69" s="68">
        <f t="shared" si="22"/>
        <v>1500</v>
      </c>
      <c r="K69" s="68">
        <f t="shared" si="23"/>
        <v>9462000</v>
      </c>
      <c r="L69" s="68">
        <f t="shared" si="24"/>
        <v>32719250</v>
      </c>
      <c r="M69" s="68">
        <f t="shared" si="25"/>
        <v>0</v>
      </c>
    </row>
    <row r="70" hidden="1">
      <c r="A70" s="67">
        <f t="shared" ref="A70:C70" si="106">A304</f>
        <v>47300</v>
      </c>
      <c r="B70" s="103">
        <f t="shared" si="106"/>
        <v>2029</v>
      </c>
      <c r="C70" s="68">
        <f t="shared" si="106"/>
        <v>11972</v>
      </c>
      <c r="D70" s="68">
        <f t="shared" si="17"/>
        <v>115</v>
      </c>
      <c r="E70" s="68">
        <f t="shared" ref="E70:F70" si="107">D304</f>
        <v>1500</v>
      </c>
      <c r="F70" s="68">
        <f t="shared" si="107"/>
        <v>17958000</v>
      </c>
      <c r="G70" s="68">
        <f t="shared" si="19"/>
        <v>4140064</v>
      </c>
      <c r="H70" s="68">
        <f t="shared" si="20"/>
        <v>205882</v>
      </c>
      <c r="I70" s="68">
        <f t="shared" si="21"/>
        <v>6434</v>
      </c>
      <c r="J70" s="68">
        <f t="shared" si="22"/>
        <v>1500</v>
      </c>
      <c r="K70" s="68">
        <f t="shared" si="23"/>
        <v>9651000</v>
      </c>
      <c r="L70" s="68">
        <f t="shared" si="24"/>
        <v>31954946</v>
      </c>
      <c r="M70" s="68">
        <f t="shared" si="25"/>
        <v>0</v>
      </c>
    </row>
    <row r="71" hidden="1">
      <c r="A71" s="67">
        <f t="shared" ref="A71:C71" si="108">A305</f>
        <v>47331</v>
      </c>
      <c r="B71" s="103">
        <f t="shared" si="108"/>
        <v>2029</v>
      </c>
      <c r="C71" s="68">
        <f t="shared" si="108"/>
        <v>12113</v>
      </c>
      <c r="D71" s="68">
        <f t="shared" si="17"/>
        <v>118</v>
      </c>
      <c r="E71" s="68">
        <f t="shared" ref="E71:F71" si="109">D305</f>
        <v>1500</v>
      </c>
      <c r="F71" s="68">
        <f t="shared" si="109"/>
        <v>18169500</v>
      </c>
      <c r="G71" s="68">
        <f t="shared" si="19"/>
        <v>4029768</v>
      </c>
      <c r="H71" s="68">
        <f t="shared" si="20"/>
        <v>205882</v>
      </c>
      <c r="I71" s="68">
        <f t="shared" si="21"/>
        <v>6562</v>
      </c>
      <c r="J71" s="68">
        <f t="shared" si="22"/>
        <v>1500</v>
      </c>
      <c r="K71" s="68">
        <f t="shared" si="23"/>
        <v>9843000</v>
      </c>
      <c r="L71" s="68">
        <f t="shared" si="24"/>
        <v>32248150</v>
      </c>
      <c r="M71" s="68">
        <f t="shared" si="25"/>
        <v>0</v>
      </c>
    </row>
    <row r="72" hidden="1">
      <c r="A72" s="67">
        <f t="shared" ref="A72:C72" si="110">A306</f>
        <v>47362</v>
      </c>
      <c r="B72" s="103">
        <f t="shared" si="110"/>
        <v>2029</v>
      </c>
      <c r="C72" s="68">
        <f t="shared" si="110"/>
        <v>12255</v>
      </c>
      <c r="D72" s="68">
        <f t="shared" si="17"/>
        <v>120</v>
      </c>
      <c r="E72" s="68">
        <f t="shared" ref="E72:F72" si="111">D306</f>
        <v>1500</v>
      </c>
      <c r="F72" s="68">
        <f t="shared" si="111"/>
        <v>18382500</v>
      </c>
      <c r="G72" s="68">
        <f t="shared" si="19"/>
        <v>4061539</v>
      </c>
      <c r="H72" s="68">
        <f t="shared" si="20"/>
        <v>1286765</v>
      </c>
      <c r="I72" s="68">
        <f t="shared" si="21"/>
        <v>6694</v>
      </c>
      <c r="J72" s="68">
        <f t="shared" si="22"/>
        <v>1500</v>
      </c>
      <c r="K72" s="68">
        <f t="shared" si="23"/>
        <v>10041000</v>
      </c>
      <c r="L72" s="68">
        <f t="shared" si="24"/>
        <v>33771804</v>
      </c>
      <c r="M72" s="68">
        <f t="shared" si="25"/>
        <v>0</v>
      </c>
    </row>
    <row r="73" hidden="1">
      <c r="A73" s="67">
        <f t="shared" ref="A73:C73" si="112">A307</f>
        <v>47392</v>
      </c>
      <c r="B73" s="103">
        <f t="shared" si="112"/>
        <v>2029</v>
      </c>
      <c r="C73" s="68">
        <f t="shared" si="112"/>
        <v>12398</v>
      </c>
      <c r="D73" s="68">
        <f t="shared" si="17"/>
        <v>120</v>
      </c>
      <c r="E73" s="68">
        <f t="shared" ref="E73:F73" si="113">D307</f>
        <v>1500</v>
      </c>
      <c r="F73" s="68">
        <f t="shared" si="113"/>
        <v>18597000</v>
      </c>
      <c r="G73" s="68">
        <f t="shared" si="19"/>
        <v>4098066</v>
      </c>
      <c r="H73" s="68">
        <f t="shared" si="20"/>
        <v>205882</v>
      </c>
      <c r="I73" s="68">
        <f t="shared" si="21"/>
        <v>6828</v>
      </c>
      <c r="J73" s="68">
        <f t="shared" si="22"/>
        <v>1500</v>
      </c>
      <c r="K73" s="68">
        <f t="shared" si="23"/>
        <v>10242000</v>
      </c>
      <c r="L73" s="68">
        <f t="shared" si="24"/>
        <v>33142948</v>
      </c>
      <c r="M73" s="68">
        <f t="shared" si="25"/>
        <v>0</v>
      </c>
    </row>
    <row r="74" hidden="1">
      <c r="A74" s="67">
        <f t="shared" ref="A74:C74" si="114">A308</f>
        <v>47423</v>
      </c>
      <c r="B74" s="103">
        <f t="shared" si="114"/>
        <v>2029</v>
      </c>
      <c r="C74" s="68">
        <f t="shared" si="114"/>
        <v>12543</v>
      </c>
      <c r="D74" s="68">
        <f t="shared" si="17"/>
        <v>122</v>
      </c>
      <c r="E74" s="68">
        <f t="shared" ref="E74:F74" si="115">D308</f>
        <v>1500</v>
      </c>
      <c r="F74" s="68">
        <f t="shared" si="115"/>
        <v>18814500</v>
      </c>
      <c r="G74" s="68">
        <f t="shared" si="19"/>
        <v>4230593</v>
      </c>
      <c r="H74" s="68">
        <f t="shared" si="20"/>
        <v>205882</v>
      </c>
      <c r="I74" s="68">
        <f t="shared" si="21"/>
        <v>6964</v>
      </c>
      <c r="J74" s="68">
        <f t="shared" si="22"/>
        <v>1500</v>
      </c>
      <c r="K74" s="68">
        <f t="shared" si="23"/>
        <v>10446000</v>
      </c>
      <c r="L74" s="68">
        <f t="shared" si="24"/>
        <v>33696975</v>
      </c>
      <c r="M74" s="68">
        <f t="shared" si="25"/>
        <v>0</v>
      </c>
    </row>
    <row r="75" hidden="1">
      <c r="A75" s="67">
        <f t="shared" ref="A75:C75" si="116">A309</f>
        <v>47453</v>
      </c>
      <c r="B75" s="103">
        <f t="shared" si="116"/>
        <v>2029</v>
      </c>
      <c r="C75" s="68">
        <f t="shared" si="116"/>
        <v>12690</v>
      </c>
      <c r="D75" s="68">
        <f t="shared" si="17"/>
        <v>124</v>
      </c>
      <c r="E75" s="68">
        <f t="shared" ref="E75:F75" si="117">D309</f>
        <v>1500</v>
      </c>
      <c r="F75" s="68">
        <f t="shared" si="117"/>
        <v>19035000</v>
      </c>
      <c r="G75" s="68">
        <f t="shared" si="19"/>
        <v>4360724</v>
      </c>
      <c r="H75" s="68">
        <f t="shared" si="20"/>
        <v>1492649</v>
      </c>
      <c r="I75" s="68">
        <f t="shared" si="21"/>
        <v>7103</v>
      </c>
      <c r="J75" s="68">
        <f t="shared" si="22"/>
        <v>1500</v>
      </c>
      <c r="K75" s="68">
        <f t="shared" si="23"/>
        <v>10654500</v>
      </c>
      <c r="L75" s="68">
        <f t="shared" si="24"/>
        <v>35542873</v>
      </c>
      <c r="M75" s="68">
        <f t="shared" si="25"/>
        <v>0</v>
      </c>
    </row>
    <row r="76" hidden="1">
      <c r="A76" s="67">
        <f t="shared" ref="A76:C76" si="118">A310</f>
        <v>47484</v>
      </c>
      <c r="B76" s="103">
        <f t="shared" si="118"/>
        <v>2030</v>
      </c>
      <c r="C76" s="68">
        <f t="shared" si="118"/>
        <v>12810</v>
      </c>
      <c r="D76" s="68">
        <f t="shared" si="17"/>
        <v>113</v>
      </c>
      <c r="E76" s="68">
        <f t="shared" ref="E76:F76" si="119">D310</f>
        <v>1500</v>
      </c>
      <c r="F76" s="68">
        <f t="shared" si="119"/>
        <v>19215000</v>
      </c>
      <c r="G76" s="68">
        <f t="shared" si="19"/>
        <v>5423943</v>
      </c>
      <c r="H76" s="68">
        <f t="shared" si="20"/>
        <v>205882</v>
      </c>
      <c r="I76" s="68">
        <f t="shared" si="21"/>
        <v>7245</v>
      </c>
      <c r="J76" s="68">
        <f t="shared" si="22"/>
        <v>1500</v>
      </c>
      <c r="K76" s="68">
        <f t="shared" si="23"/>
        <v>10867500</v>
      </c>
      <c r="L76" s="68">
        <f t="shared" si="24"/>
        <v>35712325</v>
      </c>
      <c r="M76" s="68">
        <f t="shared" si="25"/>
        <v>0</v>
      </c>
    </row>
    <row r="77" hidden="1">
      <c r="A77" s="67">
        <f t="shared" ref="A77:C77" si="120">A311</f>
        <v>47515</v>
      </c>
      <c r="B77" s="103">
        <f t="shared" si="120"/>
        <v>2030</v>
      </c>
      <c r="C77" s="68">
        <f t="shared" si="120"/>
        <v>12932</v>
      </c>
      <c r="D77" s="68">
        <f t="shared" si="17"/>
        <v>115</v>
      </c>
      <c r="E77" s="68">
        <f t="shared" ref="E77:F77" si="121">D311</f>
        <v>1500</v>
      </c>
      <c r="F77" s="68">
        <f t="shared" si="121"/>
        <v>19398000</v>
      </c>
      <c r="G77" s="68">
        <f t="shared" si="19"/>
        <v>5479535</v>
      </c>
      <c r="H77" s="68">
        <f t="shared" si="20"/>
        <v>205882</v>
      </c>
      <c r="I77" s="68">
        <f t="shared" si="21"/>
        <v>7390</v>
      </c>
      <c r="J77" s="68">
        <f t="shared" si="22"/>
        <v>1500</v>
      </c>
      <c r="K77" s="68">
        <f t="shared" si="23"/>
        <v>11085000</v>
      </c>
      <c r="L77" s="68">
        <f t="shared" si="24"/>
        <v>36168417</v>
      </c>
      <c r="M77" s="68">
        <f t="shared" si="25"/>
        <v>0</v>
      </c>
    </row>
    <row r="78" hidden="1">
      <c r="A78" s="67">
        <f t="shared" ref="A78:C78" si="122">A312</f>
        <v>47543</v>
      </c>
      <c r="B78" s="103">
        <f t="shared" si="122"/>
        <v>2030</v>
      </c>
      <c r="C78" s="68">
        <f t="shared" si="122"/>
        <v>13055</v>
      </c>
      <c r="D78" s="68">
        <f t="shared" si="17"/>
        <v>118</v>
      </c>
      <c r="E78" s="68">
        <f t="shared" ref="E78:F78" si="123">D312</f>
        <v>1500</v>
      </c>
      <c r="F78" s="68">
        <f t="shared" si="123"/>
        <v>19582500</v>
      </c>
      <c r="G78" s="68">
        <f t="shared" si="19"/>
        <v>5263971</v>
      </c>
      <c r="H78" s="68">
        <f t="shared" si="20"/>
        <v>1286765</v>
      </c>
      <c r="I78" s="68">
        <f t="shared" si="21"/>
        <v>7538</v>
      </c>
      <c r="J78" s="68">
        <f t="shared" si="22"/>
        <v>1500</v>
      </c>
      <c r="K78" s="68">
        <f t="shared" si="23"/>
        <v>11307000</v>
      </c>
      <c r="L78" s="68">
        <f t="shared" si="24"/>
        <v>37440236</v>
      </c>
      <c r="M78" s="68">
        <f t="shared" si="25"/>
        <v>0</v>
      </c>
    </row>
    <row r="79" hidden="1">
      <c r="A79" s="67">
        <f t="shared" ref="A79:C79" si="124">A313</f>
        <v>47574</v>
      </c>
      <c r="B79" s="103">
        <f t="shared" si="124"/>
        <v>2030</v>
      </c>
      <c r="C79" s="68">
        <f t="shared" si="124"/>
        <v>13179</v>
      </c>
      <c r="D79" s="68">
        <f t="shared" si="17"/>
        <v>119</v>
      </c>
      <c r="E79" s="68">
        <f t="shared" ref="E79:F79" si="125">D313</f>
        <v>1500</v>
      </c>
      <c r="F79" s="68">
        <f t="shared" si="125"/>
        <v>19768500</v>
      </c>
      <c r="G79" s="68">
        <f t="shared" si="19"/>
        <v>5252270</v>
      </c>
      <c r="H79" s="68">
        <f t="shared" si="20"/>
        <v>205882</v>
      </c>
      <c r="I79" s="68">
        <f t="shared" si="21"/>
        <v>7689</v>
      </c>
      <c r="J79" s="68">
        <f t="shared" si="22"/>
        <v>1500</v>
      </c>
      <c r="K79" s="68">
        <f t="shared" si="23"/>
        <v>11533500</v>
      </c>
      <c r="L79" s="68">
        <f t="shared" si="24"/>
        <v>36760152</v>
      </c>
      <c r="M79" s="68">
        <f t="shared" si="25"/>
        <v>0</v>
      </c>
    </row>
    <row r="80" hidden="1">
      <c r="A80" s="67">
        <f t="shared" ref="A80:C80" si="126">A314</f>
        <v>47604</v>
      </c>
      <c r="B80" s="103">
        <f t="shared" si="126"/>
        <v>2030</v>
      </c>
      <c r="C80" s="68">
        <f t="shared" si="126"/>
        <v>13304</v>
      </c>
      <c r="D80" s="68">
        <f t="shared" si="17"/>
        <v>122</v>
      </c>
      <c r="E80" s="68">
        <f t="shared" ref="E80:F80" si="127">D314</f>
        <v>1500</v>
      </c>
      <c r="F80" s="68">
        <f t="shared" si="127"/>
        <v>19956000</v>
      </c>
      <c r="G80" s="68">
        <f t="shared" si="19"/>
        <v>5019335</v>
      </c>
      <c r="H80" s="68">
        <f t="shared" si="20"/>
        <v>205882</v>
      </c>
      <c r="I80" s="68">
        <f t="shared" si="21"/>
        <v>7843</v>
      </c>
      <c r="J80" s="68">
        <f t="shared" si="22"/>
        <v>1500</v>
      </c>
      <c r="K80" s="68">
        <f t="shared" si="23"/>
        <v>11764500</v>
      </c>
      <c r="L80" s="68">
        <f t="shared" si="24"/>
        <v>36945717</v>
      </c>
      <c r="M80" s="68">
        <f t="shared" si="25"/>
        <v>0</v>
      </c>
    </row>
    <row r="81" hidden="1">
      <c r="A81" s="67">
        <f t="shared" ref="A81:C81" si="128">A315</f>
        <v>47635</v>
      </c>
      <c r="B81" s="103">
        <f t="shared" si="128"/>
        <v>2030</v>
      </c>
      <c r="C81" s="68">
        <f t="shared" si="128"/>
        <v>13430</v>
      </c>
      <c r="D81" s="68">
        <f t="shared" si="17"/>
        <v>124</v>
      </c>
      <c r="E81" s="68">
        <f t="shared" ref="E81:F81" si="129">D315</f>
        <v>1500</v>
      </c>
      <c r="F81" s="68">
        <f t="shared" si="129"/>
        <v>20145000</v>
      </c>
      <c r="G81" s="68">
        <f t="shared" si="19"/>
        <v>4589615</v>
      </c>
      <c r="H81" s="68">
        <f t="shared" si="20"/>
        <v>1286765</v>
      </c>
      <c r="I81" s="68">
        <f t="shared" si="21"/>
        <v>8000</v>
      </c>
      <c r="J81" s="68">
        <f t="shared" si="22"/>
        <v>1500</v>
      </c>
      <c r="K81" s="68">
        <f t="shared" si="23"/>
        <v>12000000</v>
      </c>
      <c r="L81" s="68">
        <f t="shared" si="24"/>
        <v>38021380</v>
      </c>
      <c r="M81" s="68">
        <f t="shared" si="25"/>
        <v>0</v>
      </c>
    </row>
    <row r="82" hidden="1">
      <c r="A82" s="67">
        <f t="shared" ref="A82:C82" si="130">A316</f>
        <v>47665</v>
      </c>
      <c r="B82" s="103">
        <f t="shared" si="130"/>
        <v>2030</v>
      </c>
      <c r="C82" s="68">
        <f t="shared" si="130"/>
        <v>13557</v>
      </c>
      <c r="D82" s="68">
        <f t="shared" si="17"/>
        <v>125</v>
      </c>
      <c r="E82" s="68">
        <f t="shared" ref="E82:F82" si="131">D316</f>
        <v>1500</v>
      </c>
      <c r="F82" s="68">
        <f t="shared" si="131"/>
        <v>20335500</v>
      </c>
      <c r="G82" s="68">
        <f t="shared" si="19"/>
        <v>4500070</v>
      </c>
      <c r="H82" s="68">
        <f t="shared" si="20"/>
        <v>205882</v>
      </c>
      <c r="I82" s="68">
        <f t="shared" si="21"/>
        <v>8160</v>
      </c>
      <c r="J82" s="68">
        <f t="shared" si="22"/>
        <v>1500</v>
      </c>
      <c r="K82" s="68">
        <f t="shared" si="23"/>
        <v>12240000</v>
      </c>
      <c r="L82" s="68">
        <f t="shared" si="24"/>
        <v>37281452</v>
      </c>
      <c r="M82" s="68">
        <f t="shared" si="25"/>
        <v>0</v>
      </c>
    </row>
    <row r="83" hidden="1">
      <c r="A83" s="67">
        <f t="shared" ref="A83:C83" si="132">A317</f>
        <v>47696</v>
      </c>
      <c r="B83" s="103">
        <f t="shared" si="132"/>
        <v>2030</v>
      </c>
      <c r="C83" s="68">
        <f t="shared" si="132"/>
        <v>13686</v>
      </c>
      <c r="D83" s="68">
        <f t="shared" si="17"/>
        <v>128</v>
      </c>
      <c r="E83" s="68">
        <f t="shared" ref="E83:F83" si="133">D317</f>
        <v>1500</v>
      </c>
      <c r="F83" s="68">
        <f t="shared" si="133"/>
        <v>20529000</v>
      </c>
      <c r="G83" s="68">
        <f t="shared" si="19"/>
        <v>4371274</v>
      </c>
      <c r="H83" s="68">
        <f t="shared" si="20"/>
        <v>205882</v>
      </c>
      <c r="I83" s="68">
        <f t="shared" si="21"/>
        <v>8323</v>
      </c>
      <c r="J83" s="68">
        <f t="shared" si="22"/>
        <v>1500</v>
      </c>
      <c r="K83" s="68">
        <f t="shared" si="23"/>
        <v>12484500</v>
      </c>
      <c r="L83" s="68">
        <f t="shared" si="24"/>
        <v>37590656</v>
      </c>
      <c r="M83" s="68">
        <f t="shared" si="25"/>
        <v>0</v>
      </c>
    </row>
    <row r="84" hidden="1">
      <c r="A84" s="67">
        <f t="shared" ref="A84:C84" si="134">A318</f>
        <v>47727</v>
      </c>
      <c r="B84" s="103">
        <f t="shared" si="134"/>
        <v>2030</v>
      </c>
      <c r="C84" s="68">
        <f t="shared" si="134"/>
        <v>13816</v>
      </c>
      <c r="D84" s="68">
        <f t="shared" si="17"/>
        <v>130</v>
      </c>
      <c r="E84" s="68">
        <f t="shared" ref="E84:F84" si="135">D318</f>
        <v>1500</v>
      </c>
      <c r="F84" s="68">
        <f t="shared" si="135"/>
        <v>20724000</v>
      </c>
      <c r="G84" s="68">
        <f t="shared" si="19"/>
        <v>4400001</v>
      </c>
      <c r="H84" s="68">
        <f t="shared" si="20"/>
        <v>1286765</v>
      </c>
      <c r="I84" s="68">
        <f t="shared" si="21"/>
        <v>8489</v>
      </c>
      <c r="J84" s="68">
        <f t="shared" si="22"/>
        <v>1500</v>
      </c>
      <c r="K84" s="68">
        <f t="shared" si="23"/>
        <v>12733500</v>
      </c>
      <c r="L84" s="68">
        <f t="shared" si="24"/>
        <v>39144266</v>
      </c>
      <c r="M84" s="68">
        <f t="shared" si="25"/>
        <v>0</v>
      </c>
    </row>
    <row r="85" hidden="1">
      <c r="A85" s="67">
        <f t="shared" ref="A85:C85" si="136">A319</f>
        <v>47757</v>
      </c>
      <c r="B85" s="103">
        <f t="shared" si="136"/>
        <v>2030</v>
      </c>
      <c r="C85" s="68">
        <f t="shared" si="136"/>
        <v>13947</v>
      </c>
      <c r="D85" s="68">
        <f t="shared" si="17"/>
        <v>130</v>
      </c>
      <c r="E85" s="68">
        <f t="shared" ref="E85:F85" si="137">D319</f>
        <v>1500</v>
      </c>
      <c r="F85" s="68">
        <f t="shared" si="137"/>
        <v>20920500</v>
      </c>
      <c r="G85" s="68">
        <f t="shared" si="19"/>
        <v>4439572</v>
      </c>
      <c r="H85" s="68">
        <f t="shared" si="20"/>
        <v>205882</v>
      </c>
      <c r="I85" s="68">
        <f t="shared" si="21"/>
        <v>8659</v>
      </c>
      <c r="J85" s="68">
        <f t="shared" si="22"/>
        <v>1500</v>
      </c>
      <c r="K85" s="68">
        <f t="shared" si="23"/>
        <v>12988500</v>
      </c>
      <c r="L85" s="68">
        <f t="shared" si="24"/>
        <v>38554454</v>
      </c>
      <c r="M85" s="68">
        <f t="shared" si="25"/>
        <v>0</v>
      </c>
    </row>
    <row r="86" hidden="1">
      <c r="A86" s="67">
        <f t="shared" ref="A86:C86" si="138">A320</f>
        <v>47788</v>
      </c>
      <c r="B86" s="103">
        <f t="shared" si="138"/>
        <v>2030</v>
      </c>
      <c r="C86" s="68">
        <f t="shared" si="138"/>
        <v>14079</v>
      </c>
      <c r="D86" s="68">
        <f t="shared" si="17"/>
        <v>132</v>
      </c>
      <c r="E86" s="68">
        <f t="shared" ref="E86:F86" si="139">D320</f>
        <v>1500</v>
      </c>
      <c r="F86" s="68">
        <f t="shared" si="139"/>
        <v>21118500</v>
      </c>
      <c r="G86" s="68">
        <f t="shared" si="19"/>
        <v>4577363</v>
      </c>
      <c r="H86" s="68">
        <f t="shared" si="20"/>
        <v>205882</v>
      </c>
      <c r="I86" s="68">
        <f t="shared" si="21"/>
        <v>8832</v>
      </c>
      <c r="J86" s="68">
        <f t="shared" si="22"/>
        <v>1500</v>
      </c>
      <c r="K86" s="68">
        <f t="shared" si="23"/>
        <v>13248000</v>
      </c>
      <c r="L86" s="68">
        <f t="shared" si="24"/>
        <v>39149745</v>
      </c>
      <c r="M86" s="68">
        <f t="shared" si="25"/>
        <v>0</v>
      </c>
    </row>
    <row r="87" hidden="1">
      <c r="A87" s="67">
        <f t="shared" ref="A87:C87" si="140">A321</f>
        <v>47818</v>
      </c>
      <c r="B87" s="103">
        <f t="shared" si="140"/>
        <v>2030</v>
      </c>
      <c r="C87" s="68">
        <f t="shared" si="140"/>
        <v>14213</v>
      </c>
      <c r="D87" s="68">
        <f t="shared" si="17"/>
        <v>134</v>
      </c>
      <c r="E87" s="68">
        <f t="shared" ref="E87:F87" si="141">D321</f>
        <v>1500</v>
      </c>
      <c r="F87" s="68">
        <f t="shared" si="141"/>
        <v>21319500</v>
      </c>
      <c r="G87" s="68">
        <f t="shared" si="19"/>
        <v>4712395</v>
      </c>
      <c r="H87" s="68">
        <f t="shared" si="20"/>
        <v>1492649</v>
      </c>
      <c r="I87" s="68">
        <f t="shared" si="21"/>
        <v>9009</v>
      </c>
      <c r="J87" s="68">
        <f t="shared" si="22"/>
        <v>1500</v>
      </c>
      <c r="K87" s="68">
        <f t="shared" si="23"/>
        <v>13513500</v>
      </c>
      <c r="L87" s="68">
        <f t="shared" si="24"/>
        <v>41038044</v>
      </c>
      <c r="M87" s="68">
        <f t="shared" si="25"/>
        <v>0</v>
      </c>
    </row>
    <row r="88" hidden="1">
      <c r="A88" s="67">
        <f t="shared" ref="A88:C88" si="142">A322</f>
        <v>47849</v>
      </c>
      <c r="B88" s="103">
        <f t="shared" si="142"/>
        <v>2031</v>
      </c>
      <c r="C88" s="68">
        <f t="shared" si="142"/>
        <v>14326</v>
      </c>
      <c r="D88" s="68">
        <f t="shared" si="17"/>
        <v>121</v>
      </c>
      <c r="E88" s="68">
        <f t="shared" ref="E88:F88" si="143">D322</f>
        <v>1500</v>
      </c>
      <c r="F88" s="68">
        <f t="shared" si="143"/>
        <v>21489000</v>
      </c>
      <c r="G88" s="68">
        <f t="shared" si="19"/>
        <v>5807939</v>
      </c>
      <c r="H88" s="68">
        <f t="shared" si="20"/>
        <v>205882</v>
      </c>
      <c r="I88" s="68">
        <f t="shared" si="21"/>
        <v>9189</v>
      </c>
      <c r="J88" s="68">
        <f t="shared" si="22"/>
        <v>1500</v>
      </c>
      <c r="K88" s="68">
        <f t="shared" si="23"/>
        <v>13783500</v>
      </c>
      <c r="L88" s="68">
        <f t="shared" si="24"/>
        <v>41286321</v>
      </c>
      <c r="M88" s="68">
        <f t="shared" si="25"/>
        <v>0</v>
      </c>
    </row>
    <row r="89" hidden="1">
      <c r="A89" s="67">
        <f t="shared" ref="A89:C89" si="144">A323</f>
        <v>47880</v>
      </c>
      <c r="B89" s="103">
        <f t="shared" si="144"/>
        <v>2031</v>
      </c>
      <c r="C89" s="68">
        <f t="shared" si="144"/>
        <v>14441</v>
      </c>
      <c r="D89" s="68">
        <f t="shared" si="17"/>
        <v>123</v>
      </c>
      <c r="E89" s="68">
        <f t="shared" ref="E89:F89" si="145">D323</f>
        <v>1500</v>
      </c>
      <c r="F89" s="68">
        <f t="shared" si="145"/>
        <v>21661500</v>
      </c>
      <c r="G89" s="68">
        <f t="shared" si="19"/>
        <v>5860720</v>
      </c>
      <c r="H89" s="68">
        <f t="shared" si="20"/>
        <v>205882</v>
      </c>
      <c r="I89" s="68">
        <f t="shared" si="21"/>
        <v>9373</v>
      </c>
      <c r="J89" s="68">
        <f t="shared" si="22"/>
        <v>1500</v>
      </c>
      <c r="K89" s="68">
        <f t="shared" si="23"/>
        <v>14059500</v>
      </c>
      <c r="L89" s="68">
        <f t="shared" si="24"/>
        <v>41787602</v>
      </c>
      <c r="M89" s="68">
        <f t="shared" si="25"/>
        <v>0</v>
      </c>
    </row>
    <row r="90" hidden="1">
      <c r="A90" s="67">
        <f t="shared" ref="A90:C90" si="146">A324</f>
        <v>47908</v>
      </c>
      <c r="B90" s="103">
        <f t="shared" si="146"/>
        <v>2031</v>
      </c>
      <c r="C90" s="68">
        <f t="shared" si="146"/>
        <v>14556</v>
      </c>
      <c r="D90" s="68">
        <f t="shared" si="17"/>
        <v>126</v>
      </c>
      <c r="E90" s="68">
        <f t="shared" ref="E90:F90" si="147">D324</f>
        <v>1500</v>
      </c>
      <c r="F90" s="68">
        <f t="shared" si="147"/>
        <v>21834000</v>
      </c>
      <c r="G90" s="68">
        <f t="shared" si="19"/>
        <v>5620850</v>
      </c>
      <c r="H90" s="68">
        <f t="shared" si="20"/>
        <v>1286765</v>
      </c>
      <c r="I90" s="68">
        <f t="shared" si="21"/>
        <v>9560</v>
      </c>
      <c r="J90" s="68">
        <f t="shared" si="22"/>
        <v>1500</v>
      </c>
      <c r="K90" s="68">
        <f t="shared" si="23"/>
        <v>14340000</v>
      </c>
      <c r="L90" s="68">
        <f t="shared" si="24"/>
        <v>43081615</v>
      </c>
      <c r="M90" s="68">
        <f t="shared" si="25"/>
        <v>0</v>
      </c>
    </row>
    <row r="91" hidden="1">
      <c r="A91" s="67">
        <f t="shared" ref="A91:C91" si="148">A325</f>
        <v>47939</v>
      </c>
      <c r="B91" s="103">
        <f t="shared" si="148"/>
        <v>2031</v>
      </c>
      <c r="C91" s="68">
        <f t="shared" si="148"/>
        <v>14672</v>
      </c>
      <c r="D91" s="68">
        <f t="shared" si="17"/>
        <v>127</v>
      </c>
      <c r="E91" s="68">
        <f t="shared" ref="E91:F91" si="149">D325</f>
        <v>1500</v>
      </c>
      <c r="F91" s="68">
        <f t="shared" si="149"/>
        <v>22008000</v>
      </c>
      <c r="G91" s="68">
        <f t="shared" si="19"/>
        <v>5605364</v>
      </c>
      <c r="H91" s="68">
        <f t="shared" si="20"/>
        <v>205882</v>
      </c>
      <c r="I91" s="68">
        <f t="shared" si="21"/>
        <v>9751</v>
      </c>
      <c r="J91" s="68">
        <f t="shared" si="22"/>
        <v>1500</v>
      </c>
      <c r="K91" s="68">
        <f t="shared" si="23"/>
        <v>14626500</v>
      </c>
      <c r="L91" s="68">
        <f t="shared" si="24"/>
        <v>42445746</v>
      </c>
      <c r="M91" s="68">
        <f t="shared" si="25"/>
        <v>0</v>
      </c>
    </row>
    <row r="92" hidden="1">
      <c r="A92" s="67">
        <f t="shared" ref="A92:C92" si="150">A326</f>
        <v>47969</v>
      </c>
      <c r="B92" s="103">
        <f t="shared" si="150"/>
        <v>2031</v>
      </c>
      <c r="C92" s="68">
        <f t="shared" si="150"/>
        <v>14789</v>
      </c>
      <c r="D92" s="68">
        <f t="shared" si="17"/>
        <v>130</v>
      </c>
      <c r="E92" s="68">
        <f t="shared" ref="E92:F92" si="151">D326</f>
        <v>1500</v>
      </c>
      <c r="F92" s="68">
        <f t="shared" si="151"/>
        <v>22183500</v>
      </c>
      <c r="G92" s="68">
        <f t="shared" si="19"/>
        <v>5348472</v>
      </c>
      <c r="H92" s="68">
        <f t="shared" si="20"/>
        <v>205882</v>
      </c>
      <c r="I92" s="68">
        <f t="shared" si="21"/>
        <v>9946</v>
      </c>
      <c r="J92" s="68">
        <f t="shared" si="22"/>
        <v>1500</v>
      </c>
      <c r="K92" s="68">
        <f t="shared" si="23"/>
        <v>14919000</v>
      </c>
      <c r="L92" s="68">
        <f t="shared" si="24"/>
        <v>42656854</v>
      </c>
      <c r="M92" s="68">
        <f t="shared" si="25"/>
        <v>0</v>
      </c>
    </row>
    <row r="93" hidden="1">
      <c r="A93" s="67">
        <f t="shared" ref="A93:C93" si="152">A327</f>
        <v>48000</v>
      </c>
      <c r="B93" s="103">
        <f t="shared" si="152"/>
        <v>2031</v>
      </c>
      <c r="C93" s="68">
        <f t="shared" si="152"/>
        <v>14907</v>
      </c>
      <c r="D93" s="68">
        <f t="shared" si="17"/>
        <v>132</v>
      </c>
      <c r="E93" s="68">
        <f t="shared" ref="E93:F93" si="153">D327</f>
        <v>1500</v>
      </c>
      <c r="F93" s="68">
        <f t="shared" si="153"/>
        <v>22360500</v>
      </c>
      <c r="G93" s="68">
        <f t="shared" si="19"/>
        <v>4885719</v>
      </c>
      <c r="H93" s="68">
        <f t="shared" si="20"/>
        <v>1286765</v>
      </c>
      <c r="I93" s="68">
        <f t="shared" si="21"/>
        <v>10145</v>
      </c>
      <c r="J93" s="68">
        <f t="shared" si="22"/>
        <v>1500</v>
      </c>
      <c r="K93" s="68">
        <f t="shared" si="23"/>
        <v>15217500</v>
      </c>
      <c r="L93" s="68">
        <f t="shared" si="24"/>
        <v>43750484</v>
      </c>
      <c r="M93" s="68">
        <f t="shared" si="25"/>
        <v>0</v>
      </c>
    </row>
    <row r="94" hidden="1">
      <c r="A94" s="67">
        <f t="shared" ref="A94:C94" si="154">A328</f>
        <v>48030</v>
      </c>
      <c r="B94" s="103">
        <f t="shared" si="154"/>
        <v>2031</v>
      </c>
      <c r="C94" s="68">
        <f t="shared" si="154"/>
        <v>15026</v>
      </c>
      <c r="D94" s="68">
        <f t="shared" si="17"/>
        <v>133</v>
      </c>
      <c r="E94" s="68">
        <f t="shared" ref="E94:F94" si="155">D328</f>
        <v>1500</v>
      </c>
      <c r="F94" s="68">
        <f t="shared" si="155"/>
        <v>22539000</v>
      </c>
      <c r="G94" s="68">
        <f t="shared" si="19"/>
        <v>4788074</v>
      </c>
      <c r="H94" s="68">
        <f t="shared" si="20"/>
        <v>205882</v>
      </c>
      <c r="I94" s="68">
        <f t="shared" si="21"/>
        <v>10348</v>
      </c>
      <c r="J94" s="68">
        <f t="shared" si="22"/>
        <v>1500</v>
      </c>
      <c r="K94" s="68">
        <f t="shared" si="23"/>
        <v>15522000</v>
      </c>
      <c r="L94" s="68">
        <f t="shared" si="24"/>
        <v>43054956</v>
      </c>
      <c r="M94" s="68">
        <f t="shared" si="25"/>
        <v>0</v>
      </c>
    </row>
    <row r="95" hidden="1">
      <c r="A95" s="67">
        <f t="shared" ref="A95:C95" si="156">A329</f>
        <v>48061</v>
      </c>
      <c r="B95" s="103">
        <f t="shared" si="156"/>
        <v>2031</v>
      </c>
      <c r="C95" s="68">
        <f t="shared" si="156"/>
        <v>15145</v>
      </c>
      <c r="D95" s="68">
        <f t="shared" si="17"/>
        <v>136</v>
      </c>
      <c r="E95" s="68">
        <f t="shared" ref="E95:F95" si="157">D329</f>
        <v>1500</v>
      </c>
      <c r="F95" s="68">
        <f t="shared" si="157"/>
        <v>22717500</v>
      </c>
      <c r="G95" s="68">
        <f t="shared" si="19"/>
        <v>4644479</v>
      </c>
      <c r="H95" s="68">
        <f t="shared" si="20"/>
        <v>205882</v>
      </c>
      <c r="I95" s="68">
        <f t="shared" si="21"/>
        <v>10555</v>
      </c>
      <c r="J95" s="68">
        <f t="shared" si="22"/>
        <v>1500</v>
      </c>
      <c r="K95" s="68">
        <f t="shared" si="23"/>
        <v>15832500</v>
      </c>
      <c r="L95" s="68">
        <f t="shared" si="24"/>
        <v>43400361</v>
      </c>
      <c r="M95" s="68">
        <f t="shared" si="25"/>
        <v>0</v>
      </c>
    </row>
    <row r="96" hidden="1">
      <c r="A96" s="67">
        <f t="shared" ref="A96:C96" si="158">A330</f>
        <v>48092</v>
      </c>
      <c r="B96" s="103">
        <f t="shared" si="158"/>
        <v>2031</v>
      </c>
      <c r="C96" s="68">
        <f t="shared" si="158"/>
        <v>15266</v>
      </c>
      <c r="D96" s="68">
        <f t="shared" si="17"/>
        <v>138</v>
      </c>
      <c r="E96" s="68">
        <f t="shared" ref="E96:F96" si="159">D330</f>
        <v>1500</v>
      </c>
      <c r="F96" s="68">
        <f t="shared" si="159"/>
        <v>22899000</v>
      </c>
      <c r="G96" s="68">
        <f t="shared" si="19"/>
        <v>4670770</v>
      </c>
      <c r="H96" s="68">
        <f t="shared" si="20"/>
        <v>1286765</v>
      </c>
      <c r="I96" s="68">
        <f t="shared" si="21"/>
        <v>10766</v>
      </c>
      <c r="J96" s="68">
        <f t="shared" si="22"/>
        <v>1500</v>
      </c>
      <c r="K96" s="68">
        <f t="shared" si="23"/>
        <v>16149000</v>
      </c>
      <c r="L96" s="68">
        <f t="shared" si="24"/>
        <v>45005535</v>
      </c>
      <c r="M96" s="68">
        <f t="shared" si="25"/>
        <v>0</v>
      </c>
    </row>
    <row r="97" hidden="1">
      <c r="A97" s="67">
        <f t="shared" ref="A97:C97" si="160">A331</f>
        <v>48122</v>
      </c>
      <c r="B97" s="103">
        <f t="shared" si="160"/>
        <v>2031</v>
      </c>
      <c r="C97" s="68">
        <f t="shared" si="160"/>
        <v>15388</v>
      </c>
      <c r="D97" s="68">
        <f t="shared" si="17"/>
        <v>138</v>
      </c>
      <c r="E97" s="68">
        <f t="shared" ref="E97:F97" si="161">D331</f>
        <v>1500</v>
      </c>
      <c r="F97" s="68">
        <f t="shared" si="161"/>
        <v>23082000</v>
      </c>
      <c r="G97" s="68">
        <f t="shared" si="19"/>
        <v>4712776</v>
      </c>
      <c r="H97" s="68">
        <f t="shared" si="20"/>
        <v>205882</v>
      </c>
      <c r="I97" s="68">
        <f t="shared" si="21"/>
        <v>10981</v>
      </c>
      <c r="J97" s="68">
        <f t="shared" si="22"/>
        <v>1500</v>
      </c>
      <c r="K97" s="68">
        <f t="shared" si="23"/>
        <v>16471500</v>
      </c>
      <c r="L97" s="68">
        <f t="shared" si="24"/>
        <v>44472158</v>
      </c>
      <c r="M97" s="68">
        <f t="shared" si="25"/>
        <v>0</v>
      </c>
    </row>
    <row r="98" hidden="1">
      <c r="A98" s="67">
        <f t="shared" ref="A98:C98" si="162">A332</f>
        <v>48153</v>
      </c>
      <c r="B98" s="103">
        <f t="shared" si="162"/>
        <v>2031</v>
      </c>
      <c r="C98" s="68">
        <f t="shared" si="162"/>
        <v>15511</v>
      </c>
      <c r="D98" s="68">
        <f t="shared" si="17"/>
        <v>140</v>
      </c>
      <c r="E98" s="68">
        <f t="shared" ref="E98:F98" si="163">D332</f>
        <v>1500</v>
      </c>
      <c r="F98" s="68">
        <f t="shared" si="163"/>
        <v>23266500</v>
      </c>
      <c r="G98" s="68">
        <f t="shared" si="19"/>
        <v>4854779</v>
      </c>
      <c r="H98" s="68">
        <f t="shared" si="20"/>
        <v>205882</v>
      </c>
      <c r="I98" s="68">
        <f t="shared" si="21"/>
        <v>11201</v>
      </c>
      <c r="J98" s="68">
        <f t="shared" si="22"/>
        <v>1500</v>
      </c>
      <c r="K98" s="68">
        <f t="shared" si="23"/>
        <v>16801500</v>
      </c>
      <c r="L98" s="68">
        <f t="shared" si="24"/>
        <v>45128661</v>
      </c>
      <c r="M98" s="68">
        <f t="shared" si="25"/>
        <v>0</v>
      </c>
    </row>
    <row r="99" hidden="1">
      <c r="A99" s="67">
        <f t="shared" ref="A99:C99" si="164">A333</f>
        <v>48183</v>
      </c>
      <c r="B99" s="103">
        <f t="shared" si="164"/>
        <v>2031</v>
      </c>
      <c r="C99" s="68">
        <f t="shared" si="164"/>
        <v>15634</v>
      </c>
      <c r="D99" s="68">
        <f t="shared" si="17"/>
        <v>142</v>
      </c>
      <c r="E99" s="68">
        <f t="shared" ref="E99:F99" si="165">D333</f>
        <v>1500</v>
      </c>
      <c r="F99" s="68">
        <f t="shared" si="165"/>
        <v>23451000</v>
      </c>
      <c r="G99" s="68">
        <f t="shared" si="19"/>
        <v>4993732</v>
      </c>
      <c r="H99" s="68">
        <f t="shared" si="20"/>
        <v>1492649</v>
      </c>
      <c r="I99" s="68">
        <f t="shared" si="21"/>
        <v>11425</v>
      </c>
      <c r="J99" s="68">
        <f t="shared" si="22"/>
        <v>1500</v>
      </c>
      <c r="K99" s="68">
        <f t="shared" si="23"/>
        <v>17137500</v>
      </c>
      <c r="L99" s="68">
        <f t="shared" si="24"/>
        <v>47074881</v>
      </c>
      <c r="M99" s="68">
        <f t="shared" si="25"/>
        <v>0</v>
      </c>
    </row>
    <row r="100" hidden="1">
      <c r="A100" s="67">
        <f t="shared" ref="A100:C100" si="166">A334</f>
        <v>48214</v>
      </c>
      <c r="B100" s="103">
        <f t="shared" si="166"/>
        <v>2032</v>
      </c>
      <c r="C100" s="68">
        <f t="shared" si="166"/>
        <v>15735</v>
      </c>
      <c r="D100" s="68">
        <f t="shared" si="17"/>
        <v>127</v>
      </c>
      <c r="E100" s="68">
        <f t="shared" ref="E100:F100" si="167">D334</f>
        <v>1500</v>
      </c>
      <c r="F100" s="68">
        <f t="shared" si="167"/>
        <v>23602500</v>
      </c>
      <c r="G100" s="68">
        <f t="shared" si="19"/>
        <v>6095936</v>
      </c>
      <c r="H100" s="68">
        <f t="shared" si="20"/>
        <v>205882</v>
      </c>
      <c r="I100" s="68">
        <f t="shared" si="21"/>
        <v>11654</v>
      </c>
      <c r="J100" s="68">
        <f t="shared" si="22"/>
        <v>1500</v>
      </c>
      <c r="K100" s="68">
        <f t="shared" si="23"/>
        <v>17481000</v>
      </c>
      <c r="L100" s="68">
        <f t="shared" si="24"/>
        <v>47385318</v>
      </c>
      <c r="M100" s="68">
        <f t="shared" si="25"/>
        <v>0</v>
      </c>
    </row>
    <row r="101" hidden="1">
      <c r="A101" s="67">
        <f t="shared" ref="A101:C101" si="168">A335</f>
        <v>48245</v>
      </c>
      <c r="B101" s="103">
        <f t="shared" si="168"/>
        <v>2032</v>
      </c>
      <c r="C101" s="68">
        <f t="shared" si="168"/>
        <v>15836</v>
      </c>
      <c r="D101" s="68">
        <f t="shared" si="17"/>
        <v>129</v>
      </c>
      <c r="E101" s="68">
        <f t="shared" ref="E101:F101" si="169">D335</f>
        <v>1500</v>
      </c>
      <c r="F101" s="68">
        <f t="shared" si="169"/>
        <v>23754000</v>
      </c>
      <c r="G101" s="68">
        <f t="shared" si="19"/>
        <v>6146609</v>
      </c>
      <c r="H101" s="68">
        <f t="shared" si="20"/>
        <v>205882</v>
      </c>
      <c r="I101" s="68">
        <f t="shared" si="21"/>
        <v>11887</v>
      </c>
      <c r="J101" s="68">
        <f t="shared" si="22"/>
        <v>1500</v>
      </c>
      <c r="K101" s="68">
        <f t="shared" si="23"/>
        <v>17830500</v>
      </c>
      <c r="L101" s="68">
        <f t="shared" si="24"/>
        <v>47936991</v>
      </c>
      <c r="M101" s="68">
        <f t="shared" si="25"/>
        <v>0</v>
      </c>
    </row>
    <row r="102" hidden="1">
      <c r="A102" s="67">
        <f t="shared" ref="A102:C102" si="170">A336</f>
        <v>48274</v>
      </c>
      <c r="B102" s="103">
        <f t="shared" si="170"/>
        <v>2032</v>
      </c>
      <c r="C102" s="68">
        <f t="shared" si="170"/>
        <v>15938</v>
      </c>
      <c r="D102" s="68">
        <f t="shared" si="17"/>
        <v>132</v>
      </c>
      <c r="E102" s="68">
        <f t="shared" ref="E102:F102" si="171">D336</f>
        <v>1500</v>
      </c>
      <c r="F102" s="68">
        <f t="shared" si="171"/>
        <v>23907000</v>
      </c>
      <c r="G102" s="68">
        <f t="shared" si="19"/>
        <v>5888510</v>
      </c>
      <c r="H102" s="68">
        <f t="shared" si="20"/>
        <v>1286765</v>
      </c>
      <c r="I102" s="68">
        <f t="shared" si="21"/>
        <v>12125</v>
      </c>
      <c r="J102" s="68">
        <f t="shared" si="22"/>
        <v>1500</v>
      </c>
      <c r="K102" s="68">
        <f t="shared" si="23"/>
        <v>18187500</v>
      </c>
      <c r="L102" s="68">
        <f t="shared" si="24"/>
        <v>49269775</v>
      </c>
      <c r="M102" s="68">
        <f t="shared" si="25"/>
        <v>0</v>
      </c>
    </row>
    <row r="103" hidden="1">
      <c r="A103" s="67">
        <f t="shared" ref="A103:C103" si="172">A337</f>
        <v>48305</v>
      </c>
      <c r="B103" s="103">
        <f t="shared" si="172"/>
        <v>2032</v>
      </c>
      <c r="C103" s="68">
        <f t="shared" si="172"/>
        <v>16040</v>
      </c>
      <c r="D103" s="68">
        <f t="shared" si="17"/>
        <v>133</v>
      </c>
      <c r="E103" s="68">
        <f t="shared" ref="E103:F103" si="173">D337</f>
        <v>1500</v>
      </c>
      <c r="F103" s="68">
        <f t="shared" si="173"/>
        <v>24060000</v>
      </c>
      <c r="G103" s="68">
        <f t="shared" si="19"/>
        <v>5870184</v>
      </c>
      <c r="H103" s="68">
        <f t="shared" si="20"/>
        <v>205882</v>
      </c>
      <c r="I103" s="68">
        <f t="shared" si="21"/>
        <v>12368</v>
      </c>
      <c r="J103" s="68">
        <f t="shared" si="22"/>
        <v>1500</v>
      </c>
      <c r="K103" s="68">
        <f t="shared" si="23"/>
        <v>18552000</v>
      </c>
      <c r="L103" s="68">
        <f t="shared" si="24"/>
        <v>48688066</v>
      </c>
      <c r="M103" s="68">
        <f t="shared" si="25"/>
        <v>0</v>
      </c>
    </row>
    <row r="104" hidden="1">
      <c r="A104" s="67">
        <f t="shared" ref="A104:C104" si="174">A338</f>
        <v>48335</v>
      </c>
      <c r="B104" s="103">
        <f t="shared" si="174"/>
        <v>2032</v>
      </c>
      <c r="C104" s="68">
        <f t="shared" si="174"/>
        <v>16143</v>
      </c>
      <c r="D104" s="68">
        <f t="shared" si="17"/>
        <v>136</v>
      </c>
      <c r="E104" s="68">
        <f t="shared" ref="E104:F104" si="175">D338</f>
        <v>1500</v>
      </c>
      <c r="F104" s="68">
        <f t="shared" si="175"/>
        <v>24214500</v>
      </c>
      <c r="G104" s="68">
        <f t="shared" si="19"/>
        <v>5595325</v>
      </c>
      <c r="H104" s="68">
        <f t="shared" si="20"/>
        <v>205882</v>
      </c>
      <c r="I104" s="68">
        <f t="shared" si="21"/>
        <v>12615</v>
      </c>
      <c r="J104" s="68">
        <f t="shared" si="22"/>
        <v>1500</v>
      </c>
      <c r="K104" s="68">
        <f t="shared" si="23"/>
        <v>18922500</v>
      </c>
      <c r="L104" s="68">
        <f t="shared" si="24"/>
        <v>48938207</v>
      </c>
      <c r="M104" s="68">
        <f t="shared" si="25"/>
        <v>0</v>
      </c>
    </row>
    <row r="105" hidden="1">
      <c r="A105" s="67">
        <f t="shared" ref="A105:C105" si="176">A339</f>
        <v>48366</v>
      </c>
      <c r="B105" s="103">
        <f t="shared" si="176"/>
        <v>2032</v>
      </c>
      <c r="C105" s="68">
        <f t="shared" si="176"/>
        <v>16247</v>
      </c>
      <c r="D105" s="68">
        <f t="shared" si="17"/>
        <v>138</v>
      </c>
      <c r="E105" s="68">
        <f t="shared" ref="E105:F105" si="177">D339</f>
        <v>1500</v>
      </c>
      <c r="F105" s="68">
        <f t="shared" si="177"/>
        <v>24370500</v>
      </c>
      <c r="G105" s="68">
        <f t="shared" si="19"/>
        <v>5107797</v>
      </c>
      <c r="H105" s="68">
        <f t="shared" si="20"/>
        <v>1286765</v>
      </c>
      <c r="I105" s="68">
        <f t="shared" si="21"/>
        <v>12867</v>
      </c>
      <c r="J105" s="68">
        <f t="shared" si="22"/>
        <v>1500</v>
      </c>
      <c r="K105" s="68">
        <f t="shared" si="23"/>
        <v>19300500</v>
      </c>
      <c r="L105" s="68">
        <f t="shared" si="24"/>
        <v>50065562</v>
      </c>
      <c r="M105" s="68">
        <f t="shared" si="25"/>
        <v>0</v>
      </c>
    </row>
    <row r="106" hidden="1">
      <c r="A106" s="67">
        <f t="shared" ref="A106:C106" si="178">A340</f>
        <v>48396</v>
      </c>
      <c r="B106" s="103">
        <f t="shared" si="178"/>
        <v>2032</v>
      </c>
      <c r="C106" s="68">
        <f t="shared" si="178"/>
        <v>16352</v>
      </c>
      <c r="D106" s="68">
        <f t="shared" si="17"/>
        <v>139</v>
      </c>
      <c r="E106" s="68">
        <f t="shared" ref="E106:F106" si="179">D340</f>
        <v>1500</v>
      </c>
      <c r="F106" s="68">
        <f t="shared" si="179"/>
        <v>24528000</v>
      </c>
      <c r="G106" s="68">
        <f t="shared" si="19"/>
        <v>5004077</v>
      </c>
      <c r="H106" s="68">
        <f t="shared" si="20"/>
        <v>205882</v>
      </c>
      <c r="I106" s="68">
        <f t="shared" si="21"/>
        <v>13124</v>
      </c>
      <c r="J106" s="68">
        <f t="shared" si="22"/>
        <v>1500</v>
      </c>
      <c r="K106" s="68">
        <f t="shared" si="23"/>
        <v>19686000</v>
      </c>
      <c r="L106" s="68">
        <f t="shared" si="24"/>
        <v>49423959</v>
      </c>
      <c r="M106" s="68">
        <f t="shared" si="25"/>
        <v>0</v>
      </c>
    </row>
    <row r="107" hidden="1">
      <c r="A107" s="67">
        <f t="shared" ref="A107:C107" si="180">A341</f>
        <v>48427</v>
      </c>
      <c r="B107" s="103">
        <f t="shared" si="180"/>
        <v>2032</v>
      </c>
      <c r="C107" s="68">
        <f t="shared" si="180"/>
        <v>16457</v>
      </c>
      <c r="D107" s="68">
        <f t="shared" si="17"/>
        <v>142</v>
      </c>
      <c r="E107" s="68">
        <f t="shared" ref="E107:F107" si="181">D341</f>
        <v>1500</v>
      </c>
      <c r="F107" s="68">
        <f t="shared" si="181"/>
        <v>24685500</v>
      </c>
      <c r="G107" s="68">
        <f t="shared" si="19"/>
        <v>4849382</v>
      </c>
      <c r="H107" s="68">
        <f t="shared" si="20"/>
        <v>205882</v>
      </c>
      <c r="I107" s="68">
        <f t="shared" si="21"/>
        <v>13386</v>
      </c>
      <c r="J107" s="68">
        <f t="shared" si="22"/>
        <v>1500</v>
      </c>
      <c r="K107" s="68">
        <f t="shared" si="23"/>
        <v>20079000</v>
      </c>
      <c r="L107" s="68">
        <f t="shared" si="24"/>
        <v>49819764</v>
      </c>
      <c r="M107" s="68">
        <f t="shared" si="25"/>
        <v>0</v>
      </c>
    </row>
    <row r="108" hidden="1">
      <c r="A108" s="67">
        <f t="shared" ref="A108:C108" si="182">A342</f>
        <v>48458</v>
      </c>
      <c r="B108" s="103">
        <f t="shared" si="182"/>
        <v>2032</v>
      </c>
      <c r="C108" s="68">
        <f t="shared" si="182"/>
        <v>16563</v>
      </c>
      <c r="D108" s="68">
        <f t="shared" si="17"/>
        <v>144</v>
      </c>
      <c r="E108" s="68">
        <f t="shared" ref="E108:F108" si="183">D342</f>
        <v>1500</v>
      </c>
      <c r="F108" s="68">
        <f t="shared" si="183"/>
        <v>24844500</v>
      </c>
      <c r="G108" s="68">
        <f t="shared" si="19"/>
        <v>4873847</v>
      </c>
      <c r="H108" s="68">
        <f t="shared" si="20"/>
        <v>1286765</v>
      </c>
      <c r="I108" s="68">
        <f t="shared" si="21"/>
        <v>13654</v>
      </c>
      <c r="J108" s="68">
        <f t="shared" si="22"/>
        <v>1500</v>
      </c>
      <c r="K108" s="68">
        <f t="shared" si="23"/>
        <v>20481000</v>
      </c>
      <c r="L108" s="68">
        <f t="shared" si="24"/>
        <v>51486112</v>
      </c>
      <c r="M108" s="68">
        <f t="shared" si="25"/>
        <v>0</v>
      </c>
    </row>
    <row r="109" hidden="1">
      <c r="A109" s="67">
        <f t="shared" ref="A109:C109" si="184">A343</f>
        <v>48488</v>
      </c>
      <c r="B109" s="103">
        <f t="shared" si="184"/>
        <v>2032</v>
      </c>
      <c r="C109" s="68">
        <f t="shared" si="184"/>
        <v>16670</v>
      </c>
      <c r="D109" s="68">
        <f t="shared" si="17"/>
        <v>144</v>
      </c>
      <c r="E109" s="68">
        <f t="shared" ref="E109:F109" si="185">D343</f>
        <v>1500</v>
      </c>
      <c r="F109" s="68">
        <f t="shared" si="185"/>
        <v>25005000</v>
      </c>
      <c r="G109" s="68">
        <f t="shared" si="19"/>
        <v>4917679</v>
      </c>
      <c r="H109" s="68">
        <f t="shared" si="20"/>
        <v>205882</v>
      </c>
      <c r="I109" s="68">
        <f t="shared" si="21"/>
        <v>13927</v>
      </c>
      <c r="J109" s="68">
        <f t="shared" si="22"/>
        <v>1500</v>
      </c>
      <c r="K109" s="68">
        <f t="shared" si="23"/>
        <v>20890500</v>
      </c>
      <c r="L109" s="68">
        <f t="shared" si="24"/>
        <v>51019061</v>
      </c>
      <c r="M109" s="68">
        <f t="shared" si="25"/>
        <v>0</v>
      </c>
    </row>
    <row r="110" hidden="1">
      <c r="A110" s="67">
        <f t="shared" ref="A110:C110" si="186">A344</f>
        <v>48519</v>
      </c>
      <c r="B110" s="103">
        <f t="shared" si="186"/>
        <v>2032</v>
      </c>
      <c r="C110" s="68">
        <f t="shared" si="186"/>
        <v>16777</v>
      </c>
      <c r="D110" s="68">
        <f t="shared" si="17"/>
        <v>146</v>
      </c>
      <c r="E110" s="68">
        <f t="shared" ref="E110:F110" si="187">D344</f>
        <v>1500</v>
      </c>
      <c r="F110" s="68">
        <f t="shared" si="187"/>
        <v>25165500</v>
      </c>
      <c r="G110" s="68">
        <f t="shared" si="19"/>
        <v>5062841</v>
      </c>
      <c r="H110" s="68">
        <f t="shared" si="20"/>
        <v>205882</v>
      </c>
      <c r="I110" s="68">
        <f t="shared" si="21"/>
        <v>14206</v>
      </c>
      <c r="J110" s="68">
        <f t="shared" si="22"/>
        <v>1500</v>
      </c>
      <c r="K110" s="68">
        <f t="shared" si="23"/>
        <v>21309000</v>
      </c>
      <c r="L110" s="68">
        <f t="shared" si="24"/>
        <v>51743223</v>
      </c>
      <c r="M110" s="68">
        <f t="shared" si="25"/>
        <v>0</v>
      </c>
    </row>
    <row r="111" hidden="1">
      <c r="A111" s="67">
        <f t="shared" ref="A111:C111" si="188">A345</f>
        <v>48549</v>
      </c>
      <c r="B111" s="103">
        <f t="shared" si="188"/>
        <v>2032</v>
      </c>
      <c r="C111" s="68">
        <f t="shared" si="188"/>
        <v>16885</v>
      </c>
      <c r="D111" s="68">
        <f t="shared" si="17"/>
        <v>148</v>
      </c>
      <c r="E111" s="68">
        <f t="shared" ref="E111:F111" si="189">D345</f>
        <v>1500</v>
      </c>
      <c r="F111" s="68">
        <f t="shared" si="189"/>
        <v>25327500</v>
      </c>
      <c r="G111" s="68">
        <f t="shared" si="19"/>
        <v>5204735</v>
      </c>
      <c r="H111" s="68">
        <f t="shared" si="20"/>
        <v>1492649</v>
      </c>
      <c r="I111" s="68">
        <f t="shared" si="21"/>
        <v>14490</v>
      </c>
      <c r="J111" s="68">
        <f t="shared" si="22"/>
        <v>1500</v>
      </c>
      <c r="K111" s="68">
        <f t="shared" si="23"/>
        <v>21735000</v>
      </c>
      <c r="L111" s="68">
        <f t="shared" si="24"/>
        <v>53759884</v>
      </c>
      <c r="M111" s="68">
        <f t="shared" si="25"/>
        <v>0</v>
      </c>
    </row>
    <row r="112" hidden="1"/>
    <row r="113" hidden="1">
      <c r="A113" s="16" t="s">
        <v>585</v>
      </c>
    </row>
    <row r="114" hidden="1">
      <c r="A114" s="16" t="s">
        <v>586</v>
      </c>
    </row>
    <row r="115" hidden="1"/>
    <row r="116" hidden="1">
      <c r="A116" s="16" t="s">
        <v>587</v>
      </c>
    </row>
    <row r="117" hidden="1">
      <c r="A117" s="16" t="s">
        <v>588</v>
      </c>
    </row>
    <row r="118" hidden="1"/>
    <row r="119" hidden="1"/>
    <row r="120" hidden="1"/>
    <row r="121" hidden="1">
      <c r="A121" s="16" t="s">
        <v>589</v>
      </c>
    </row>
    <row r="122" hidden="1">
      <c r="A122" s="16" t="s">
        <v>590</v>
      </c>
    </row>
    <row r="123" hidden="1">
      <c r="A123" s="16" t="s">
        <v>2</v>
      </c>
      <c r="B123" s="16" t="s">
        <v>235</v>
      </c>
      <c r="C123" s="16" t="s">
        <v>338</v>
      </c>
      <c r="D123" s="16" t="s">
        <v>591</v>
      </c>
      <c r="E123" s="16" t="s">
        <v>592</v>
      </c>
      <c r="F123" s="16" t="s">
        <v>593</v>
      </c>
      <c r="G123" s="16" t="s">
        <v>594</v>
      </c>
      <c r="H123" s="16" t="s">
        <v>595</v>
      </c>
      <c r="I123" s="16" t="s">
        <v>464</v>
      </c>
      <c r="J123" s="16" t="s">
        <v>596</v>
      </c>
      <c r="K123" s="16" t="s">
        <v>597</v>
      </c>
      <c r="L123" s="16" t="s">
        <v>598</v>
      </c>
      <c r="M123" s="16" t="s">
        <v>599</v>
      </c>
    </row>
    <row r="124" hidden="1">
      <c r="A124" s="16">
        <v>43101.0</v>
      </c>
      <c r="B124" s="16">
        <v>0.0</v>
      </c>
      <c r="C124" s="16">
        <v>0.0</v>
      </c>
      <c r="D124" s="16">
        <v>0.0</v>
      </c>
      <c r="E124" s="27">
        <f t="shared" ref="E124:E163" si="190">ROUND(B124*D124,0)+L124</f>
        <v>0</v>
      </c>
      <c r="F124" s="16">
        <v>0.0</v>
      </c>
      <c r="G124" s="16">
        <v>0.0</v>
      </c>
      <c r="H124" s="27">
        <f t="shared" ref="H124:H163" si="191">SUM(E124:G124)</f>
        <v>0</v>
      </c>
      <c r="I124" s="16">
        <v>0.0</v>
      </c>
      <c r="J124" s="16">
        <v>0.0</v>
      </c>
      <c r="K124" s="27">
        <f t="shared" ref="K124:K135" si="192">IFERROR(F124/(SUM($F$124:$F$135)/12),0)</f>
        <v>0</v>
      </c>
      <c r="L124" s="16">
        <v>0.0</v>
      </c>
      <c r="M124" s="27">
        <f t="shared" ref="M124:M163" si="193">H124-SUM(E124:G124)</f>
        <v>0</v>
      </c>
    </row>
    <row r="125" hidden="1">
      <c r="A125" s="16">
        <v>43132.0</v>
      </c>
      <c r="B125" s="16">
        <v>0.0</v>
      </c>
      <c r="C125" s="16">
        <v>0.0</v>
      </c>
      <c r="D125" s="16">
        <v>0.0</v>
      </c>
      <c r="E125" s="27">
        <f t="shared" si="190"/>
        <v>0</v>
      </c>
      <c r="F125" s="16">
        <v>0.0</v>
      </c>
      <c r="G125" s="16">
        <v>0.0</v>
      </c>
      <c r="H125" s="27">
        <f t="shared" si="191"/>
        <v>0</v>
      </c>
      <c r="I125" s="16">
        <v>0.0</v>
      </c>
      <c r="J125" s="16">
        <v>0.0</v>
      </c>
      <c r="K125" s="27">
        <f t="shared" si="192"/>
        <v>0</v>
      </c>
      <c r="L125" s="16">
        <v>0.0</v>
      </c>
      <c r="M125" s="27">
        <f t="shared" si="193"/>
        <v>0</v>
      </c>
    </row>
    <row r="126" hidden="1">
      <c r="A126" s="16">
        <v>43160.0</v>
      </c>
      <c r="B126" s="16">
        <v>0.0</v>
      </c>
      <c r="C126" s="16">
        <v>0.0</v>
      </c>
      <c r="D126" s="16">
        <v>0.0</v>
      </c>
      <c r="E126" s="27">
        <f t="shared" si="190"/>
        <v>0</v>
      </c>
      <c r="F126" s="16">
        <v>0.0</v>
      </c>
      <c r="G126" s="16">
        <v>0.0</v>
      </c>
      <c r="H126" s="27">
        <f t="shared" si="191"/>
        <v>0</v>
      </c>
      <c r="I126" s="16">
        <v>0.0</v>
      </c>
      <c r="J126" s="16">
        <v>0.0</v>
      </c>
      <c r="K126" s="27">
        <f t="shared" si="192"/>
        <v>0</v>
      </c>
      <c r="L126" s="16">
        <v>0.0</v>
      </c>
      <c r="M126" s="27">
        <f t="shared" si="193"/>
        <v>0</v>
      </c>
    </row>
    <row r="127" hidden="1">
      <c r="A127" s="16">
        <v>43191.0</v>
      </c>
      <c r="B127" s="16">
        <v>0.0</v>
      </c>
      <c r="C127" s="16">
        <v>0.0</v>
      </c>
      <c r="D127" s="16">
        <v>0.0</v>
      </c>
      <c r="E127" s="27">
        <f t="shared" si="190"/>
        <v>0</v>
      </c>
      <c r="F127" s="16">
        <v>0.0</v>
      </c>
      <c r="G127" s="16">
        <v>0.0</v>
      </c>
      <c r="H127" s="27">
        <f t="shared" si="191"/>
        <v>0</v>
      </c>
      <c r="I127" s="16">
        <v>0.0</v>
      </c>
      <c r="J127" s="16">
        <v>0.0</v>
      </c>
      <c r="K127" s="27">
        <f t="shared" si="192"/>
        <v>0</v>
      </c>
      <c r="L127" s="16">
        <v>0.0</v>
      </c>
      <c r="M127" s="27">
        <f t="shared" si="193"/>
        <v>0</v>
      </c>
    </row>
    <row r="128" hidden="1">
      <c r="A128" s="16">
        <v>43221.0</v>
      </c>
      <c r="B128" s="16">
        <v>0.0</v>
      </c>
      <c r="C128" s="16">
        <v>0.0</v>
      </c>
      <c r="D128" s="16">
        <v>0.0</v>
      </c>
      <c r="E128" s="27">
        <f t="shared" si="190"/>
        <v>0</v>
      </c>
      <c r="F128" s="16">
        <v>0.0</v>
      </c>
      <c r="G128" s="16">
        <v>0.0</v>
      </c>
      <c r="H128" s="27">
        <f t="shared" si="191"/>
        <v>0</v>
      </c>
      <c r="I128" s="16">
        <v>0.0</v>
      </c>
      <c r="J128" s="16">
        <v>0.0</v>
      </c>
      <c r="K128" s="27">
        <f t="shared" si="192"/>
        <v>0</v>
      </c>
      <c r="L128" s="16">
        <v>0.0</v>
      </c>
      <c r="M128" s="27">
        <f t="shared" si="193"/>
        <v>0</v>
      </c>
    </row>
    <row r="129" hidden="1">
      <c r="A129" s="16">
        <v>43252.0</v>
      </c>
      <c r="B129" s="16">
        <v>0.0</v>
      </c>
      <c r="C129" s="16">
        <v>0.0</v>
      </c>
      <c r="D129" s="16">
        <v>0.0</v>
      </c>
      <c r="E129" s="27">
        <f t="shared" si="190"/>
        <v>0</v>
      </c>
      <c r="F129" s="16">
        <v>0.0</v>
      </c>
      <c r="G129" s="16">
        <v>0.0</v>
      </c>
      <c r="H129" s="27">
        <f t="shared" si="191"/>
        <v>0</v>
      </c>
      <c r="I129" s="16">
        <v>0.0</v>
      </c>
      <c r="J129" s="16">
        <v>0.0</v>
      </c>
      <c r="K129" s="27">
        <f t="shared" si="192"/>
        <v>0</v>
      </c>
      <c r="L129" s="16">
        <v>0.0</v>
      </c>
      <c r="M129" s="27">
        <f t="shared" si="193"/>
        <v>0</v>
      </c>
    </row>
    <row r="130" hidden="1">
      <c r="A130" s="16">
        <v>43282.0</v>
      </c>
      <c r="B130" s="16">
        <v>0.0</v>
      </c>
      <c r="C130" s="16">
        <v>0.0</v>
      </c>
      <c r="D130" s="16">
        <v>0.0</v>
      </c>
      <c r="E130" s="27">
        <f t="shared" si="190"/>
        <v>0</v>
      </c>
      <c r="F130" s="16">
        <v>0.0</v>
      </c>
      <c r="G130" s="16">
        <v>0.0</v>
      </c>
      <c r="H130" s="27">
        <f t="shared" si="191"/>
        <v>0</v>
      </c>
      <c r="I130" s="16">
        <v>0.0</v>
      </c>
      <c r="J130" s="16">
        <v>0.0</v>
      </c>
      <c r="K130" s="27">
        <f t="shared" si="192"/>
        <v>0</v>
      </c>
      <c r="L130" s="16">
        <v>0.0</v>
      </c>
      <c r="M130" s="27">
        <f t="shared" si="193"/>
        <v>0</v>
      </c>
    </row>
    <row r="131" hidden="1">
      <c r="A131" s="16">
        <v>43313.0</v>
      </c>
      <c r="B131" s="16">
        <v>0.0</v>
      </c>
      <c r="C131" s="16">
        <v>0.0</v>
      </c>
      <c r="D131" s="16">
        <v>0.0</v>
      </c>
      <c r="E131" s="27">
        <f t="shared" si="190"/>
        <v>0</v>
      </c>
      <c r="F131" s="16">
        <v>0.0</v>
      </c>
      <c r="G131" s="16">
        <v>0.0</v>
      </c>
      <c r="H131" s="27">
        <f t="shared" si="191"/>
        <v>0</v>
      </c>
      <c r="I131" s="16">
        <v>0.0</v>
      </c>
      <c r="J131" s="16">
        <v>0.0</v>
      </c>
      <c r="K131" s="27">
        <f t="shared" si="192"/>
        <v>0</v>
      </c>
      <c r="L131" s="16">
        <v>0.0</v>
      </c>
      <c r="M131" s="27">
        <f t="shared" si="193"/>
        <v>0</v>
      </c>
    </row>
    <row r="132" hidden="1">
      <c r="A132" s="16">
        <v>43344.0</v>
      </c>
      <c r="B132" s="16">
        <v>0.0</v>
      </c>
      <c r="C132" s="16">
        <v>0.0</v>
      </c>
      <c r="D132" s="16">
        <v>0.0</v>
      </c>
      <c r="E132" s="27">
        <f t="shared" si="190"/>
        <v>0</v>
      </c>
      <c r="F132" s="16">
        <v>0.0</v>
      </c>
      <c r="G132" s="16">
        <v>0.0</v>
      </c>
      <c r="H132" s="27">
        <f t="shared" si="191"/>
        <v>0</v>
      </c>
      <c r="I132" s="16">
        <v>0.0</v>
      </c>
      <c r="J132" s="16">
        <v>0.0</v>
      </c>
      <c r="K132" s="27">
        <f t="shared" si="192"/>
        <v>0</v>
      </c>
      <c r="L132" s="16">
        <v>0.0</v>
      </c>
      <c r="M132" s="27">
        <f t="shared" si="193"/>
        <v>0</v>
      </c>
    </row>
    <row r="133" hidden="1">
      <c r="A133" s="16">
        <v>43374.0</v>
      </c>
      <c r="B133" s="16">
        <v>0.0</v>
      </c>
      <c r="C133" s="16">
        <v>0.0</v>
      </c>
      <c r="D133" s="16">
        <v>0.0</v>
      </c>
      <c r="E133" s="27">
        <f t="shared" si="190"/>
        <v>0</v>
      </c>
      <c r="F133" s="16">
        <v>0.0</v>
      </c>
      <c r="G133" s="16">
        <v>0.0</v>
      </c>
      <c r="H133" s="27">
        <f t="shared" si="191"/>
        <v>0</v>
      </c>
      <c r="I133" s="16">
        <v>0.0</v>
      </c>
      <c r="J133" s="16">
        <v>0.0</v>
      </c>
      <c r="K133" s="27">
        <f t="shared" si="192"/>
        <v>0</v>
      </c>
      <c r="L133" s="16">
        <v>0.0</v>
      </c>
      <c r="M133" s="27">
        <f t="shared" si="193"/>
        <v>0</v>
      </c>
    </row>
    <row r="134" hidden="1">
      <c r="A134" s="16">
        <v>43405.0</v>
      </c>
      <c r="B134" s="16">
        <v>0.0</v>
      </c>
      <c r="C134" s="16">
        <v>0.0</v>
      </c>
      <c r="D134" s="16">
        <v>0.0</v>
      </c>
      <c r="E134" s="27">
        <f t="shared" si="190"/>
        <v>0</v>
      </c>
      <c r="F134" s="16">
        <v>0.0</v>
      </c>
      <c r="G134" s="16">
        <v>0.0</v>
      </c>
      <c r="H134" s="27">
        <f t="shared" si="191"/>
        <v>0</v>
      </c>
      <c r="I134" s="16">
        <v>0.0</v>
      </c>
      <c r="J134" s="16">
        <v>0.0</v>
      </c>
      <c r="K134" s="27">
        <f t="shared" si="192"/>
        <v>0</v>
      </c>
      <c r="L134" s="16">
        <v>0.0</v>
      </c>
      <c r="M134" s="27">
        <f t="shared" si="193"/>
        <v>0</v>
      </c>
    </row>
    <row r="135" hidden="1">
      <c r="A135" s="16">
        <v>43435.0</v>
      </c>
      <c r="B135" s="16">
        <v>0.0</v>
      </c>
      <c r="C135" s="16">
        <v>0.0</v>
      </c>
      <c r="D135" s="16">
        <v>0.0</v>
      </c>
      <c r="E135" s="27">
        <f t="shared" si="190"/>
        <v>0</v>
      </c>
      <c r="F135" s="16">
        <v>0.0</v>
      </c>
      <c r="G135" s="16">
        <v>0.0</v>
      </c>
      <c r="H135" s="27">
        <f t="shared" si="191"/>
        <v>0</v>
      </c>
      <c r="I135" s="16">
        <v>0.0</v>
      </c>
      <c r="J135" s="16">
        <v>0.0</v>
      </c>
      <c r="K135" s="27">
        <f t="shared" si="192"/>
        <v>0</v>
      </c>
      <c r="L135" s="16">
        <v>0.0</v>
      </c>
      <c r="M135" s="27">
        <f t="shared" si="193"/>
        <v>0</v>
      </c>
    </row>
    <row r="136" hidden="1">
      <c r="A136" s="16">
        <v>43466.0</v>
      </c>
      <c r="B136" s="16">
        <v>0.0</v>
      </c>
      <c r="C136" s="16">
        <v>0.0</v>
      </c>
      <c r="D136" s="16">
        <v>0.0</v>
      </c>
      <c r="E136" s="27">
        <f t="shared" si="190"/>
        <v>0</v>
      </c>
      <c r="F136" s="16">
        <v>25277.0</v>
      </c>
      <c r="G136" s="16">
        <v>2941.0</v>
      </c>
      <c r="H136" s="27">
        <f t="shared" si="191"/>
        <v>28218</v>
      </c>
      <c r="I136" s="16">
        <v>0.0</v>
      </c>
      <c r="J136" s="16">
        <v>0.0</v>
      </c>
      <c r="K136" s="27">
        <f t="shared" ref="K136:K147" si="194">IFERROR(F136/(SUM($F$136:$F$147)/12),0)</f>
        <v>1.01108</v>
      </c>
      <c r="L136" s="16">
        <v>0.0</v>
      </c>
      <c r="M136" s="27">
        <f t="shared" si="193"/>
        <v>0</v>
      </c>
    </row>
    <row r="137" hidden="1">
      <c r="A137" s="16">
        <v>43497.0</v>
      </c>
      <c r="B137" s="16">
        <v>0.0</v>
      </c>
      <c r="C137" s="16">
        <v>0.0</v>
      </c>
      <c r="D137" s="16">
        <v>0.0</v>
      </c>
      <c r="E137" s="27">
        <f t="shared" si="190"/>
        <v>0</v>
      </c>
      <c r="F137" s="16">
        <v>25835.0</v>
      </c>
      <c r="G137" s="16">
        <v>2941.0</v>
      </c>
      <c r="H137" s="27">
        <f t="shared" si="191"/>
        <v>28776</v>
      </c>
      <c r="I137" s="16">
        <v>0.0</v>
      </c>
      <c r="J137" s="16">
        <v>0.0</v>
      </c>
      <c r="K137" s="27">
        <f t="shared" si="194"/>
        <v>1.0334</v>
      </c>
      <c r="L137" s="16">
        <v>0.0</v>
      </c>
      <c r="M137" s="27">
        <f t="shared" si="193"/>
        <v>0</v>
      </c>
    </row>
    <row r="138" hidden="1">
      <c r="A138" s="16">
        <v>43525.0</v>
      </c>
      <c r="B138" s="16">
        <v>0.0</v>
      </c>
      <c r="C138" s="16">
        <v>0.0</v>
      </c>
      <c r="D138" s="16">
        <v>0.0</v>
      </c>
      <c r="E138" s="27">
        <f t="shared" si="190"/>
        <v>0</v>
      </c>
      <c r="F138" s="16">
        <v>25833.0</v>
      </c>
      <c r="G138" s="16">
        <v>18382.0</v>
      </c>
      <c r="H138" s="27">
        <f t="shared" si="191"/>
        <v>44215</v>
      </c>
      <c r="I138" s="16">
        <v>0.0</v>
      </c>
      <c r="J138" s="16">
        <v>0.0</v>
      </c>
      <c r="K138" s="27">
        <f t="shared" si="194"/>
        <v>1.03332</v>
      </c>
      <c r="L138" s="16">
        <v>0.0</v>
      </c>
      <c r="M138" s="27">
        <f t="shared" si="193"/>
        <v>0</v>
      </c>
    </row>
    <row r="139" hidden="1">
      <c r="A139" s="16">
        <v>43556.0</v>
      </c>
      <c r="B139" s="16">
        <v>0.0</v>
      </c>
      <c r="C139" s="16">
        <v>0.0</v>
      </c>
      <c r="D139" s="16">
        <v>0.0</v>
      </c>
      <c r="E139" s="27">
        <f t="shared" si="190"/>
        <v>0</v>
      </c>
      <c r="F139" s="16">
        <v>25348.0</v>
      </c>
      <c r="G139" s="16">
        <v>2941.0</v>
      </c>
      <c r="H139" s="27">
        <f t="shared" si="191"/>
        <v>28289</v>
      </c>
      <c r="I139" s="16">
        <v>0.0</v>
      </c>
      <c r="J139" s="16">
        <v>0.0</v>
      </c>
      <c r="K139" s="27">
        <f t="shared" si="194"/>
        <v>1.01392</v>
      </c>
      <c r="L139" s="16">
        <v>0.0</v>
      </c>
      <c r="M139" s="27">
        <f t="shared" si="193"/>
        <v>0</v>
      </c>
    </row>
    <row r="140" hidden="1">
      <c r="A140" s="16">
        <v>43586.0</v>
      </c>
      <c r="B140" s="16">
        <v>0.0</v>
      </c>
      <c r="C140" s="16">
        <v>0.0</v>
      </c>
      <c r="D140" s="16">
        <v>0.0</v>
      </c>
      <c r="E140" s="27">
        <f t="shared" si="190"/>
        <v>0</v>
      </c>
      <c r="F140" s="16">
        <v>24583.0</v>
      </c>
      <c r="G140" s="16">
        <v>2941.0</v>
      </c>
      <c r="H140" s="27">
        <f t="shared" si="191"/>
        <v>27524</v>
      </c>
      <c r="I140" s="16">
        <v>0.0</v>
      </c>
      <c r="J140" s="16">
        <v>0.0</v>
      </c>
      <c r="K140" s="27">
        <f t="shared" si="194"/>
        <v>0.98332</v>
      </c>
      <c r="L140" s="16">
        <v>0.0</v>
      </c>
      <c r="M140" s="27">
        <f t="shared" si="193"/>
        <v>0</v>
      </c>
    </row>
    <row r="141" hidden="1">
      <c r="A141" s="16">
        <v>43617.0</v>
      </c>
      <c r="B141" s="16">
        <v>0.0</v>
      </c>
      <c r="C141" s="16">
        <v>1.0</v>
      </c>
      <c r="D141" s="16">
        <v>0.0</v>
      </c>
      <c r="E141" s="27">
        <f t="shared" si="190"/>
        <v>0</v>
      </c>
      <c r="F141" s="16">
        <v>23817.0</v>
      </c>
      <c r="G141" s="16">
        <v>18382.0</v>
      </c>
      <c r="H141" s="27">
        <f t="shared" si="191"/>
        <v>42199</v>
      </c>
      <c r="I141" s="16">
        <v>0.0</v>
      </c>
      <c r="J141" s="16">
        <v>0.0</v>
      </c>
      <c r="K141" s="27">
        <f t="shared" si="194"/>
        <v>0.95268</v>
      </c>
      <c r="L141" s="16">
        <v>0.0</v>
      </c>
      <c r="M141" s="27">
        <f t="shared" si="193"/>
        <v>0</v>
      </c>
    </row>
    <row r="142" hidden="1">
      <c r="A142" s="16">
        <v>43647.0</v>
      </c>
      <c r="B142" s="16">
        <v>0.0</v>
      </c>
      <c r="C142" s="16">
        <v>1.0</v>
      </c>
      <c r="D142" s="16">
        <v>0.0</v>
      </c>
      <c r="E142" s="27">
        <f t="shared" si="190"/>
        <v>0</v>
      </c>
      <c r="F142" s="16">
        <v>23332.0</v>
      </c>
      <c r="G142" s="16">
        <v>2941.0</v>
      </c>
      <c r="H142" s="27">
        <f t="shared" si="191"/>
        <v>26273</v>
      </c>
      <c r="I142" s="16">
        <v>0.0</v>
      </c>
      <c r="J142" s="16">
        <v>0.0</v>
      </c>
      <c r="K142" s="27">
        <f t="shared" si="194"/>
        <v>0.93328</v>
      </c>
      <c r="L142" s="16">
        <v>0.0</v>
      </c>
      <c r="M142" s="27">
        <f t="shared" si="193"/>
        <v>0</v>
      </c>
    </row>
    <row r="143" hidden="1">
      <c r="A143" s="16">
        <v>43678.0</v>
      </c>
      <c r="B143" s="16">
        <v>0.0</v>
      </c>
      <c r="C143" s="16">
        <v>1.0</v>
      </c>
      <c r="D143" s="16">
        <v>0.0</v>
      </c>
      <c r="E143" s="27">
        <f t="shared" si="190"/>
        <v>0</v>
      </c>
      <c r="F143" s="16">
        <v>23330.0</v>
      </c>
      <c r="G143" s="16">
        <v>2941.0</v>
      </c>
      <c r="H143" s="27">
        <f t="shared" si="191"/>
        <v>26271</v>
      </c>
      <c r="I143" s="16">
        <v>0.0</v>
      </c>
      <c r="J143" s="16">
        <v>0.0</v>
      </c>
      <c r="K143" s="27">
        <f t="shared" si="194"/>
        <v>0.9332</v>
      </c>
      <c r="L143" s="16">
        <v>0.0</v>
      </c>
      <c r="M143" s="27">
        <f t="shared" si="193"/>
        <v>0</v>
      </c>
    </row>
    <row r="144" hidden="1">
      <c r="A144" s="16">
        <v>43709.0</v>
      </c>
      <c r="B144" s="16">
        <v>0.0</v>
      </c>
      <c r="C144" s="16">
        <v>1.0</v>
      </c>
      <c r="D144" s="16">
        <v>0.0</v>
      </c>
      <c r="E144" s="27">
        <f t="shared" si="190"/>
        <v>0</v>
      </c>
      <c r="F144" s="16">
        <v>23888.0</v>
      </c>
      <c r="G144" s="16">
        <v>18382.0</v>
      </c>
      <c r="H144" s="27">
        <f t="shared" si="191"/>
        <v>42270</v>
      </c>
      <c r="I144" s="16">
        <v>0.0</v>
      </c>
      <c r="J144" s="16">
        <v>0.0</v>
      </c>
      <c r="K144" s="27">
        <f t="shared" si="194"/>
        <v>0.95552</v>
      </c>
      <c r="L144" s="16">
        <v>0.0</v>
      </c>
      <c r="M144" s="27">
        <f t="shared" si="193"/>
        <v>0</v>
      </c>
    </row>
    <row r="145" hidden="1">
      <c r="A145" s="16">
        <v>43739.0</v>
      </c>
      <c r="B145" s="16">
        <v>0.0</v>
      </c>
      <c r="C145" s="16">
        <v>1.0</v>
      </c>
      <c r="D145" s="16">
        <v>0.0</v>
      </c>
      <c r="E145" s="27">
        <f t="shared" si="190"/>
        <v>0</v>
      </c>
      <c r="F145" s="16">
        <v>24930.0</v>
      </c>
      <c r="G145" s="16">
        <v>2941.0</v>
      </c>
      <c r="H145" s="27">
        <f t="shared" si="191"/>
        <v>27871</v>
      </c>
      <c r="I145" s="16">
        <v>0.0</v>
      </c>
      <c r="J145" s="16">
        <v>0.0</v>
      </c>
      <c r="K145" s="27">
        <f t="shared" si="194"/>
        <v>0.9972</v>
      </c>
      <c r="L145" s="16">
        <v>0.0</v>
      </c>
      <c r="M145" s="27">
        <f t="shared" si="193"/>
        <v>0</v>
      </c>
    </row>
    <row r="146" hidden="1">
      <c r="A146" s="16">
        <v>43770.0</v>
      </c>
      <c r="B146" s="16">
        <v>0.0</v>
      </c>
      <c r="C146" s="16">
        <v>1.0</v>
      </c>
      <c r="D146" s="16">
        <v>0.0</v>
      </c>
      <c r="E146" s="27">
        <f t="shared" si="190"/>
        <v>0</v>
      </c>
      <c r="F146" s="16">
        <v>26252.0</v>
      </c>
      <c r="G146" s="16">
        <v>2941.0</v>
      </c>
      <c r="H146" s="27">
        <f t="shared" si="191"/>
        <v>29193</v>
      </c>
      <c r="I146" s="16">
        <v>0.0</v>
      </c>
      <c r="J146" s="16">
        <v>0.0</v>
      </c>
      <c r="K146" s="27">
        <f t="shared" si="194"/>
        <v>1.05008</v>
      </c>
      <c r="L146" s="16">
        <v>0.0</v>
      </c>
      <c r="M146" s="27">
        <f t="shared" si="193"/>
        <v>0</v>
      </c>
    </row>
    <row r="147" hidden="1">
      <c r="A147" s="16">
        <v>43800.0</v>
      </c>
      <c r="B147" s="16">
        <v>0.0</v>
      </c>
      <c r="C147" s="16">
        <v>1.0</v>
      </c>
      <c r="D147" s="16">
        <v>0.0</v>
      </c>
      <c r="E147" s="27">
        <f t="shared" si="190"/>
        <v>0</v>
      </c>
      <c r="F147" s="16">
        <v>27575.0</v>
      </c>
      <c r="G147" s="16">
        <v>21326.0</v>
      </c>
      <c r="H147" s="27">
        <f t="shared" si="191"/>
        <v>48901</v>
      </c>
      <c r="I147" s="16">
        <v>0.0</v>
      </c>
      <c r="J147" s="16">
        <v>0.0</v>
      </c>
      <c r="K147" s="27">
        <f t="shared" si="194"/>
        <v>1.103</v>
      </c>
      <c r="L147" s="16">
        <v>0.0</v>
      </c>
      <c r="M147" s="27">
        <f t="shared" si="193"/>
        <v>0</v>
      </c>
    </row>
    <row r="148" hidden="1">
      <c r="A148" s="16">
        <v>43831.0</v>
      </c>
      <c r="B148" s="16">
        <v>0.0</v>
      </c>
      <c r="C148" s="16">
        <v>1.0</v>
      </c>
      <c r="D148" s="16">
        <v>0.0</v>
      </c>
      <c r="E148" s="27">
        <f t="shared" si="190"/>
        <v>0</v>
      </c>
      <c r="F148" s="16">
        <v>84256.0</v>
      </c>
      <c r="G148" s="16">
        <v>8824.0</v>
      </c>
      <c r="H148" s="27">
        <f t="shared" si="191"/>
        <v>93080</v>
      </c>
      <c r="I148" s="16">
        <v>0.0</v>
      </c>
      <c r="J148" s="16">
        <v>0.0</v>
      </c>
      <c r="K148" s="27">
        <f t="shared" ref="K148:K159" si="195">IFERROR(F148/(SUM($F$148:$F$159)/12),0)</f>
        <v>1.011072</v>
      </c>
      <c r="L148" s="16">
        <v>0.0</v>
      </c>
      <c r="M148" s="27">
        <f t="shared" si="193"/>
        <v>0</v>
      </c>
    </row>
    <row r="149" hidden="1">
      <c r="A149" s="16">
        <v>43862.0</v>
      </c>
      <c r="B149" s="16">
        <v>0.0</v>
      </c>
      <c r="C149" s="16">
        <v>1.0</v>
      </c>
      <c r="D149" s="16">
        <v>0.0</v>
      </c>
      <c r="E149" s="27">
        <f t="shared" si="190"/>
        <v>0</v>
      </c>
      <c r="F149" s="16">
        <v>86116.0</v>
      </c>
      <c r="G149" s="16">
        <v>8824.0</v>
      </c>
      <c r="H149" s="27">
        <f t="shared" si="191"/>
        <v>94940</v>
      </c>
      <c r="I149" s="16">
        <v>0.0</v>
      </c>
      <c r="J149" s="16">
        <v>0.0</v>
      </c>
      <c r="K149" s="27">
        <f t="shared" si="195"/>
        <v>1.033392</v>
      </c>
      <c r="L149" s="16">
        <v>0.0</v>
      </c>
      <c r="M149" s="27">
        <f t="shared" si="193"/>
        <v>0</v>
      </c>
    </row>
    <row r="150" hidden="1">
      <c r="A150" s="16">
        <v>43891.0</v>
      </c>
      <c r="B150" s="16">
        <v>0.0</v>
      </c>
      <c r="C150" s="16">
        <v>2.0</v>
      </c>
      <c r="D150" s="16">
        <v>0.0</v>
      </c>
      <c r="E150" s="27">
        <f t="shared" si="190"/>
        <v>0</v>
      </c>
      <c r="F150" s="16">
        <v>86112.0</v>
      </c>
      <c r="G150" s="16">
        <v>55147.0</v>
      </c>
      <c r="H150" s="27">
        <f t="shared" si="191"/>
        <v>141259</v>
      </c>
      <c r="I150" s="16">
        <v>0.0</v>
      </c>
      <c r="J150" s="16">
        <v>0.0</v>
      </c>
      <c r="K150" s="27">
        <f t="shared" si="195"/>
        <v>1.033344</v>
      </c>
      <c r="L150" s="16">
        <v>0.0</v>
      </c>
      <c r="M150" s="27">
        <f t="shared" si="193"/>
        <v>0</v>
      </c>
    </row>
    <row r="151" hidden="1">
      <c r="A151" s="16">
        <v>43922.0</v>
      </c>
      <c r="B151" s="16">
        <v>0.0</v>
      </c>
      <c r="C151" s="16">
        <v>2.0</v>
      </c>
      <c r="D151" s="16">
        <v>0.0</v>
      </c>
      <c r="E151" s="27">
        <f t="shared" si="190"/>
        <v>0</v>
      </c>
      <c r="F151" s="16">
        <v>84493.0</v>
      </c>
      <c r="G151" s="16">
        <v>8824.0</v>
      </c>
      <c r="H151" s="27">
        <f t="shared" si="191"/>
        <v>93317</v>
      </c>
      <c r="I151" s="16">
        <v>0.0</v>
      </c>
      <c r="J151" s="16">
        <v>0.0</v>
      </c>
      <c r="K151" s="27">
        <f t="shared" si="195"/>
        <v>1.013916</v>
      </c>
      <c r="L151" s="16">
        <v>0.0</v>
      </c>
      <c r="M151" s="27">
        <f t="shared" si="193"/>
        <v>0</v>
      </c>
    </row>
    <row r="152" hidden="1">
      <c r="A152" s="16">
        <v>43952.0</v>
      </c>
      <c r="B152" s="16">
        <v>0.0</v>
      </c>
      <c r="C152" s="16">
        <v>2.0</v>
      </c>
      <c r="D152" s="16">
        <v>0.0</v>
      </c>
      <c r="E152" s="27">
        <f t="shared" si="190"/>
        <v>0</v>
      </c>
      <c r="F152" s="16">
        <v>81942.0</v>
      </c>
      <c r="G152" s="16">
        <v>8824.0</v>
      </c>
      <c r="H152" s="27">
        <f t="shared" si="191"/>
        <v>90766</v>
      </c>
      <c r="I152" s="16">
        <v>0.0</v>
      </c>
      <c r="J152" s="16">
        <v>0.0</v>
      </c>
      <c r="K152" s="27">
        <f t="shared" si="195"/>
        <v>0.983304</v>
      </c>
      <c r="L152" s="16">
        <v>0.0</v>
      </c>
      <c r="M152" s="27">
        <f t="shared" si="193"/>
        <v>0</v>
      </c>
    </row>
    <row r="153" hidden="1">
      <c r="A153" s="16">
        <v>43983.0</v>
      </c>
      <c r="B153" s="16">
        <v>0.0</v>
      </c>
      <c r="C153" s="16">
        <v>2.0</v>
      </c>
      <c r="D153" s="16">
        <v>0.0</v>
      </c>
      <c r="E153" s="27">
        <f t="shared" si="190"/>
        <v>0</v>
      </c>
      <c r="F153" s="16">
        <v>79391.0</v>
      </c>
      <c r="G153" s="16">
        <v>55147.0</v>
      </c>
      <c r="H153" s="27">
        <f t="shared" si="191"/>
        <v>134538</v>
      </c>
      <c r="I153" s="16">
        <v>0.0</v>
      </c>
      <c r="J153" s="16">
        <v>0.0</v>
      </c>
      <c r="K153" s="27">
        <f t="shared" si="195"/>
        <v>0.952692</v>
      </c>
      <c r="L153" s="16">
        <v>0.0</v>
      </c>
      <c r="M153" s="27">
        <f t="shared" si="193"/>
        <v>0</v>
      </c>
    </row>
    <row r="154" hidden="1">
      <c r="A154" s="16">
        <v>44013.0</v>
      </c>
      <c r="B154" s="16">
        <v>0.0</v>
      </c>
      <c r="C154" s="16">
        <v>2.0</v>
      </c>
      <c r="D154" s="16">
        <v>0.0</v>
      </c>
      <c r="E154" s="27">
        <f t="shared" si="190"/>
        <v>0</v>
      </c>
      <c r="F154" s="16">
        <v>77772.0</v>
      </c>
      <c r="G154" s="16">
        <v>8824.0</v>
      </c>
      <c r="H154" s="27">
        <f t="shared" si="191"/>
        <v>86596</v>
      </c>
      <c r="I154" s="16">
        <v>0.0</v>
      </c>
      <c r="J154" s="16">
        <v>0.0</v>
      </c>
      <c r="K154" s="27">
        <f t="shared" si="195"/>
        <v>0.933264</v>
      </c>
      <c r="L154" s="16">
        <v>0.0</v>
      </c>
      <c r="M154" s="27">
        <f t="shared" si="193"/>
        <v>0</v>
      </c>
    </row>
    <row r="155" hidden="1">
      <c r="A155" s="16">
        <v>44044.0</v>
      </c>
      <c r="B155" s="16">
        <v>0.0</v>
      </c>
      <c r="C155" s="16">
        <v>2.0</v>
      </c>
      <c r="D155" s="16">
        <v>0.0</v>
      </c>
      <c r="E155" s="27">
        <f t="shared" si="190"/>
        <v>0</v>
      </c>
      <c r="F155" s="16">
        <v>77767.0</v>
      </c>
      <c r="G155" s="16">
        <v>8824.0</v>
      </c>
      <c r="H155" s="27">
        <f t="shared" si="191"/>
        <v>86591</v>
      </c>
      <c r="I155" s="16">
        <v>0.0</v>
      </c>
      <c r="J155" s="16">
        <v>0.0</v>
      </c>
      <c r="K155" s="27">
        <f t="shared" si="195"/>
        <v>0.933204</v>
      </c>
      <c r="L155" s="16">
        <v>0.0</v>
      </c>
      <c r="M155" s="27">
        <f t="shared" si="193"/>
        <v>0</v>
      </c>
    </row>
    <row r="156" hidden="1">
      <c r="A156" s="16">
        <v>44075.0</v>
      </c>
      <c r="B156" s="16">
        <v>0.0</v>
      </c>
      <c r="C156" s="16">
        <v>3.0</v>
      </c>
      <c r="D156" s="16">
        <v>0.0</v>
      </c>
      <c r="E156" s="27">
        <f t="shared" si="190"/>
        <v>0</v>
      </c>
      <c r="F156" s="16">
        <v>79627.0</v>
      </c>
      <c r="G156" s="16">
        <v>55147.0</v>
      </c>
      <c r="H156" s="27">
        <f t="shared" si="191"/>
        <v>134774</v>
      </c>
      <c r="I156" s="16">
        <v>0.0</v>
      </c>
      <c r="J156" s="16">
        <v>0.0</v>
      </c>
      <c r="K156" s="27">
        <f t="shared" si="195"/>
        <v>0.955524</v>
      </c>
      <c r="L156" s="16">
        <v>0.0</v>
      </c>
      <c r="M156" s="27">
        <f t="shared" si="193"/>
        <v>0</v>
      </c>
    </row>
    <row r="157" hidden="1">
      <c r="A157" s="16">
        <v>44105.0</v>
      </c>
      <c r="B157" s="16">
        <v>0.0</v>
      </c>
      <c r="C157" s="16">
        <v>3.0</v>
      </c>
      <c r="D157" s="16">
        <v>0.0</v>
      </c>
      <c r="E157" s="27">
        <f t="shared" si="190"/>
        <v>0</v>
      </c>
      <c r="F157" s="16">
        <v>83101.0</v>
      </c>
      <c r="G157" s="16">
        <v>8824.0</v>
      </c>
      <c r="H157" s="27">
        <f t="shared" si="191"/>
        <v>91925</v>
      </c>
      <c r="I157" s="16">
        <v>0.0</v>
      </c>
      <c r="J157" s="16">
        <v>0.0</v>
      </c>
      <c r="K157" s="27">
        <f t="shared" si="195"/>
        <v>0.997212</v>
      </c>
      <c r="L157" s="16">
        <v>0.0</v>
      </c>
      <c r="M157" s="27">
        <f t="shared" si="193"/>
        <v>0</v>
      </c>
    </row>
    <row r="158" hidden="1">
      <c r="A158" s="16">
        <v>44136.0</v>
      </c>
      <c r="B158" s="16">
        <v>0.0</v>
      </c>
      <c r="C158" s="16">
        <v>3.0</v>
      </c>
      <c r="D158" s="16">
        <v>0.0</v>
      </c>
      <c r="E158" s="27">
        <f t="shared" si="190"/>
        <v>0</v>
      </c>
      <c r="F158" s="16">
        <v>87508.0</v>
      </c>
      <c r="G158" s="16">
        <v>8824.0</v>
      </c>
      <c r="H158" s="27">
        <f t="shared" si="191"/>
        <v>96332</v>
      </c>
      <c r="I158" s="16">
        <v>0.0</v>
      </c>
      <c r="J158" s="16">
        <v>0.0</v>
      </c>
      <c r="K158" s="27">
        <f t="shared" si="195"/>
        <v>1.050096</v>
      </c>
      <c r="L158" s="16">
        <v>0.0</v>
      </c>
      <c r="M158" s="27">
        <f t="shared" si="193"/>
        <v>0</v>
      </c>
    </row>
    <row r="159" hidden="1">
      <c r="A159" s="16">
        <v>44166.0</v>
      </c>
      <c r="B159" s="16">
        <v>0.0</v>
      </c>
      <c r="C159" s="16">
        <v>3.0</v>
      </c>
      <c r="D159" s="16">
        <v>0.0</v>
      </c>
      <c r="E159" s="27">
        <f t="shared" si="190"/>
        <v>0</v>
      </c>
      <c r="F159" s="16">
        <v>91915.0</v>
      </c>
      <c r="G159" s="16">
        <v>63967.0</v>
      </c>
      <c r="H159" s="27">
        <f t="shared" si="191"/>
        <v>155882</v>
      </c>
      <c r="I159" s="16">
        <v>0.0</v>
      </c>
      <c r="J159" s="16">
        <v>0.0</v>
      </c>
      <c r="K159" s="27">
        <f t="shared" si="195"/>
        <v>1.10298</v>
      </c>
      <c r="L159" s="16">
        <v>0.0</v>
      </c>
      <c r="M159" s="27">
        <f t="shared" si="193"/>
        <v>0</v>
      </c>
    </row>
    <row r="160" hidden="1">
      <c r="A160" s="16">
        <v>44197.0</v>
      </c>
      <c r="B160" s="16">
        <v>0.0</v>
      </c>
      <c r="C160" s="16">
        <v>3.0</v>
      </c>
      <c r="D160" s="16">
        <v>0.0</v>
      </c>
      <c r="E160" s="27">
        <f t="shared" si="190"/>
        <v>0</v>
      </c>
      <c r="F160" s="16">
        <v>193790.0</v>
      </c>
      <c r="G160" s="16">
        <v>20588.0</v>
      </c>
      <c r="H160" s="27">
        <f t="shared" si="191"/>
        <v>214378</v>
      </c>
      <c r="I160" s="16">
        <v>0.0</v>
      </c>
      <c r="J160" s="16">
        <v>0.0</v>
      </c>
      <c r="K160" s="27">
        <f t="shared" ref="K160:K163" si="196">IFERROR(F160/(SUM($F$160:$F$171)/12),0)</f>
        <v>2.965235487</v>
      </c>
      <c r="L160" s="16">
        <v>0.0</v>
      </c>
      <c r="M160" s="27">
        <f t="shared" si="193"/>
        <v>0</v>
      </c>
    </row>
    <row r="161" hidden="1">
      <c r="A161" s="16">
        <v>44228.0</v>
      </c>
      <c r="B161" s="16">
        <v>0.0</v>
      </c>
      <c r="C161" s="16">
        <v>4.0</v>
      </c>
      <c r="D161" s="16">
        <v>0.0</v>
      </c>
      <c r="E161" s="27">
        <f t="shared" si="190"/>
        <v>0</v>
      </c>
      <c r="F161" s="16">
        <v>198067.0</v>
      </c>
      <c r="G161" s="16">
        <v>20588.0</v>
      </c>
      <c r="H161" s="27">
        <f t="shared" si="191"/>
        <v>218655</v>
      </c>
      <c r="I161" s="16">
        <v>0.0</v>
      </c>
      <c r="J161" s="16">
        <v>0.0</v>
      </c>
      <c r="K161" s="27">
        <f t="shared" si="196"/>
        <v>3.030679071</v>
      </c>
      <c r="L161" s="16">
        <v>0.0</v>
      </c>
      <c r="M161" s="27">
        <f t="shared" si="193"/>
        <v>0</v>
      </c>
    </row>
    <row r="162" hidden="1">
      <c r="A162" s="16">
        <v>44256.0</v>
      </c>
      <c r="B162" s="16">
        <v>0.0</v>
      </c>
      <c r="C162" s="16">
        <v>4.0</v>
      </c>
      <c r="D162" s="16">
        <v>0.0</v>
      </c>
      <c r="E162" s="27">
        <f t="shared" si="190"/>
        <v>0</v>
      </c>
      <c r="F162" s="16">
        <v>198057.0</v>
      </c>
      <c r="G162" s="16">
        <v>128676.0</v>
      </c>
      <c r="H162" s="27">
        <f t="shared" si="191"/>
        <v>326733</v>
      </c>
      <c r="I162" s="16">
        <v>0.0</v>
      </c>
      <c r="J162" s="16">
        <v>0.0</v>
      </c>
      <c r="K162" s="27">
        <f t="shared" si="196"/>
        <v>3.030526058</v>
      </c>
      <c r="L162" s="16">
        <v>0.0</v>
      </c>
      <c r="M162" s="27">
        <f t="shared" si="193"/>
        <v>0</v>
      </c>
    </row>
    <row r="163" hidden="1">
      <c r="A163" s="16">
        <v>44287.0</v>
      </c>
      <c r="B163" s="16">
        <v>0.0</v>
      </c>
      <c r="C163" s="16">
        <v>5.0</v>
      </c>
      <c r="D163" s="16">
        <v>0.0</v>
      </c>
      <c r="E163" s="27">
        <f t="shared" si="190"/>
        <v>0</v>
      </c>
      <c r="F163" s="16">
        <v>194334.0</v>
      </c>
      <c r="G163" s="16">
        <v>20588.0</v>
      </c>
      <c r="H163" s="27">
        <f t="shared" si="191"/>
        <v>214922</v>
      </c>
      <c r="I163" s="16">
        <v>0.0</v>
      </c>
      <c r="J163" s="16">
        <v>0.0</v>
      </c>
      <c r="K163" s="27">
        <f t="shared" si="196"/>
        <v>2.973559384</v>
      </c>
      <c r="L163" s="16">
        <v>0.0</v>
      </c>
      <c r="M163" s="27">
        <f t="shared" si="193"/>
        <v>0</v>
      </c>
    </row>
    <row r="164">
      <c r="A164" s="97" t="s">
        <v>600</v>
      </c>
      <c r="B164" s="95"/>
      <c r="C164" s="95"/>
      <c r="D164" s="95"/>
      <c r="E164" s="96"/>
      <c r="F164" s="95"/>
      <c r="G164" s="95"/>
      <c r="H164" s="96"/>
      <c r="I164" s="95"/>
      <c r="J164" s="95"/>
      <c r="K164" s="96"/>
      <c r="L164" s="95"/>
      <c r="M164" s="96"/>
      <c r="N164" s="96"/>
      <c r="O164" s="96"/>
      <c r="P164" s="96"/>
      <c r="Q164" s="96"/>
    </row>
    <row r="165" ht="40.5" customHeight="1">
      <c r="A165" s="98" t="s">
        <v>2</v>
      </c>
      <c r="B165" s="98" t="s">
        <v>3</v>
      </c>
      <c r="C165" s="98" t="s">
        <v>235</v>
      </c>
      <c r="D165" s="98" t="s">
        <v>601</v>
      </c>
      <c r="E165" s="98" t="s">
        <v>602</v>
      </c>
      <c r="F165" s="98" t="s">
        <v>338</v>
      </c>
      <c r="G165" s="98" t="s">
        <v>603</v>
      </c>
      <c r="H165" s="98" t="s">
        <v>604</v>
      </c>
      <c r="I165" s="98" t="s">
        <v>605</v>
      </c>
      <c r="J165" s="98" t="s">
        <v>606</v>
      </c>
      <c r="K165" s="98" t="s">
        <v>459</v>
      </c>
      <c r="L165" s="98" t="s">
        <v>607</v>
      </c>
      <c r="M165" s="98" t="s">
        <v>608</v>
      </c>
      <c r="N165" s="98" t="s">
        <v>609</v>
      </c>
      <c r="O165" s="98" t="s">
        <v>610</v>
      </c>
      <c r="P165" s="98" t="s">
        <v>464</v>
      </c>
      <c r="Q165" s="98" t="s">
        <v>611</v>
      </c>
      <c r="R165" s="16" t="s">
        <v>612</v>
      </c>
      <c r="S165" s="16" t="s">
        <v>613</v>
      </c>
      <c r="T165" s="16" t="s">
        <v>614</v>
      </c>
    </row>
    <row r="166">
      <c r="A166" s="217">
        <f t="shared" ref="A166:A261" si="197">DATE(2018+INT((ROW()-166)/12),MOD(ROW()-166,12)+1,1)</f>
        <v>43101</v>
      </c>
      <c r="B166" s="218">
        <f t="shared" ref="B166:B261" si="198">YEAR(A166)</f>
        <v>2018</v>
      </c>
      <c r="C166" s="100">
        <v>0.0</v>
      </c>
      <c r="D166" s="219">
        <f t="shared" ref="D166:D261" si="199">IF(C166&gt;0,L166/C166,0)</f>
        <v>0</v>
      </c>
      <c r="E166" s="102">
        <f t="shared" ref="E166:E345" si="200">ROUND(C166*D166,0)</f>
        <v>0</v>
      </c>
      <c r="F166" s="100">
        <v>0.0</v>
      </c>
      <c r="G166" s="219">
        <f t="shared" ref="G166:G261" si="201">M166/MAX(F166,1)</f>
        <v>0</v>
      </c>
      <c r="H166" s="102">
        <f t="shared" ref="H166:H261" si="202">ROUND(G166*MAX(F166,1),0)</f>
        <v>0</v>
      </c>
      <c r="I166" s="101">
        <v>0.0</v>
      </c>
      <c r="J166" s="101">
        <f t="shared" ref="J166:J345" si="203">I166</f>
        <v>0</v>
      </c>
      <c r="K166" s="102">
        <f t="shared" ref="K166:K261" si="204">SUM(E166,H166,J166)</f>
        <v>0</v>
      </c>
      <c r="L166" s="101">
        <v>0.0</v>
      </c>
      <c r="M166" s="101">
        <v>0.0</v>
      </c>
      <c r="N166" s="102">
        <f t="shared" ref="N166:N261" si="205">E166-L166+H166-M166</f>
        <v>0</v>
      </c>
      <c r="O166" s="220">
        <f t="shared" ref="O166:O261" si="206">IFERROR(H166/AVERAGEIF($B$166:$B$261,B166,$H$166:$H$261),0)</f>
        <v>0</v>
      </c>
      <c r="P166" s="111">
        <f t="shared" ref="P166:P261" si="207">0</f>
        <v>0</v>
      </c>
      <c r="Q166" s="102">
        <f t="shared" ref="Q166:Q261" si="208">P166*$B$12</f>
        <v>0</v>
      </c>
    </row>
    <row r="167">
      <c r="A167" s="217">
        <f t="shared" si="197"/>
        <v>43132</v>
      </c>
      <c r="B167" s="218">
        <f t="shared" si="198"/>
        <v>2018</v>
      </c>
      <c r="C167" s="100">
        <v>0.0</v>
      </c>
      <c r="D167" s="219">
        <f t="shared" si="199"/>
        <v>0</v>
      </c>
      <c r="E167" s="102">
        <f t="shared" si="200"/>
        <v>0</v>
      </c>
      <c r="F167" s="100">
        <v>0.0</v>
      </c>
      <c r="G167" s="219">
        <f t="shared" si="201"/>
        <v>0</v>
      </c>
      <c r="H167" s="102">
        <f t="shared" si="202"/>
        <v>0</v>
      </c>
      <c r="I167" s="101">
        <v>0.0</v>
      </c>
      <c r="J167" s="101">
        <f t="shared" si="203"/>
        <v>0</v>
      </c>
      <c r="K167" s="102">
        <f t="shared" si="204"/>
        <v>0</v>
      </c>
      <c r="L167" s="101">
        <v>0.0</v>
      </c>
      <c r="M167" s="101">
        <v>0.0</v>
      </c>
      <c r="N167" s="102">
        <f t="shared" si="205"/>
        <v>0</v>
      </c>
      <c r="O167" s="220">
        <f t="shared" si="206"/>
        <v>0</v>
      </c>
      <c r="P167" s="111">
        <f t="shared" si="207"/>
        <v>0</v>
      </c>
      <c r="Q167" s="102">
        <f t="shared" si="208"/>
        <v>0</v>
      </c>
    </row>
    <row r="168">
      <c r="A168" s="217">
        <f t="shared" si="197"/>
        <v>43160</v>
      </c>
      <c r="B168" s="218">
        <f t="shared" si="198"/>
        <v>2018</v>
      </c>
      <c r="C168" s="100">
        <v>0.0</v>
      </c>
      <c r="D168" s="219">
        <f t="shared" si="199"/>
        <v>0</v>
      </c>
      <c r="E168" s="102">
        <f t="shared" si="200"/>
        <v>0</v>
      </c>
      <c r="F168" s="100">
        <v>0.0</v>
      </c>
      <c r="G168" s="219">
        <f t="shared" si="201"/>
        <v>0</v>
      </c>
      <c r="H168" s="102">
        <f t="shared" si="202"/>
        <v>0</v>
      </c>
      <c r="I168" s="101">
        <v>0.0</v>
      </c>
      <c r="J168" s="101">
        <f t="shared" si="203"/>
        <v>0</v>
      </c>
      <c r="K168" s="102">
        <f t="shared" si="204"/>
        <v>0</v>
      </c>
      <c r="L168" s="101">
        <v>0.0</v>
      </c>
      <c r="M168" s="101">
        <v>0.0</v>
      </c>
      <c r="N168" s="102">
        <f t="shared" si="205"/>
        <v>0</v>
      </c>
      <c r="O168" s="220">
        <f t="shared" si="206"/>
        <v>0</v>
      </c>
      <c r="P168" s="111">
        <f t="shared" si="207"/>
        <v>0</v>
      </c>
      <c r="Q168" s="102">
        <f t="shared" si="208"/>
        <v>0</v>
      </c>
    </row>
    <row r="169">
      <c r="A169" s="217">
        <f t="shared" si="197"/>
        <v>43191</v>
      </c>
      <c r="B169" s="218">
        <f t="shared" si="198"/>
        <v>2018</v>
      </c>
      <c r="C169" s="100">
        <v>0.0</v>
      </c>
      <c r="D169" s="219">
        <f t="shared" si="199"/>
        <v>0</v>
      </c>
      <c r="E169" s="102">
        <f t="shared" si="200"/>
        <v>0</v>
      </c>
      <c r="F169" s="100">
        <v>0.0</v>
      </c>
      <c r="G169" s="219">
        <f t="shared" si="201"/>
        <v>0</v>
      </c>
      <c r="H169" s="102">
        <f t="shared" si="202"/>
        <v>0</v>
      </c>
      <c r="I169" s="101">
        <v>0.0</v>
      </c>
      <c r="J169" s="101">
        <f t="shared" si="203"/>
        <v>0</v>
      </c>
      <c r="K169" s="102">
        <f t="shared" si="204"/>
        <v>0</v>
      </c>
      <c r="L169" s="101">
        <v>0.0</v>
      </c>
      <c r="M169" s="101">
        <v>0.0</v>
      </c>
      <c r="N169" s="102">
        <f t="shared" si="205"/>
        <v>0</v>
      </c>
      <c r="O169" s="220">
        <f t="shared" si="206"/>
        <v>0</v>
      </c>
      <c r="P169" s="111">
        <f t="shared" si="207"/>
        <v>0</v>
      </c>
      <c r="Q169" s="102">
        <f t="shared" si="208"/>
        <v>0</v>
      </c>
    </row>
    <row r="170">
      <c r="A170" s="217">
        <f t="shared" si="197"/>
        <v>43221</v>
      </c>
      <c r="B170" s="218">
        <f t="shared" si="198"/>
        <v>2018</v>
      </c>
      <c r="C170" s="100">
        <v>0.0</v>
      </c>
      <c r="D170" s="219">
        <f t="shared" si="199"/>
        <v>0</v>
      </c>
      <c r="E170" s="102">
        <f t="shared" si="200"/>
        <v>0</v>
      </c>
      <c r="F170" s="100">
        <v>0.0</v>
      </c>
      <c r="G170" s="219">
        <f t="shared" si="201"/>
        <v>0</v>
      </c>
      <c r="H170" s="102">
        <f t="shared" si="202"/>
        <v>0</v>
      </c>
      <c r="I170" s="101">
        <v>0.0</v>
      </c>
      <c r="J170" s="101">
        <f t="shared" si="203"/>
        <v>0</v>
      </c>
      <c r="K170" s="102">
        <f t="shared" si="204"/>
        <v>0</v>
      </c>
      <c r="L170" s="101">
        <v>0.0</v>
      </c>
      <c r="M170" s="101">
        <v>0.0</v>
      </c>
      <c r="N170" s="102">
        <f t="shared" si="205"/>
        <v>0</v>
      </c>
      <c r="O170" s="220">
        <f t="shared" si="206"/>
        <v>0</v>
      </c>
      <c r="P170" s="111">
        <f t="shared" si="207"/>
        <v>0</v>
      </c>
      <c r="Q170" s="102">
        <f t="shared" si="208"/>
        <v>0</v>
      </c>
    </row>
    <row r="171">
      <c r="A171" s="217">
        <f t="shared" si="197"/>
        <v>43252</v>
      </c>
      <c r="B171" s="218">
        <f t="shared" si="198"/>
        <v>2018</v>
      </c>
      <c r="C171" s="100">
        <v>0.0</v>
      </c>
      <c r="D171" s="219">
        <f t="shared" si="199"/>
        <v>0</v>
      </c>
      <c r="E171" s="102">
        <f t="shared" si="200"/>
        <v>0</v>
      </c>
      <c r="F171" s="100">
        <v>0.0</v>
      </c>
      <c r="G171" s="219">
        <f t="shared" si="201"/>
        <v>0</v>
      </c>
      <c r="H171" s="102">
        <f t="shared" si="202"/>
        <v>0</v>
      </c>
      <c r="I171" s="101">
        <v>0.0</v>
      </c>
      <c r="J171" s="101">
        <f t="shared" si="203"/>
        <v>0</v>
      </c>
      <c r="K171" s="102">
        <f t="shared" si="204"/>
        <v>0</v>
      </c>
      <c r="L171" s="101">
        <v>0.0</v>
      </c>
      <c r="M171" s="101">
        <v>0.0</v>
      </c>
      <c r="N171" s="102">
        <f t="shared" si="205"/>
        <v>0</v>
      </c>
      <c r="O171" s="220">
        <f t="shared" si="206"/>
        <v>0</v>
      </c>
      <c r="P171" s="111">
        <f t="shared" si="207"/>
        <v>0</v>
      </c>
      <c r="Q171" s="102">
        <f t="shared" si="208"/>
        <v>0</v>
      </c>
    </row>
    <row r="172">
      <c r="A172" s="217">
        <f t="shared" si="197"/>
        <v>43282</v>
      </c>
      <c r="B172" s="218">
        <f t="shared" si="198"/>
        <v>2018</v>
      </c>
      <c r="C172" s="100">
        <v>0.0</v>
      </c>
      <c r="D172" s="219">
        <f t="shared" si="199"/>
        <v>0</v>
      </c>
      <c r="E172" s="102">
        <f t="shared" si="200"/>
        <v>0</v>
      </c>
      <c r="F172" s="100">
        <v>0.0</v>
      </c>
      <c r="G172" s="219">
        <f t="shared" si="201"/>
        <v>0</v>
      </c>
      <c r="H172" s="102">
        <f t="shared" si="202"/>
        <v>0</v>
      </c>
      <c r="I172" s="101">
        <v>0.0</v>
      </c>
      <c r="J172" s="101">
        <f t="shared" si="203"/>
        <v>0</v>
      </c>
      <c r="K172" s="102">
        <f t="shared" si="204"/>
        <v>0</v>
      </c>
      <c r="L172" s="101">
        <v>0.0</v>
      </c>
      <c r="M172" s="101">
        <v>0.0</v>
      </c>
      <c r="N172" s="102">
        <f t="shared" si="205"/>
        <v>0</v>
      </c>
      <c r="O172" s="220">
        <f t="shared" si="206"/>
        <v>0</v>
      </c>
      <c r="P172" s="111">
        <f t="shared" si="207"/>
        <v>0</v>
      </c>
      <c r="Q172" s="102">
        <f t="shared" si="208"/>
        <v>0</v>
      </c>
    </row>
    <row r="173">
      <c r="A173" s="217">
        <f t="shared" si="197"/>
        <v>43313</v>
      </c>
      <c r="B173" s="218">
        <f t="shared" si="198"/>
        <v>2018</v>
      </c>
      <c r="C173" s="100">
        <v>0.0</v>
      </c>
      <c r="D173" s="219">
        <f t="shared" si="199"/>
        <v>0</v>
      </c>
      <c r="E173" s="102">
        <f t="shared" si="200"/>
        <v>0</v>
      </c>
      <c r="F173" s="100">
        <v>0.0</v>
      </c>
      <c r="G173" s="219">
        <f t="shared" si="201"/>
        <v>0</v>
      </c>
      <c r="H173" s="102">
        <f t="shared" si="202"/>
        <v>0</v>
      </c>
      <c r="I173" s="101">
        <v>0.0</v>
      </c>
      <c r="J173" s="101">
        <f t="shared" si="203"/>
        <v>0</v>
      </c>
      <c r="K173" s="102">
        <f t="shared" si="204"/>
        <v>0</v>
      </c>
      <c r="L173" s="101">
        <v>0.0</v>
      </c>
      <c r="M173" s="101">
        <v>0.0</v>
      </c>
      <c r="N173" s="102">
        <f t="shared" si="205"/>
        <v>0</v>
      </c>
      <c r="O173" s="220">
        <f t="shared" si="206"/>
        <v>0</v>
      </c>
      <c r="P173" s="111">
        <f t="shared" si="207"/>
        <v>0</v>
      </c>
      <c r="Q173" s="102">
        <f t="shared" si="208"/>
        <v>0</v>
      </c>
    </row>
    <row r="174">
      <c r="A174" s="217">
        <f t="shared" si="197"/>
        <v>43344</v>
      </c>
      <c r="B174" s="218">
        <f t="shared" si="198"/>
        <v>2018</v>
      </c>
      <c r="C174" s="100">
        <v>0.0</v>
      </c>
      <c r="D174" s="219">
        <f t="shared" si="199"/>
        <v>0</v>
      </c>
      <c r="E174" s="102">
        <f t="shared" si="200"/>
        <v>0</v>
      </c>
      <c r="F174" s="100">
        <v>0.0</v>
      </c>
      <c r="G174" s="219">
        <f t="shared" si="201"/>
        <v>0</v>
      </c>
      <c r="H174" s="102">
        <f t="shared" si="202"/>
        <v>0</v>
      </c>
      <c r="I174" s="101">
        <v>0.0</v>
      </c>
      <c r="J174" s="101">
        <f t="shared" si="203"/>
        <v>0</v>
      </c>
      <c r="K174" s="102">
        <f t="shared" si="204"/>
        <v>0</v>
      </c>
      <c r="L174" s="101">
        <v>0.0</v>
      </c>
      <c r="M174" s="101">
        <v>0.0</v>
      </c>
      <c r="N174" s="102">
        <f t="shared" si="205"/>
        <v>0</v>
      </c>
      <c r="O174" s="220">
        <f t="shared" si="206"/>
        <v>0</v>
      </c>
      <c r="P174" s="111">
        <f t="shared" si="207"/>
        <v>0</v>
      </c>
      <c r="Q174" s="102">
        <f t="shared" si="208"/>
        <v>0</v>
      </c>
    </row>
    <row r="175">
      <c r="A175" s="217">
        <f t="shared" si="197"/>
        <v>43374</v>
      </c>
      <c r="B175" s="218">
        <f t="shared" si="198"/>
        <v>2018</v>
      </c>
      <c r="C175" s="100">
        <v>0.0</v>
      </c>
      <c r="D175" s="219">
        <f t="shared" si="199"/>
        <v>0</v>
      </c>
      <c r="E175" s="102">
        <f t="shared" si="200"/>
        <v>0</v>
      </c>
      <c r="F175" s="100">
        <v>0.0</v>
      </c>
      <c r="G175" s="219">
        <f t="shared" si="201"/>
        <v>0</v>
      </c>
      <c r="H175" s="102">
        <f t="shared" si="202"/>
        <v>0</v>
      </c>
      <c r="I175" s="101">
        <v>0.0</v>
      </c>
      <c r="J175" s="101">
        <f t="shared" si="203"/>
        <v>0</v>
      </c>
      <c r="K175" s="102">
        <f t="shared" si="204"/>
        <v>0</v>
      </c>
      <c r="L175" s="101">
        <v>0.0</v>
      </c>
      <c r="M175" s="101">
        <v>0.0</v>
      </c>
      <c r="N175" s="102">
        <f t="shared" si="205"/>
        <v>0</v>
      </c>
      <c r="O175" s="220">
        <f t="shared" si="206"/>
        <v>0</v>
      </c>
      <c r="P175" s="111">
        <f t="shared" si="207"/>
        <v>0</v>
      </c>
      <c r="Q175" s="102">
        <f t="shared" si="208"/>
        <v>0</v>
      </c>
    </row>
    <row r="176">
      <c r="A176" s="217">
        <f t="shared" si="197"/>
        <v>43405</v>
      </c>
      <c r="B176" s="218">
        <f t="shared" si="198"/>
        <v>2018</v>
      </c>
      <c r="C176" s="100">
        <v>0.0</v>
      </c>
      <c r="D176" s="219">
        <f t="shared" si="199"/>
        <v>0</v>
      </c>
      <c r="E176" s="102">
        <f t="shared" si="200"/>
        <v>0</v>
      </c>
      <c r="F176" s="100">
        <v>0.0</v>
      </c>
      <c r="G176" s="219">
        <f t="shared" si="201"/>
        <v>0</v>
      </c>
      <c r="H176" s="102">
        <f t="shared" si="202"/>
        <v>0</v>
      </c>
      <c r="I176" s="101">
        <v>0.0</v>
      </c>
      <c r="J176" s="101">
        <f t="shared" si="203"/>
        <v>0</v>
      </c>
      <c r="K176" s="102">
        <f t="shared" si="204"/>
        <v>0</v>
      </c>
      <c r="L176" s="101">
        <v>0.0</v>
      </c>
      <c r="M176" s="101">
        <v>0.0</v>
      </c>
      <c r="N176" s="102">
        <f t="shared" si="205"/>
        <v>0</v>
      </c>
      <c r="O176" s="220">
        <f t="shared" si="206"/>
        <v>0</v>
      </c>
      <c r="P176" s="111">
        <f t="shared" si="207"/>
        <v>0</v>
      </c>
      <c r="Q176" s="102">
        <f t="shared" si="208"/>
        <v>0</v>
      </c>
    </row>
    <row r="177">
      <c r="A177" s="217">
        <f t="shared" si="197"/>
        <v>43435</v>
      </c>
      <c r="B177" s="218">
        <f t="shared" si="198"/>
        <v>2018</v>
      </c>
      <c r="C177" s="100">
        <v>0.0</v>
      </c>
      <c r="D177" s="219">
        <f t="shared" si="199"/>
        <v>0</v>
      </c>
      <c r="E177" s="102">
        <f t="shared" si="200"/>
        <v>0</v>
      </c>
      <c r="F177" s="100">
        <v>0.0</v>
      </c>
      <c r="G177" s="219">
        <f t="shared" si="201"/>
        <v>0</v>
      </c>
      <c r="H177" s="102">
        <f t="shared" si="202"/>
        <v>0</v>
      </c>
      <c r="I177" s="101">
        <v>0.0</v>
      </c>
      <c r="J177" s="101">
        <f t="shared" si="203"/>
        <v>0</v>
      </c>
      <c r="K177" s="102">
        <f t="shared" si="204"/>
        <v>0</v>
      </c>
      <c r="L177" s="101">
        <v>0.0</v>
      </c>
      <c r="M177" s="101">
        <v>0.0</v>
      </c>
      <c r="N177" s="102">
        <f t="shared" si="205"/>
        <v>0</v>
      </c>
      <c r="O177" s="220">
        <f t="shared" si="206"/>
        <v>0</v>
      </c>
      <c r="P177" s="111">
        <f t="shared" si="207"/>
        <v>0</v>
      </c>
      <c r="Q177" s="102">
        <f t="shared" si="208"/>
        <v>0</v>
      </c>
    </row>
    <row r="178">
      <c r="A178" s="217">
        <f t="shared" si="197"/>
        <v>43466</v>
      </c>
      <c r="B178" s="218">
        <f t="shared" si="198"/>
        <v>2019</v>
      </c>
      <c r="C178" s="100">
        <v>0.0</v>
      </c>
      <c r="D178" s="219">
        <f t="shared" si="199"/>
        <v>0</v>
      </c>
      <c r="E178" s="102">
        <f t="shared" si="200"/>
        <v>0</v>
      </c>
      <c r="F178" s="100">
        <v>0.0</v>
      </c>
      <c r="G178" s="219">
        <f t="shared" si="201"/>
        <v>25277</v>
      </c>
      <c r="H178" s="102">
        <f t="shared" si="202"/>
        <v>25277</v>
      </c>
      <c r="I178" s="101">
        <v>2941.0</v>
      </c>
      <c r="J178" s="101">
        <f t="shared" si="203"/>
        <v>2941</v>
      </c>
      <c r="K178" s="102">
        <f t="shared" si="204"/>
        <v>28218</v>
      </c>
      <c r="L178" s="101">
        <v>0.0</v>
      </c>
      <c r="M178" s="101">
        <v>25277.0</v>
      </c>
      <c r="N178" s="102">
        <f t="shared" si="205"/>
        <v>0</v>
      </c>
      <c r="O178" s="220">
        <f t="shared" si="206"/>
        <v>1.01108</v>
      </c>
      <c r="P178" s="111">
        <f t="shared" si="207"/>
        <v>0</v>
      </c>
      <c r="Q178" s="102">
        <f t="shared" si="208"/>
        <v>0</v>
      </c>
    </row>
    <row r="179">
      <c r="A179" s="217">
        <f t="shared" si="197"/>
        <v>43497</v>
      </c>
      <c r="B179" s="218">
        <f t="shared" si="198"/>
        <v>2019</v>
      </c>
      <c r="C179" s="100">
        <v>0.0</v>
      </c>
      <c r="D179" s="219">
        <f t="shared" si="199"/>
        <v>0</v>
      </c>
      <c r="E179" s="102">
        <f t="shared" si="200"/>
        <v>0</v>
      </c>
      <c r="F179" s="100">
        <v>0.0</v>
      </c>
      <c r="G179" s="219">
        <f t="shared" si="201"/>
        <v>25835</v>
      </c>
      <c r="H179" s="102">
        <f t="shared" si="202"/>
        <v>25835</v>
      </c>
      <c r="I179" s="101">
        <v>2941.0</v>
      </c>
      <c r="J179" s="101">
        <f t="shared" si="203"/>
        <v>2941</v>
      </c>
      <c r="K179" s="102">
        <f t="shared" si="204"/>
        <v>28776</v>
      </c>
      <c r="L179" s="101">
        <v>0.0</v>
      </c>
      <c r="M179" s="101">
        <v>25835.0</v>
      </c>
      <c r="N179" s="102">
        <f t="shared" si="205"/>
        <v>0</v>
      </c>
      <c r="O179" s="220">
        <f t="shared" si="206"/>
        <v>1.0334</v>
      </c>
      <c r="P179" s="111">
        <f t="shared" si="207"/>
        <v>0</v>
      </c>
      <c r="Q179" s="102">
        <f t="shared" si="208"/>
        <v>0</v>
      </c>
    </row>
    <row r="180">
      <c r="A180" s="217">
        <f t="shared" si="197"/>
        <v>43525</v>
      </c>
      <c r="B180" s="218">
        <f t="shared" si="198"/>
        <v>2019</v>
      </c>
      <c r="C180" s="100">
        <v>0.0</v>
      </c>
      <c r="D180" s="219">
        <f t="shared" si="199"/>
        <v>0</v>
      </c>
      <c r="E180" s="102">
        <f t="shared" si="200"/>
        <v>0</v>
      </c>
      <c r="F180" s="100">
        <v>0.0</v>
      </c>
      <c r="G180" s="219">
        <f t="shared" si="201"/>
        <v>25833</v>
      </c>
      <c r="H180" s="102">
        <f t="shared" si="202"/>
        <v>25833</v>
      </c>
      <c r="I180" s="101">
        <v>18382.0</v>
      </c>
      <c r="J180" s="101">
        <f t="shared" si="203"/>
        <v>18382</v>
      </c>
      <c r="K180" s="102">
        <f t="shared" si="204"/>
        <v>44215</v>
      </c>
      <c r="L180" s="101">
        <v>0.0</v>
      </c>
      <c r="M180" s="101">
        <v>25833.0</v>
      </c>
      <c r="N180" s="102">
        <f t="shared" si="205"/>
        <v>0</v>
      </c>
      <c r="O180" s="220">
        <f t="shared" si="206"/>
        <v>1.03332</v>
      </c>
      <c r="P180" s="111">
        <f t="shared" si="207"/>
        <v>0</v>
      </c>
      <c r="Q180" s="102">
        <f t="shared" si="208"/>
        <v>0</v>
      </c>
    </row>
    <row r="181">
      <c r="A181" s="217">
        <f t="shared" si="197"/>
        <v>43556</v>
      </c>
      <c r="B181" s="218">
        <f t="shared" si="198"/>
        <v>2019</v>
      </c>
      <c r="C181" s="100">
        <v>0.0</v>
      </c>
      <c r="D181" s="219">
        <f t="shared" si="199"/>
        <v>0</v>
      </c>
      <c r="E181" s="102">
        <f t="shared" si="200"/>
        <v>0</v>
      </c>
      <c r="F181" s="100">
        <v>0.0</v>
      </c>
      <c r="G181" s="219">
        <f t="shared" si="201"/>
        <v>25348</v>
      </c>
      <c r="H181" s="102">
        <f t="shared" si="202"/>
        <v>25348</v>
      </c>
      <c r="I181" s="101">
        <v>2941.0</v>
      </c>
      <c r="J181" s="101">
        <f t="shared" si="203"/>
        <v>2941</v>
      </c>
      <c r="K181" s="102">
        <f t="shared" si="204"/>
        <v>28289</v>
      </c>
      <c r="L181" s="101">
        <v>0.0</v>
      </c>
      <c r="M181" s="101">
        <v>25348.0</v>
      </c>
      <c r="N181" s="102">
        <f t="shared" si="205"/>
        <v>0</v>
      </c>
      <c r="O181" s="220">
        <f t="shared" si="206"/>
        <v>1.01392</v>
      </c>
      <c r="P181" s="111">
        <f t="shared" si="207"/>
        <v>0</v>
      </c>
      <c r="Q181" s="102">
        <f t="shared" si="208"/>
        <v>0</v>
      </c>
    </row>
    <row r="182">
      <c r="A182" s="217">
        <f t="shared" si="197"/>
        <v>43586</v>
      </c>
      <c r="B182" s="218">
        <f t="shared" si="198"/>
        <v>2019</v>
      </c>
      <c r="C182" s="100">
        <v>0.0</v>
      </c>
      <c r="D182" s="219">
        <f t="shared" si="199"/>
        <v>0</v>
      </c>
      <c r="E182" s="102">
        <f t="shared" si="200"/>
        <v>0</v>
      </c>
      <c r="F182" s="100">
        <v>0.0</v>
      </c>
      <c r="G182" s="219">
        <f t="shared" si="201"/>
        <v>24583</v>
      </c>
      <c r="H182" s="102">
        <f t="shared" si="202"/>
        <v>24583</v>
      </c>
      <c r="I182" s="101">
        <v>2941.0</v>
      </c>
      <c r="J182" s="101">
        <f t="shared" si="203"/>
        <v>2941</v>
      </c>
      <c r="K182" s="102">
        <f t="shared" si="204"/>
        <v>27524</v>
      </c>
      <c r="L182" s="101">
        <v>0.0</v>
      </c>
      <c r="M182" s="101">
        <v>24583.0</v>
      </c>
      <c r="N182" s="102">
        <f t="shared" si="205"/>
        <v>0</v>
      </c>
      <c r="O182" s="220">
        <f t="shared" si="206"/>
        <v>0.98332</v>
      </c>
      <c r="P182" s="111">
        <f t="shared" si="207"/>
        <v>0</v>
      </c>
      <c r="Q182" s="102">
        <f t="shared" si="208"/>
        <v>0</v>
      </c>
    </row>
    <row r="183">
      <c r="A183" s="217">
        <f t="shared" si="197"/>
        <v>43617</v>
      </c>
      <c r="B183" s="218">
        <f t="shared" si="198"/>
        <v>2019</v>
      </c>
      <c r="C183" s="100">
        <v>0.0</v>
      </c>
      <c r="D183" s="219">
        <f t="shared" si="199"/>
        <v>0</v>
      </c>
      <c r="E183" s="102">
        <f t="shared" si="200"/>
        <v>0</v>
      </c>
      <c r="F183" s="100">
        <v>1.0</v>
      </c>
      <c r="G183" s="219">
        <f t="shared" si="201"/>
        <v>23817</v>
      </c>
      <c r="H183" s="102">
        <f t="shared" si="202"/>
        <v>23817</v>
      </c>
      <c r="I183" s="101">
        <v>18382.0</v>
      </c>
      <c r="J183" s="101">
        <f t="shared" si="203"/>
        <v>18382</v>
      </c>
      <c r="K183" s="102">
        <f t="shared" si="204"/>
        <v>42199</v>
      </c>
      <c r="L183" s="101">
        <v>0.0</v>
      </c>
      <c r="M183" s="101">
        <v>23817.0</v>
      </c>
      <c r="N183" s="102">
        <f t="shared" si="205"/>
        <v>0</v>
      </c>
      <c r="O183" s="220">
        <f t="shared" si="206"/>
        <v>0.95268</v>
      </c>
      <c r="P183" s="111">
        <f t="shared" si="207"/>
        <v>0</v>
      </c>
      <c r="Q183" s="102">
        <f t="shared" si="208"/>
        <v>0</v>
      </c>
    </row>
    <row r="184">
      <c r="A184" s="217">
        <f t="shared" si="197"/>
        <v>43647</v>
      </c>
      <c r="B184" s="218">
        <f t="shared" si="198"/>
        <v>2019</v>
      </c>
      <c r="C184" s="100">
        <v>0.0</v>
      </c>
      <c r="D184" s="219">
        <f t="shared" si="199"/>
        <v>0</v>
      </c>
      <c r="E184" s="102">
        <f t="shared" si="200"/>
        <v>0</v>
      </c>
      <c r="F184" s="100">
        <v>1.0</v>
      </c>
      <c r="G184" s="219">
        <f t="shared" si="201"/>
        <v>23332</v>
      </c>
      <c r="H184" s="102">
        <f t="shared" si="202"/>
        <v>23332</v>
      </c>
      <c r="I184" s="101">
        <v>2941.0</v>
      </c>
      <c r="J184" s="101">
        <f t="shared" si="203"/>
        <v>2941</v>
      </c>
      <c r="K184" s="102">
        <f t="shared" si="204"/>
        <v>26273</v>
      </c>
      <c r="L184" s="101">
        <v>0.0</v>
      </c>
      <c r="M184" s="101">
        <v>23332.0</v>
      </c>
      <c r="N184" s="102">
        <f t="shared" si="205"/>
        <v>0</v>
      </c>
      <c r="O184" s="220">
        <f t="shared" si="206"/>
        <v>0.93328</v>
      </c>
      <c r="P184" s="111">
        <f t="shared" si="207"/>
        <v>0</v>
      </c>
      <c r="Q184" s="102">
        <f t="shared" si="208"/>
        <v>0</v>
      </c>
    </row>
    <row r="185">
      <c r="A185" s="217">
        <f t="shared" si="197"/>
        <v>43678</v>
      </c>
      <c r="B185" s="218">
        <f t="shared" si="198"/>
        <v>2019</v>
      </c>
      <c r="C185" s="100">
        <v>0.0</v>
      </c>
      <c r="D185" s="219">
        <f t="shared" si="199"/>
        <v>0</v>
      </c>
      <c r="E185" s="102">
        <f t="shared" si="200"/>
        <v>0</v>
      </c>
      <c r="F185" s="100">
        <v>1.0</v>
      </c>
      <c r="G185" s="219">
        <f t="shared" si="201"/>
        <v>23330</v>
      </c>
      <c r="H185" s="102">
        <f t="shared" si="202"/>
        <v>23330</v>
      </c>
      <c r="I185" s="101">
        <v>2941.0</v>
      </c>
      <c r="J185" s="101">
        <f t="shared" si="203"/>
        <v>2941</v>
      </c>
      <c r="K185" s="102">
        <f t="shared" si="204"/>
        <v>26271</v>
      </c>
      <c r="L185" s="101">
        <v>0.0</v>
      </c>
      <c r="M185" s="101">
        <v>23330.0</v>
      </c>
      <c r="N185" s="102">
        <f t="shared" si="205"/>
        <v>0</v>
      </c>
      <c r="O185" s="220">
        <f t="shared" si="206"/>
        <v>0.9332</v>
      </c>
      <c r="P185" s="111">
        <f t="shared" si="207"/>
        <v>0</v>
      </c>
      <c r="Q185" s="102">
        <f t="shared" si="208"/>
        <v>0</v>
      </c>
    </row>
    <row r="186">
      <c r="A186" s="217">
        <f t="shared" si="197"/>
        <v>43709</v>
      </c>
      <c r="B186" s="218">
        <f t="shared" si="198"/>
        <v>2019</v>
      </c>
      <c r="C186" s="100">
        <v>0.0</v>
      </c>
      <c r="D186" s="219">
        <f t="shared" si="199"/>
        <v>0</v>
      </c>
      <c r="E186" s="102">
        <f t="shared" si="200"/>
        <v>0</v>
      </c>
      <c r="F186" s="100">
        <v>1.0</v>
      </c>
      <c r="G186" s="219">
        <f t="shared" si="201"/>
        <v>23888</v>
      </c>
      <c r="H186" s="102">
        <f t="shared" si="202"/>
        <v>23888</v>
      </c>
      <c r="I186" s="101">
        <v>18382.0</v>
      </c>
      <c r="J186" s="101">
        <f t="shared" si="203"/>
        <v>18382</v>
      </c>
      <c r="K186" s="102">
        <f t="shared" si="204"/>
        <v>42270</v>
      </c>
      <c r="L186" s="101">
        <v>0.0</v>
      </c>
      <c r="M186" s="101">
        <v>23888.0</v>
      </c>
      <c r="N186" s="102">
        <f t="shared" si="205"/>
        <v>0</v>
      </c>
      <c r="O186" s="220">
        <f t="shared" si="206"/>
        <v>0.95552</v>
      </c>
      <c r="P186" s="111">
        <f t="shared" si="207"/>
        <v>0</v>
      </c>
      <c r="Q186" s="102">
        <f t="shared" si="208"/>
        <v>0</v>
      </c>
    </row>
    <row r="187">
      <c r="A187" s="217">
        <f t="shared" si="197"/>
        <v>43739</v>
      </c>
      <c r="B187" s="218">
        <f t="shared" si="198"/>
        <v>2019</v>
      </c>
      <c r="C187" s="100">
        <v>0.0</v>
      </c>
      <c r="D187" s="219">
        <f t="shared" si="199"/>
        <v>0</v>
      </c>
      <c r="E187" s="102">
        <f t="shared" si="200"/>
        <v>0</v>
      </c>
      <c r="F187" s="100">
        <v>1.0</v>
      </c>
      <c r="G187" s="219">
        <f t="shared" si="201"/>
        <v>24930</v>
      </c>
      <c r="H187" s="102">
        <f t="shared" si="202"/>
        <v>24930</v>
      </c>
      <c r="I187" s="101">
        <v>2941.0</v>
      </c>
      <c r="J187" s="101">
        <f t="shared" si="203"/>
        <v>2941</v>
      </c>
      <c r="K187" s="102">
        <f t="shared" si="204"/>
        <v>27871</v>
      </c>
      <c r="L187" s="101">
        <v>0.0</v>
      </c>
      <c r="M187" s="101">
        <v>24930.0</v>
      </c>
      <c r="N187" s="102">
        <f t="shared" si="205"/>
        <v>0</v>
      </c>
      <c r="O187" s="220">
        <f t="shared" si="206"/>
        <v>0.9972</v>
      </c>
      <c r="P187" s="111">
        <f t="shared" si="207"/>
        <v>0</v>
      </c>
      <c r="Q187" s="102">
        <f t="shared" si="208"/>
        <v>0</v>
      </c>
    </row>
    <row r="188">
      <c r="A188" s="217">
        <f t="shared" si="197"/>
        <v>43770</v>
      </c>
      <c r="B188" s="218">
        <f t="shared" si="198"/>
        <v>2019</v>
      </c>
      <c r="C188" s="100">
        <v>0.0</v>
      </c>
      <c r="D188" s="219">
        <f t="shared" si="199"/>
        <v>0</v>
      </c>
      <c r="E188" s="102">
        <f t="shared" si="200"/>
        <v>0</v>
      </c>
      <c r="F188" s="100">
        <v>1.0</v>
      </c>
      <c r="G188" s="219">
        <f t="shared" si="201"/>
        <v>26252</v>
      </c>
      <c r="H188" s="102">
        <f t="shared" si="202"/>
        <v>26252</v>
      </c>
      <c r="I188" s="101">
        <v>2941.0</v>
      </c>
      <c r="J188" s="101">
        <f t="shared" si="203"/>
        <v>2941</v>
      </c>
      <c r="K188" s="102">
        <f t="shared" si="204"/>
        <v>29193</v>
      </c>
      <c r="L188" s="101">
        <v>0.0</v>
      </c>
      <c r="M188" s="101">
        <v>26252.0</v>
      </c>
      <c r="N188" s="102">
        <f t="shared" si="205"/>
        <v>0</v>
      </c>
      <c r="O188" s="220">
        <f t="shared" si="206"/>
        <v>1.05008</v>
      </c>
      <c r="P188" s="111">
        <f t="shared" si="207"/>
        <v>0</v>
      </c>
      <c r="Q188" s="102">
        <f t="shared" si="208"/>
        <v>0</v>
      </c>
    </row>
    <row r="189">
      <c r="A189" s="217">
        <f t="shared" si="197"/>
        <v>43800</v>
      </c>
      <c r="B189" s="218">
        <f t="shared" si="198"/>
        <v>2019</v>
      </c>
      <c r="C189" s="100">
        <v>0.0</v>
      </c>
      <c r="D189" s="219">
        <f t="shared" si="199"/>
        <v>0</v>
      </c>
      <c r="E189" s="102">
        <f t="shared" si="200"/>
        <v>0</v>
      </c>
      <c r="F189" s="100">
        <v>1.0</v>
      </c>
      <c r="G189" s="219">
        <f t="shared" si="201"/>
        <v>27575</v>
      </c>
      <c r="H189" s="102">
        <f t="shared" si="202"/>
        <v>27575</v>
      </c>
      <c r="I189" s="101">
        <v>21326.0</v>
      </c>
      <c r="J189" s="101">
        <f t="shared" si="203"/>
        <v>21326</v>
      </c>
      <c r="K189" s="102">
        <f t="shared" si="204"/>
        <v>48901</v>
      </c>
      <c r="L189" s="101">
        <v>0.0</v>
      </c>
      <c r="M189" s="101">
        <v>27575.0</v>
      </c>
      <c r="N189" s="102">
        <f t="shared" si="205"/>
        <v>0</v>
      </c>
      <c r="O189" s="220">
        <f t="shared" si="206"/>
        <v>1.103</v>
      </c>
      <c r="P189" s="111">
        <f t="shared" si="207"/>
        <v>0</v>
      </c>
      <c r="Q189" s="102">
        <f t="shared" si="208"/>
        <v>0</v>
      </c>
    </row>
    <row r="190">
      <c r="A190" s="217">
        <f t="shared" si="197"/>
        <v>43831</v>
      </c>
      <c r="B190" s="218">
        <f t="shared" si="198"/>
        <v>2020</v>
      </c>
      <c r="C190" s="100">
        <v>0.0</v>
      </c>
      <c r="D190" s="219">
        <f t="shared" si="199"/>
        <v>0</v>
      </c>
      <c r="E190" s="102">
        <f t="shared" si="200"/>
        <v>0</v>
      </c>
      <c r="F190" s="100">
        <v>1.0</v>
      </c>
      <c r="G190" s="219">
        <f t="shared" si="201"/>
        <v>84256</v>
      </c>
      <c r="H190" s="102">
        <f t="shared" si="202"/>
        <v>84256</v>
      </c>
      <c r="I190" s="101">
        <v>8824.0</v>
      </c>
      <c r="J190" s="101">
        <f t="shared" si="203"/>
        <v>8824</v>
      </c>
      <c r="K190" s="102">
        <f t="shared" si="204"/>
        <v>93080</v>
      </c>
      <c r="L190" s="101">
        <v>0.0</v>
      </c>
      <c r="M190" s="101">
        <v>84256.0</v>
      </c>
      <c r="N190" s="102">
        <f t="shared" si="205"/>
        <v>0</v>
      </c>
      <c r="O190" s="220">
        <f t="shared" si="206"/>
        <v>1.011072</v>
      </c>
      <c r="P190" s="111">
        <f t="shared" si="207"/>
        <v>0</v>
      </c>
      <c r="Q190" s="102">
        <f t="shared" si="208"/>
        <v>0</v>
      </c>
    </row>
    <row r="191">
      <c r="A191" s="217">
        <f t="shared" si="197"/>
        <v>43862</v>
      </c>
      <c r="B191" s="218">
        <f t="shared" si="198"/>
        <v>2020</v>
      </c>
      <c r="C191" s="100">
        <v>0.0</v>
      </c>
      <c r="D191" s="219">
        <f t="shared" si="199"/>
        <v>0</v>
      </c>
      <c r="E191" s="102">
        <f t="shared" si="200"/>
        <v>0</v>
      </c>
      <c r="F191" s="100">
        <v>1.0</v>
      </c>
      <c r="G191" s="219">
        <f t="shared" si="201"/>
        <v>86116</v>
      </c>
      <c r="H191" s="102">
        <f t="shared" si="202"/>
        <v>86116</v>
      </c>
      <c r="I191" s="101">
        <v>8824.0</v>
      </c>
      <c r="J191" s="101">
        <f t="shared" si="203"/>
        <v>8824</v>
      </c>
      <c r="K191" s="102">
        <f t="shared" si="204"/>
        <v>94940</v>
      </c>
      <c r="L191" s="101">
        <v>0.0</v>
      </c>
      <c r="M191" s="101">
        <v>86116.0</v>
      </c>
      <c r="N191" s="102">
        <f t="shared" si="205"/>
        <v>0</v>
      </c>
      <c r="O191" s="220">
        <f t="shared" si="206"/>
        <v>1.033392</v>
      </c>
      <c r="P191" s="111">
        <f t="shared" si="207"/>
        <v>0</v>
      </c>
      <c r="Q191" s="102">
        <f t="shared" si="208"/>
        <v>0</v>
      </c>
    </row>
    <row r="192">
      <c r="A192" s="217">
        <f t="shared" si="197"/>
        <v>43891</v>
      </c>
      <c r="B192" s="218">
        <f t="shared" si="198"/>
        <v>2020</v>
      </c>
      <c r="C192" s="100">
        <v>0.0</v>
      </c>
      <c r="D192" s="219">
        <f t="shared" si="199"/>
        <v>0</v>
      </c>
      <c r="E192" s="102">
        <f t="shared" si="200"/>
        <v>0</v>
      </c>
      <c r="F192" s="100">
        <v>2.0</v>
      </c>
      <c r="G192" s="219">
        <f t="shared" si="201"/>
        <v>43056</v>
      </c>
      <c r="H192" s="102">
        <f t="shared" si="202"/>
        <v>86112</v>
      </c>
      <c r="I192" s="101">
        <v>55147.0</v>
      </c>
      <c r="J192" s="101">
        <f t="shared" si="203"/>
        <v>55147</v>
      </c>
      <c r="K192" s="102">
        <f t="shared" si="204"/>
        <v>141259</v>
      </c>
      <c r="L192" s="101">
        <v>0.0</v>
      </c>
      <c r="M192" s="101">
        <v>86112.0</v>
      </c>
      <c r="N192" s="102">
        <f t="shared" si="205"/>
        <v>0</v>
      </c>
      <c r="O192" s="220">
        <f t="shared" si="206"/>
        <v>1.033344</v>
      </c>
      <c r="P192" s="111">
        <f t="shared" si="207"/>
        <v>0</v>
      </c>
      <c r="Q192" s="102">
        <f t="shared" si="208"/>
        <v>0</v>
      </c>
    </row>
    <row r="193">
      <c r="A193" s="217">
        <f t="shared" si="197"/>
        <v>43922</v>
      </c>
      <c r="B193" s="218">
        <f t="shared" si="198"/>
        <v>2020</v>
      </c>
      <c r="C193" s="100">
        <v>0.0</v>
      </c>
      <c r="D193" s="219">
        <f t="shared" si="199"/>
        <v>0</v>
      </c>
      <c r="E193" s="102">
        <f t="shared" si="200"/>
        <v>0</v>
      </c>
      <c r="F193" s="100">
        <v>2.0</v>
      </c>
      <c r="G193" s="219">
        <f t="shared" si="201"/>
        <v>42246.5</v>
      </c>
      <c r="H193" s="102">
        <f t="shared" si="202"/>
        <v>84493</v>
      </c>
      <c r="I193" s="101">
        <v>8824.0</v>
      </c>
      <c r="J193" s="101">
        <f t="shared" si="203"/>
        <v>8824</v>
      </c>
      <c r="K193" s="102">
        <f t="shared" si="204"/>
        <v>93317</v>
      </c>
      <c r="L193" s="101">
        <v>0.0</v>
      </c>
      <c r="M193" s="101">
        <v>84493.0</v>
      </c>
      <c r="N193" s="102">
        <f t="shared" si="205"/>
        <v>0</v>
      </c>
      <c r="O193" s="220">
        <f t="shared" si="206"/>
        <v>1.013916</v>
      </c>
      <c r="P193" s="111">
        <f t="shared" si="207"/>
        <v>0</v>
      </c>
      <c r="Q193" s="102">
        <f t="shared" si="208"/>
        <v>0</v>
      </c>
    </row>
    <row r="194">
      <c r="A194" s="217">
        <f t="shared" si="197"/>
        <v>43952</v>
      </c>
      <c r="B194" s="218">
        <f t="shared" si="198"/>
        <v>2020</v>
      </c>
      <c r="C194" s="100">
        <v>0.0</v>
      </c>
      <c r="D194" s="219">
        <f t="shared" si="199"/>
        <v>0</v>
      </c>
      <c r="E194" s="102">
        <f t="shared" si="200"/>
        <v>0</v>
      </c>
      <c r="F194" s="100">
        <v>2.0</v>
      </c>
      <c r="G194" s="219">
        <f t="shared" si="201"/>
        <v>40971</v>
      </c>
      <c r="H194" s="102">
        <f t="shared" si="202"/>
        <v>81942</v>
      </c>
      <c r="I194" s="101">
        <v>8824.0</v>
      </c>
      <c r="J194" s="101">
        <f t="shared" si="203"/>
        <v>8824</v>
      </c>
      <c r="K194" s="102">
        <f t="shared" si="204"/>
        <v>90766</v>
      </c>
      <c r="L194" s="101">
        <v>0.0</v>
      </c>
      <c r="M194" s="101">
        <v>81942.0</v>
      </c>
      <c r="N194" s="102">
        <f t="shared" si="205"/>
        <v>0</v>
      </c>
      <c r="O194" s="220">
        <f t="shared" si="206"/>
        <v>0.983304</v>
      </c>
      <c r="P194" s="111">
        <f t="shared" si="207"/>
        <v>0</v>
      </c>
      <c r="Q194" s="102">
        <f t="shared" si="208"/>
        <v>0</v>
      </c>
    </row>
    <row r="195">
      <c r="A195" s="217">
        <f t="shared" si="197"/>
        <v>43983</v>
      </c>
      <c r="B195" s="218">
        <f t="shared" si="198"/>
        <v>2020</v>
      </c>
      <c r="C195" s="100">
        <v>0.0</v>
      </c>
      <c r="D195" s="219">
        <f t="shared" si="199"/>
        <v>0</v>
      </c>
      <c r="E195" s="102">
        <f t="shared" si="200"/>
        <v>0</v>
      </c>
      <c r="F195" s="100">
        <v>2.0</v>
      </c>
      <c r="G195" s="219">
        <f t="shared" si="201"/>
        <v>39695.5</v>
      </c>
      <c r="H195" s="102">
        <f t="shared" si="202"/>
        <v>79391</v>
      </c>
      <c r="I195" s="101">
        <v>55147.0</v>
      </c>
      <c r="J195" s="101">
        <f t="shared" si="203"/>
        <v>55147</v>
      </c>
      <c r="K195" s="102">
        <f t="shared" si="204"/>
        <v>134538</v>
      </c>
      <c r="L195" s="101">
        <v>0.0</v>
      </c>
      <c r="M195" s="101">
        <v>79391.0</v>
      </c>
      <c r="N195" s="102">
        <f t="shared" si="205"/>
        <v>0</v>
      </c>
      <c r="O195" s="220">
        <f t="shared" si="206"/>
        <v>0.952692</v>
      </c>
      <c r="P195" s="111">
        <f t="shared" si="207"/>
        <v>0</v>
      </c>
      <c r="Q195" s="102">
        <f t="shared" si="208"/>
        <v>0</v>
      </c>
    </row>
    <row r="196">
      <c r="A196" s="217">
        <f t="shared" si="197"/>
        <v>44013</v>
      </c>
      <c r="B196" s="218">
        <f t="shared" si="198"/>
        <v>2020</v>
      </c>
      <c r="C196" s="100">
        <v>0.0</v>
      </c>
      <c r="D196" s="219">
        <f t="shared" si="199"/>
        <v>0</v>
      </c>
      <c r="E196" s="102">
        <f t="shared" si="200"/>
        <v>0</v>
      </c>
      <c r="F196" s="100">
        <v>2.0</v>
      </c>
      <c r="G196" s="219">
        <f t="shared" si="201"/>
        <v>38886</v>
      </c>
      <c r="H196" s="102">
        <f t="shared" si="202"/>
        <v>77772</v>
      </c>
      <c r="I196" s="101">
        <v>8824.0</v>
      </c>
      <c r="J196" s="101">
        <f t="shared" si="203"/>
        <v>8824</v>
      </c>
      <c r="K196" s="102">
        <f t="shared" si="204"/>
        <v>86596</v>
      </c>
      <c r="L196" s="101">
        <v>0.0</v>
      </c>
      <c r="M196" s="101">
        <v>77772.0</v>
      </c>
      <c r="N196" s="102">
        <f t="shared" si="205"/>
        <v>0</v>
      </c>
      <c r="O196" s="220">
        <f t="shared" si="206"/>
        <v>0.933264</v>
      </c>
      <c r="P196" s="111">
        <f t="shared" si="207"/>
        <v>0</v>
      </c>
      <c r="Q196" s="102">
        <f t="shared" si="208"/>
        <v>0</v>
      </c>
    </row>
    <row r="197">
      <c r="A197" s="217">
        <f t="shared" si="197"/>
        <v>44044</v>
      </c>
      <c r="B197" s="218">
        <f t="shared" si="198"/>
        <v>2020</v>
      </c>
      <c r="C197" s="100">
        <v>0.0</v>
      </c>
      <c r="D197" s="219">
        <f t="shared" si="199"/>
        <v>0</v>
      </c>
      <c r="E197" s="102">
        <f t="shared" si="200"/>
        <v>0</v>
      </c>
      <c r="F197" s="100">
        <v>2.0</v>
      </c>
      <c r="G197" s="219">
        <f t="shared" si="201"/>
        <v>38883.5</v>
      </c>
      <c r="H197" s="102">
        <f t="shared" si="202"/>
        <v>77767</v>
      </c>
      <c r="I197" s="101">
        <v>8824.0</v>
      </c>
      <c r="J197" s="101">
        <f t="shared" si="203"/>
        <v>8824</v>
      </c>
      <c r="K197" s="102">
        <f t="shared" si="204"/>
        <v>86591</v>
      </c>
      <c r="L197" s="101">
        <v>0.0</v>
      </c>
      <c r="M197" s="101">
        <v>77767.0</v>
      </c>
      <c r="N197" s="102">
        <f t="shared" si="205"/>
        <v>0</v>
      </c>
      <c r="O197" s="220">
        <f t="shared" si="206"/>
        <v>0.933204</v>
      </c>
      <c r="P197" s="111">
        <f t="shared" si="207"/>
        <v>0</v>
      </c>
      <c r="Q197" s="102">
        <f t="shared" si="208"/>
        <v>0</v>
      </c>
    </row>
    <row r="198">
      <c r="A198" s="217">
        <f t="shared" si="197"/>
        <v>44075</v>
      </c>
      <c r="B198" s="218">
        <f t="shared" si="198"/>
        <v>2020</v>
      </c>
      <c r="C198" s="100">
        <v>0.0</v>
      </c>
      <c r="D198" s="219">
        <f t="shared" si="199"/>
        <v>0</v>
      </c>
      <c r="E198" s="102">
        <f t="shared" si="200"/>
        <v>0</v>
      </c>
      <c r="F198" s="100">
        <v>3.0</v>
      </c>
      <c r="G198" s="219">
        <f t="shared" si="201"/>
        <v>26542.33333</v>
      </c>
      <c r="H198" s="102">
        <f t="shared" si="202"/>
        <v>79627</v>
      </c>
      <c r="I198" s="101">
        <v>55147.0</v>
      </c>
      <c r="J198" s="101">
        <f t="shared" si="203"/>
        <v>55147</v>
      </c>
      <c r="K198" s="102">
        <f t="shared" si="204"/>
        <v>134774</v>
      </c>
      <c r="L198" s="101">
        <v>0.0</v>
      </c>
      <c r="M198" s="101">
        <v>79627.0</v>
      </c>
      <c r="N198" s="102">
        <f t="shared" si="205"/>
        <v>0</v>
      </c>
      <c r="O198" s="220">
        <f t="shared" si="206"/>
        <v>0.955524</v>
      </c>
      <c r="P198" s="111">
        <f t="shared" si="207"/>
        <v>0</v>
      </c>
      <c r="Q198" s="102">
        <f t="shared" si="208"/>
        <v>0</v>
      </c>
    </row>
    <row r="199">
      <c r="A199" s="217">
        <f t="shared" si="197"/>
        <v>44105</v>
      </c>
      <c r="B199" s="218">
        <f t="shared" si="198"/>
        <v>2020</v>
      </c>
      <c r="C199" s="100">
        <v>0.0</v>
      </c>
      <c r="D199" s="219">
        <f t="shared" si="199"/>
        <v>0</v>
      </c>
      <c r="E199" s="102">
        <f t="shared" si="200"/>
        <v>0</v>
      </c>
      <c r="F199" s="100">
        <v>3.0</v>
      </c>
      <c r="G199" s="219">
        <f t="shared" si="201"/>
        <v>27700.33333</v>
      </c>
      <c r="H199" s="102">
        <f t="shared" si="202"/>
        <v>83101</v>
      </c>
      <c r="I199" s="101">
        <v>8824.0</v>
      </c>
      <c r="J199" s="101">
        <f t="shared" si="203"/>
        <v>8824</v>
      </c>
      <c r="K199" s="102">
        <f t="shared" si="204"/>
        <v>91925</v>
      </c>
      <c r="L199" s="101">
        <v>0.0</v>
      </c>
      <c r="M199" s="101">
        <v>83101.0</v>
      </c>
      <c r="N199" s="102">
        <f t="shared" si="205"/>
        <v>0</v>
      </c>
      <c r="O199" s="220">
        <f t="shared" si="206"/>
        <v>0.997212</v>
      </c>
      <c r="P199" s="111">
        <f t="shared" si="207"/>
        <v>0</v>
      </c>
      <c r="Q199" s="102">
        <f t="shared" si="208"/>
        <v>0</v>
      </c>
    </row>
    <row r="200">
      <c r="A200" s="217">
        <f t="shared" si="197"/>
        <v>44136</v>
      </c>
      <c r="B200" s="218">
        <f t="shared" si="198"/>
        <v>2020</v>
      </c>
      <c r="C200" s="100">
        <v>0.0</v>
      </c>
      <c r="D200" s="219">
        <f t="shared" si="199"/>
        <v>0</v>
      </c>
      <c r="E200" s="102">
        <f t="shared" si="200"/>
        <v>0</v>
      </c>
      <c r="F200" s="100">
        <v>3.0</v>
      </c>
      <c r="G200" s="219">
        <f t="shared" si="201"/>
        <v>29169.33333</v>
      </c>
      <c r="H200" s="102">
        <f t="shared" si="202"/>
        <v>87508</v>
      </c>
      <c r="I200" s="101">
        <v>8824.0</v>
      </c>
      <c r="J200" s="101">
        <f t="shared" si="203"/>
        <v>8824</v>
      </c>
      <c r="K200" s="102">
        <f t="shared" si="204"/>
        <v>96332</v>
      </c>
      <c r="L200" s="101">
        <v>0.0</v>
      </c>
      <c r="M200" s="101">
        <v>87508.0</v>
      </c>
      <c r="N200" s="102">
        <f t="shared" si="205"/>
        <v>0</v>
      </c>
      <c r="O200" s="220">
        <f t="shared" si="206"/>
        <v>1.050096</v>
      </c>
      <c r="P200" s="111">
        <f t="shared" si="207"/>
        <v>0</v>
      </c>
      <c r="Q200" s="102">
        <f t="shared" si="208"/>
        <v>0</v>
      </c>
    </row>
    <row r="201">
      <c r="A201" s="217">
        <f t="shared" si="197"/>
        <v>44166</v>
      </c>
      <c r="B201" s="218">
        <f t="shared" si="198"/>
        <v>2020</v>
      </c>
      <c r="C201" s="100">
        <v>0.0</v>
      </c>
      <c r="D201" s="219">
        <f t="shared" si="199"/>
        <v>0</v>
      </c>
      <c r="E201" s="102">
        <f t="shared" si="200"/>
        <v>0</v>
      </c>
      <c r="F201" s="100">
        <v>3.0</v>
      </c>
      <c r="G201" s="219">
        <f t="shared" si="201"/>
        <v>30638.33333</v>
      </c>
      <c r="H201" s="102">
        <f t="shared" si="202"/>
        <v>91915</v>
      </c>
      <c r="I201" s="101">
        <v>63967.0</v>
      </c>
      <c r="J201" s="101">
        <f t="shared" si="203"/>
        <v>63967</v>
      </c>
      <c r="K201" s="102">
        <f t="shared" si="204"/>
        <v>155882</v>
      </c>
      <c r="L201" s="101">
        <v>0.0</v>
      </c>
      <c r="M201" s="101">
        <v>91915.0</v>
      </c>
      <c r="N201" s="102">
        <f t="shared" si="205"/>
        <v>0</v>
      </c>
      <c r="O201" s="220">
        <f t="shared" si="206"/>
        <v>1.10298</v>
      </c>
      <c r="P201" s="111">
        <f t="shared" si="207"/>
        <v>0</v>
      </c>
      <c r="Q201" s="102">
        <f t="shared" si="208"/>
        <v>0</v>
      </c>
    </row>
    <row r="202">
      <c r="A202" s="217">
        <f t="shared" si="197"/>
        <v>44197</v>
      </c>
      <c r="B202" s="218">
        <f t="shared" si="198"/>
        <v>2021</v>
      </c>
      <c r="C202" s="100">
        <v>0.0</v>
      </c>
      <c r="D202" s="219">
        <f t="shared" si="199"/>
        <v>0</v>
      </c>
      <c r="E202" s="102">
        <f t="shared" si="200"/>
        <v>0</v>
      </c>
      <c r="F202" s="100">
        <v>3.0</v>
      </c>
      <c r="G202" s="219">
        <f t="shared" si="201"/>
        <v>64596.66667</v>
      </c>
      <c r="H202" s="102">
        <f t="shared" si="202"/>
        <v>193790</v>
      </c>
      <c r="I202" s="101">
        <v>20588.0</v>
      </c>
      <c r="J202" s="101">
        <f t="shared" si="203"/>
        <v>20588</v>
      </c>
      <c r="K202" s="102">
        <f t="shared" si="204"/>
        <v>214378</v>
      </c>
      <c r="L202" s="101">
        <v>0.0</v>
      </c>
      <c r="M202" s="101">
        <v>193790.0</v>
      </c>
      <c r="N202" s="102">
        <f t="shared" si="205"/>
        <v>0</v>
      </c>
      <c r="O202" s="220">
        <f t="shared" si="206"/>
        <v>1.011078261</v>
      </c>
      <c r="P202" s="111">
        <f t="shared" si="207"/>
        <v>0</v>
      </c>
      <c r="Q202" s="102">
        <f t="shared" si="208"/>
        <v>0</v>
      </c>
    </row>
    <row r="203">
      <c r="A203" s="217">
        <f t="shared" si="197"/>
        <v>44228</v>
      </c>
      <c r="B203" s="218">
        <f t="shared" si="198"/>
        <v>2021</v>
      </c>
      <c r="C203" s="100">
        <v>0.0</v>
      </c>
      <c r="D203" s="219">
        <f t="shared" si="199"/>
        <v>0</v>
      </c>
      <c r="E203" s="102">
        <f t="shared" si="200"/>
        <v>0</v>
      </c>
      <c r="F203" s="100">
        <v>4.0</v>
      </c>
      <c r="G203" s="219">
        <f t="shared" si="201"/>
        <v>49516.75</v>
      </c>
      <c r="H203" s="102">
        <f t="shared" si="202"/>
        <v>198067</v>
      </c>
      <c r="I203" s="101">
        <v>20588.0</v>
      </c>
      <c r="J203" s="101">
        <f t="shared" si="203"/>
        <v>20588</v>
      </c>
      <c r="K203" s="102">
        <f t="shared" si="204"/>
        <v>218655</v>
      </c>
      <c r="L203" s="101">
        <v>0.0</v>
      </c>
      <c r="M203" s="101">
        <v>198067.0</v>
      </c>
      <c r="N203" s="102">
        <f t="shared" si="205"/>
        <v>0</v>
      </c>
      <c r="O203" s="220">
        <f t="shared" si="206"/>
        <v>1.033393043</v>
      </c>
      <c r="P203" s="111">
        <f t="shared" si="207"/>
        <v>0</v>
      </c>
      <c r="Q203" s="102">
        <f t="shared" si="208"/>
        <v>0</v>
      </c>
    </row>
    <row r="204">
      <c r="A204" s="217">
        <f t="shared" si="197"/>
        <v>44256</v>
      </c>
      <c r="B204" s="218">
        <f t="shared" si="198"/>
        <v>2021</v>
      </c>
      <c r="C204" s="100">
        <v>0.0</v>
      </c>
      <c r="D204" s="219">
        <f t="shared" si="199"/>
        <v>0</v>
      </c>
      <c r="E204" s="102">
        <f t="shared" si="200"/>
        <v>0</v>
      </c>
      <c r="F204" s="100">
        <v>4.0</v>
      </c>
      <c r="G204" s="219">
        <f t="shared" si="201"/>
        <v>49514.25</v>
      </c>
      <c r="H204" s="102">
        <f t="shared" si="202"/>
        <v>198057</v>
      </c>
      <c r="I204" s="101">
        <v>128676.0</v>
      </c>
      <c r="J204" s="101">
        <f t="shared" si="203"/>
        <v>128676</v>
      </c>
      <c r="K204" s="102">
        <f t="shared" si="204"/>
        <v>326733</v>
      </c>
      <c r="L204" s="101">
        <v>0.0</v>
      </c>
      <c r="M204" s="101">
        <v>198057.0</v>
      </c>
      <c r="N204" s="102">
        <f t="shared" si="205"/>
        <v>0</v>
      </c>
      <c r="O204" s="220">
        <f t="shared" si="206"/>
        <v>1.03334087</v>
      </c>
      <c r="P204" s="111">
        <f t="shared" si="207"/>
        <v>0</v>
      </c>
      <c r="Q204" s="102">
        <f t="shared" si="208"/>
        <v>0</v>
      </c>
    </row>
    <row r="205">
      <c r="A205" s="217">
        <f t="shared" si="197"/>
        <v>44287</v>
      </c>
      <c r="B205" s="218">
        <f t="shared" si="198"/>
        <v>2021</v>
      </c>
      <c r="C205" s="100">
        <v>0.0</v>
      </c>
      <c r="D205" s="219">
        <f t="shared" si="199"/>
        <v>0</v>
      </c>
      <c r="E205" s="102">
        <f t="shared" si="200"/>
        <v>0</v>
      </c>
      <c r="F205" s="100">
        <v>5.0</v>
      </c>
      <c r="G205" s="219">
        <f t="shared" si="201"/>
        <v>38866.8</v>
      </c>
      <c r="H205" s="102">
        <f t="shared" si="202"/>
        <v>194334</v>
      </c>
      <c r="I205" s="101">
        <v>20588.0</v>
      </c>
      <c r="J205" s="101">
        <f t="shared" si="203"/>
        <v>20588</v>
      </c>
      <c r="K205" s="102">
        <f t="shared" si="204"/>
        <v>214922</v>
      </c>
      <c r="L205" s="101">
        <v>0.0</v>
      </c>
      <c r="M205" s="101">
        <v>194334.0</v>
      </c>
      <c r="N205" s="102">
        <f t="shared" si="205"/>
        <v>0</v>
      </c>
      <c r="O205" s="220">
        <f t="shared" si="206"/>
        <v>1.013916522</v>
      </c>
      <c r="P205" s="111">
        <f t="shared" si="207"/>
        <v>0</v>
      </c>
      <c r="Q205" s="102">
        <f t="shared" si="208"/>
        <v>0</v>
      </c>
    </row>
    <row r="206">
      <c r="A206" s="217">
        <f t="shared" si="197"/>
        <v>44317</v>
      </c>
      <c r="B206" s="218">
        <f t="shared" si="198"/>
        <v>2021</v>
      </c>
      <c r="C206" s="100">
        <v>0.0</v>
      </c>
      <c r="D206" s="219">
        <f t="shared" si="199"/>
        <v>0</v>
      </c>
      <c r="E206" s="102">
        <f t="shared" si="200"/>
        <v>0</v>
      </c>
      <c r="F206" s="100">
        <v>5.0</v>
      </c>
      <c r="G206" s="219">
        <f t="shared" si="201"/>
        <v>37693.2</v>
      </c>
      <c r="H206" s="102">
        <f t="shared" si="202"/>
        <v>188466</v>
      </c>
      <c r="I206" s="101">
        <v>20588.0</v>
      </c>
      <c r="J206" s="101">
        <f t="shared" si="203"/>
        <v>20588</v>
      </c>
      <c r="K206" s="102">
        <f t="shared" si="204"/>
        <v>209054</v>
      </c>
      <c r="L206" s="101">
        <v>0.0</v>
      </c>
      <c r="M206" s="101">
        <v>188466.0</v>
      </c>
      <c r="N206" s="102">
        <f t="shared" si="205"/>
        <v>0</v>
      </c>
      <c r="O206" s="220">
        <f t="shared" si="206"/>
        <v>0.9833008696</v>
      </c>
      <c r="P206" s="111">
        <f t="shared" si="207"/>
        <v>0</v>
      </c>
      <c r="Q206" s="102">
        <f t="shared" si="208"/>
        <v>0</v>
      </c>
    </row>
    <row r="207">
      <c r="A207" s="217">
        <f t="shared" si="197"/>
        <v>44348</v>
      </c>
      <c r="B207" s="218">
        <f t="shared" si="198"/>
        <v>2021</v>
      </c>
      <c r="C207" s="100">
        <v>0.0</v>
      </c>
      <c r="D207" s="219">
        <f t="shared" si="199"/>
        <v>0</v>
      </c>
      <c r="E207" s="102">
        <f t="shared" si="200"/>
        <v>0</v>
      </c>
      <c r="F207" s="100">
        <v>6.0</v>
      </c>
      <c r="G207" s="219">
        <f t="shared" si="201"/>
        <v>30433.16667</v>
      </c>
      <c r="H207" s="102">
        <f t="shared" si="202"/>
        <v>182599</v>
      </c>
      <c r="I207" s="101">
        <v>128676.0</v>
      </c>
      <c r="J207" s="101">
        <f t="shared" si="203"/>
        <v>128676</v>
      </c>
      <c r="K207" s="102">
        <f t="shared" si="204"/>
        <v>311275</v>
      </c>
      <c r="L207" s="101">
        <v>0.0</v>
      </c>
      <c r="M207" s="101">
        <v>182599.0</v>
      </c>
      <c r="N207" s="102">
        <f t="shared" si="205"/>
        <v>0</v>
      </c>
      <c r="O207" s="220">
        <f t="shared" si="206"/>
        <v>0.9526904348</v>
      </c>
      <c r="P207" s="111">
        <f t="shared" si="207"/>
        <v>0</v>
      </c>
      <c r="Q207" s="102">
        <f t="shared" si="208"/>
        <v>0</v>
      </c>
    </row>
    <row r="208">
      <c r="A208" s="217">
        <f t="shared" si="197"/>
        <v>44378</v>
      </c>
      <c r="B208" s="218">
        <f t="shared" si="198"/>
        <v>2021</v>
      </c>
      <c r="C208" s="100">
        <v>0.0</v>
      </c>
      <c r="D208" s="219">
        <f t="shared" si="199"/>
        <v>0</v>
      </c>
      <c r="E208" s="102">
        <f t="shared" si="200"/>
        <v>0</v>
      </c>
      <c r="F208" s="100">
        <v>6.0</v>
      </c>
      <c r="G208" s="219">
        <f t="shared" si="201"/>
        <v>29812.66667</v>
      </c>
      <c r="H208" s="102">
        <f t="shared" si="202"/>
        <v>178876</v>
      </c>
      <c r="I208" s="101">
        <v>20588.0</v>
      </c>
      <c r="J208" s="101">
        <f t="shared" si="203"/>
        <v>20588</v>
      </c>
      <c r="K208" s="102">
        <f t="shared" si="204"/>
        <v>199464</v>
      </c>
      <c r="L208" s="101">
        <v>0.0</v>
      </c>
      <c r="M208" s="101">
        <v>178876.0</v>
      </c>
      <c r="N208" s="102">
        <f t="shared" si="205"/>
        <v>0</v>
      </c>
      <c r="O208" s="220">
        <f t="shared" si="206"/>
        <v>0.933266087</v>
      </c>
      <c r="P208" s="111">
        <f t="shared" si="207"/>
        <v>0</v>
      </c>
      <c r="Q208" s="102">
        <f t="shared" si="208"/>
        <v>0</v>
      </c>
    </row>
    <row r="209">
      <c r="A209" s="217">
        <f t="shared" si="197"/>
        <v>44409</v>
      </c>
      <c r="B209" s="218">
        <f t="shared" si="198"/>
        <v>2021</v>
      </c>
      <c r="C209" s="100">
        <v>0.0</v>
      </c>
      <c r="D209" s="219">
        <f t="shared" si="199"/>
        <v>0</v>
      </c>
      <c r="E209" s="102">
        <f t="shared" si="200"/>
        <v>0</v>
      </c>
      <c r="F209" s="100">
        <v>6.0</v>
      </c>
      <c r="G209" s="219">
        <f t="shared" si="201"/>
        <v>29810.83333</v>
      </c>
      <c r="H209" s="102">
        <f t="shared" si="202"/>
        <v>178865</v>
      </c>
      <c r="I209" s="101">
        <v>20588.0</v>
      </c>
      <c r="J209" s="101">
        <f t="shared" si="203"/>
        <v>20588</v>
      </c>
      <c r="K209" s="102">
        <f t="shared" si="204"/>
        <v>199453</v>
      </c>
      <c r="L209" s="101">
        <v>0.0</v>
      </c>
      <c r="M209" s="101">
        <v>178865.0</v>
      </c>
      <c r="N209" s="102">
        <f t="shared" si="205"/>
        <v>0</v>
      </c>
      <c r="O209" s="220">
        <f t="shared" si="206"/>
        <v>0.9332086957</v>
      </c>
      <c r="P209" s="111">
        <f t="shared" si="207"/>
        <v>0</v>
      </c>
      <c r="Q209" s="102">
        <f t="shared" si="208"/>
        <v>0</v>
      </c>
    </row>
    <row r="210">
      <c r="A210" s="217">
        <f t="shared" si="197"/>
        <v>44440</v>
      </c>
      <c r="B210" s="218">
        <f t="shared" si="198"/>
        <v>2021</v>
      </c>
      <c r="C210" s="100">
        <v>0.0</v>
      </c>
      <c r="D210" s="219">
        <f t="shared" si="199"/>
        <v>0</v>
      </c>
      <c r="E210" s="102">
        <f t="shared" si="200"/>
        <v>0</v>
      </c>
      <c r="F210" s="100">
        <v>7.0</v>
      </c>
      <c r="G210" s="219">
        <f t="shared" si="201"/>
        <v>26163.28571</v>
      </c>
      <c r="H210" s="102">
        <f t="shared" si="202"/>
        <v>183143</v>
      </c>
      <c r="I210" s="101">
        <v>128676.0</v>
      </c>
      <c r="J210" s="101">
        <f t="shared" si="203"/>
        <v>128676</v>
      </c>
      <c r="K210" s="102">
        <f t="shared" si="204"/>
        <v>311819</v>
      </c>
      <c r="L210" s="101">
        <v>0.0</v>
      </c>
      <c r="M210" s="101">
        <v>183143.0</v>
      </c>
      <c r="N210" s="102">
        <f t="shared" si="205"/>
        <v>0</v>
      </c>
      <c r="O210" s="220">
        <f t="shared" si="206"/>
        <v>0.9555286957</v>
      </c>
      <c r="P210" s="111">
        <f t="shared" si="207"/>
        <v>0</v>
      </c>
      <c r="Q210" s="102">
        <f t="shared" si="208"/>
        <v>0</v>
      </c>
    </row>
    <row r="211">
      <c r="A211" s="217">
        <f t="shared" si="197"/>
        <v>44470</v>
      </c>
      <c r="B211" s="218">
        <f t="shared" si="198"/>
        <v>2021</v>
      </c>
      <c r="C211" s="100">
        <v>0.0</v>
      </c>
      <c r="D211" s="219">
        <f t="shared" si="199"/>
        <v>0</v>
      </c>
      <c r="E211" s="102">
        <f t="shared" si="200"/>
        <v>0</v>
      </c>
      <c r="F211" s="100">
        <v>7.0</v>
      </c>
      <c r="G211" s="219">
        <f t="shared" si="201"/>
        <v>27304.71429</v>
      </c>
      <c r="H211" s="102">
        <f t="shared" si="202"/>
        <v>191133</v>
      </c>
      <c r="I211" s="101">
        <v>20588.0</v>
      </c>
      <c r="J211" s="101">
        <f t="shared" si="203"/>
        <v>20588</v>
      </c>
      <c r="K211" s="102">
        <f t="shared" si="204"/>
        <v>211721</v>
      </c>
      <c r="L211" s="101">
        <v>0.0</v>
      </c>
      <c r="M211" s="101">
        <v>191133.0</v>
      </c>
      <c r="N211" s="102">
        <f t="shared" si="205"/>
        <v>0</v>
      </c>
      <c r="O211" s="220">
        <f t="shared" si="206"/>
        <v>0.9972156522</v>
      </c>
      <c r="P211" s="111">
        <f t="shared" si="207"/>
        <v>0</v>
      </c>
      <c r="Q211" s="102">
        <f t="shared" si="208"/>
        <v>0</v>
      </c>
    </row>
    <row r="212">
      <c r="A212" s="217">
        <f t="shared" si="197"/>
        <v>44501</v>
      </c>
      <c r="B212" s="218">
        <f t="shared" si="198"/>
        <v>2021</v>
      </c>
      <c r="C212" s="100">
        <v>0.0</v>
      </c>
      <c r="D212" s="219">
        <f t="shared" si="199"/>
        <v>0</v>
      </c>
      <c r="E212" s="102">
        <f t="shared" si="200"/>
        <v>0</v>
      </c>
      <c r="F212" s="100">
        <v>8.0</v>
      </c>
      <c r="G212" s="219">
        <f t="shared" si="201"/>
        <v>25158.5</v>
      </c>
      <c r="H212" s="102">
        <f t="shared" si="202"/>
        <v>201268</v>
      </c>
      <c r="I212" s="101">
        <v>20588.0</v>
      </c>
      <c r="J212" s="101">
        <f t="shared" si="203"/>
        <v>20588</v>
      </c>
      <c r="K212" s="102">
        <f t="shared" si="204"/>
        <v>221856</v>
      </c>
      <c r="L212" s="101">
        <v>0.0</v>
      </c>
      <c r="M212" s="101">
        <v>201268.0</v>
      </c>
      <c r="N212" s="102">
        <f t="shared" si="205"/>
        <v>0</v>
      </c>
      <c r="O212" s="220">
        <f t="shared" si="206"/>
        <v>1.050093913</v>
      </c>
      <c r="P212" s="111">
        <f t="shared" si="207"/>
        <v>0</v>
      </c>
      <c r="Q212" s="102">
        <f t="shared" si="208"/>
        <v>0</v>
      </c>
    </row>
    <row r="213">
      <c r="A213" s="217">
        <f t="shared" si="197"/>
        <v>44531</v>
      </c>
      <c r="B213" s="218">
        <f t="shared" si="198"/>
        <v>2021</v>
      </c>
      <c r="C213" s="100">
        <v>0.0</v>
      </c>
      <c r="D213" s="219">
        <f t="shared" si="199"/>
        <v>0</v>
      </c>
      <c r="E213" s="102">
        <f t="shared" si="200"/>
        <v>0</v>
      </c>
      <c r="F213" s="100">
        <v>8.0</v>
      </c>
      <c r="G213" s="219">
        <f t="shared" si="201"/>
        <v>26425.25</v>
      </c>
      <c r="H213" s="102">
        <f t="shared" si="202"/>
        <v>211402</v>
      </c>
      <c r="I213" s="101">
        <v>149268.0</v>
      </c>
      <c r="J213" s="101">
        <f t="shared" si="203"/>
        <v>149268</v>
      </c>
      <c r="K213" s="102">
        <f t="shared" si="204"/>
        <v>360670</v>
      </c>
      <c r="L213" s="101">
        <v>0.0</v>
      </c>
      <c r="M213" s="101">
        <v>211402.0</v>
      </c>
      <c r="N213" s="102">
        <f t="shared" si="205"/>
        <v>0</v>
      </c>
      <c r="O213" s="220">
        <f t="shared" si="206"/>
        <v>1.102966957</v>
      </c>
      <c r="P213" s="111">
        <f t="shared" si="207"/>
        <v>0</v>
      </c>
      <c r="Q213" s="102">
        <f t="shared" si="208"/>
        <v>0</v>
      </c>
    </row>
    <row r="214">
      <c r="A214" s="217">
        <f t="shared" si="197"/>
        <v>44562</v>
      </c>
      <c r="B214" s="218">
        <f t="shared" si="198"/>
        <v>2022</v>
      </c>
      <c r="C214" s="100">
        <v>0.0</v>
      </c>
      <c r="D214" s="219">
        <f t="shared" si="199"/>
        <v>0</v>
      </c>
      <c r="E214" s="102">
        <f t="shared" si="200"/>
        <v>0</v>
      </c>
      <c r="F214" s="100">
        <v>9.0</v>
      </c>
      <c r="G214" s="219">
        <f t="shared" si="201"/>
        <v>46809.11111</v>
      </c>
      <c r="H214" s="102">
        <f t="shared" si="202"/>
        <v>421282</v>
      </c>
      <c r="I214" s="101">
        <v>29412.0</v>
      </c>
      <c r="J214" s="101">
        <f t="shared" si="203"/>
        <v>29412</v>
      </c>
      <c r="K214" s="102">
        <f t="shared" si="204"/>
        <v>450694</v>
      </c>
      <c r="L214" s="101">
        <v>0.0</v>
      </c>
      <c r="M214" s="101">
        <v>421282.0</v>
      </c>
      <c r="N214" s="102">
        <f t="shared" si="205"/>
        <v>0</v>
      </c>
      <c r="O214" s="220">
        <f t="shared" si="206"/>
        <v>1.0110768</v>
      </c>
      <c r="P214" s="111">
        <f t="shared" si="207"/>
        <v>0</v>
      </c>
      <c r="Q214" s="102">
        <f t="shared" si="208"/>
        <v>0</v>
      </c>
    </row>
    <row r="215">
      <c r="A215" s="217">
        <f t="shared" si="197"/>
        <v>44593</v>
      </c>
      <c r="B215" s="218">
        <f t="shared" si="198"/>
        <v>2022</v>
      </c>
      <c r="C215" s="100">
        <v>0.0</v>
      </c>
      <c r="D215" s="219">
        <f t="shared" si="199"/>
        <v>0</v>
      </c>
      <c r="E215" s="102">
        <f t="shared" si="200"/>
        <v>0</v>
      </c>
      <c r="F215" s="100">
        <v>9.0</v>
      </c>
      <c r="G215" s="219">
        <f t="shared" si="201"/>
        <v>47842.33333</v>
      </c>
      <c r="H215" s="102">
        <f t="shared" si="202"/>
        <v>430581</v>
      </c>
      <c r="I215" s="101">
        <v>29412.0</v>
      </c>
      <c r="J215" s="101">
        <f t="shared" si="203"/>
        <v>29412</v>
      </c>
      <c r="K215" s="102">
        <f t="shared" si="204"/>
        <v>459993</v>
      </c>
      <c r="L215" s="101">
        <v>0.0</v>
      </c>
      <c r="M215" s="101">
        <v>430581.0</v>
      </c>
      <c r="N215" s="102">
        <f t="shared" si="205"/>
        <v>0</v>
      </c>
      <c r="O215" s="220">
        <f t="shared" si="206"/>
        <v>1.0333944</v>
      </c>
      <c r="P215" s="111">
        <f t="shared" si="207"/>
        <v>0</v>
      </c>
      <c r="Q215" s="102">
        <f t="shared" si="208"/>
        <v>0</v>
      </c>
    </row>
    <row r="216">
      <c r="A216" s="217">
        <f t="shared" si="197"/>
        <v>44621</v>
      </c>
      <c r="B216" s="218">
        <f t="shared" si="198"/>
        <v>2022</v>
      </c>
      <c r="C216" s="100">
        <v>0.0</v>
      </c>
      <c r="D216" s="219">
        <f t="shared" si="199"/>
        <v>0</v>
      </c>
      <c r="E216" s="102">
        <f t="shared" si="200"/>
        <v>0</v>
      </c>
      <c r="F216" s="100">
        <v>10.0</v>
      </c>
      <c r="G216" s="219">
        <f t="shared" si="201"/>
        <v>43055.8</v>
      </c>
      <c r="H216" s="102">
        <f t="shared" si="202"/>
        <v>430558</v>
      </c>
      <c r="I216" s="101">
        <v>183824.0</v>
      </c>
      <c r="J216" s="101">
        <f t="shared" si="203"/>
        <v>183824</v>
      </c>
      <c r="K216" s="102">
        <f t="shared" si="204"/>
        <v>614382</v>
      </c>
      <c r="L216" s="101">
        <v>0.0</v>
      </c>
      <c r="M216" s="101">
        <v>430558.0</v>
      </c>
      <c r="N216" s="102">
        <f t="shared" si="205"/>
        <v>0</v>
      </c>
      <c r="O216" s="220">
        <f t="shared" si="206"/>
        <v>1.0333392</v>
      </c>
      <c r="P216" s="111">
        <f t="shared" si="207"/>
        <v>0</v>
      </c>
      <c r="Q216" s="102">
        <f t="shared" si="208"/>
        <v>0</v>
      </c>
    </row>
    <row r="217">
      <c r="A217" s="217">
        <f t="shared" si="197"/>
        <v>44652</v>
      </c>
      <c r="B217" s="218">
        <f t="shared" si="198"/>
        <v>2022</v>
      </c>
      <c r="C217" s="100">
        <v>0.0</v>
      </c>
      <c r="D217" s="219">
        <f t="shared" si="199"/>
        <v>0</v>
      </c>
      <c r="E217" s="102">
        <f t="shared" si="200"/>
        <v>0</v>
      </c>
      <c r="F217" s="100">
        <v>10.0</v>
      </c>
      <c r="G217" s="219">
        <f t="shared" si="201"/>
        <v>42246.4</v>
      </c>
      <c r="H217" s="102">
        <f t="shared" si="202"/>
        <v>422464</v>
      </c>
      <c r="I217" s="101">
        <v>29412.0</v>
      </c>
      <c r="J217" s="101">
        <f t="shared" si="203"/>
        <v>29412</v>
      </c>
      <c r="K217" s="102">
        <f t="shared" si="204"/>
        <v>451876</v>
      </c>
      <c r="L217" s="101">
        <v>0.0</v>
      </c>
      <c r="M217" s="101">
        <v>422464.0</v>
      </c>
      <c r="N217" s="102">
        <f t="shared" si="205"/>
        <v>0</v>
      </c>
      <c r="O217" s="220">
        <f t="shared" si="206"/>
        <v>1.0139136</v>
      </c>
      <c r="P217" s="111">
        <f t="shared" si="207"/>
        <v>0</v>
      </c>
      <c r="Q217" s="102">
        <f t="shared" si="208"/>
        <v>0</v>
      </c>
    </row>
    <row r="218">
      <c r="A218" s="217">
        <f t="shared" si="197"/>
        <v>44682</v>
      </c>
      <c r="B218" s="218">
        <f t="shared" si="198"/>
        <v>2022</v>
      </c>
      <c r="C218" s="100">
        <v>0.0</v>
      </c>
      <c r="D218" s="219">
        <f t="shared" si="199"/>
        <v>0</v>
      </c>
      <c r="E218" s="102">
        <f t="shared" si="200"/>
        <v>0</v>
      </c>
      <c r="F218" s="100">
        <v>11.0</v>
      </c>
      <c r="G218" s="219">
        <f t="shared" si="201"/>
        <v>37246.27273</v>
      </c>
      <c r="H218" s="102">
        <f t="shared" si="202"/>
        <v>409709</v>
      </c>
      <c r="I218" s="101">
        <v>29412.0</v>
      </c>
      <c r="J218" s="101">
        <f t="shared" si="203"/>
        <v>29412</v>
      </c>
      <c r="K218" s="102">
        <f t="shared" si="204"/>
        <v>439121</v>
      </c>
      <c r="L218" s="101">
        <v>0.0</v>
      </c>
      <c r="M218" s="101">
        <v>409709.0</v>
      </c>
      <c r="N218" s="102">
        <f t="shared" si="205"/>
        <v>0</v>
      </c>
      <c r="O218" s="220">
        <f t="shared" si="206"/>
        <v>0.9833016</v>
      </c>
      <c r="P218" s="111">
        <f t="shared" si="207"/>
        <v>0</v>
      </c>
      <c r="Q218" s="102">
        <f t="shared" si="208"/>
        <v>0</v>
      </c>
    </row>
    <row r="219">
      <c r="A219" s="217">
        <f t="shared" si="197"/>
        <v>44713</v>
      </c>
      <c r="B219" s="218">
        <f t="shared" si="198"/>
        <v>2022</v>
      </c>
      <c r="C219" s="100">
        <v>0.0</v>
      </c>
      <c r="D219" s="219">
        <f t="shared" si="199"/>
        <v>0</v>
      </c>
      <c r="E219" s="102">
        <f t="shared" si="200"/>
        <v>0</v>
      </c>
      <c r="F219" s="100">
        <v>12.0</v>
      </c>
      <c r="G219" s="219">
        <f t="shared" si="201"/>
        <v>33079.5</v>
      </c>
      <c r="H219" s="102">
        <f t="shared" si="202"/>
        <v>396954</v>
      </c>
      <c r="I219" s="101">
        <v>183824.0</v>
      </c>
      <c r="J219" s="101">
        <f t="shared" si="203"/>
        <v>183824</v>
      </c>
      <c r="K219" s="102">
        <f t="shared" si="204"/>
        <v>580778</v>
      </c>
      <c r="L219" s="101">
        <v>0.0</v>
      </c>
      <c r="M219" s="101">
        <v>396954.0</v>
      </c>
      <c r="N219" s="102">
        <f t="shared" si="205"/>
        <v>0</v>
      </c>
      <c r="O219" s="220">
        <f t="shared" si="206"/>
        <v>0.9526896</v>
      </c>
      <c r="P219" s="111">
        <f t="shared" si="207"/>
        <v>0</v>
      </c>
      <c r="Q219" s="102">
        <f t="shared" si="208"/>
        <v>0</v>
      </c>
    </row>
    <row r="220">
      <c r="A220" s="99">
        <f t="shared" si="197"/>
        <v>44743</v>
      </c>
      <c r="B220" s="222">
        <f t="shared" si="198"/>
        <v>2022</v>
      </c>
      <c r="C220" s="100">
        <v>0.0</v>
      </c>
      <c r="D220" s="223">
        <f t="shared" si="199"/>
        <v>0</v>
      </c>
      <c r="E220" s="102">
        <f t="shared" si="200"/>
        <v>0</v>
      </c>
      <c r="F220" s="100">
        <v>12.0</v>
      </c>
      <c r="G220" s="223">
        <f t="shared" si="201"/>
        <v>32405.08333</v>
      </c>
      <c r="H220" s="102">
        <f t="shared" si="202"/>
        <v>388861</v>
      </c>
      <c r="I220" s="101">
        <v>29412.0</v>
      </c>
      <c r="J220" s="102">
        <f t="shared" si="203"/>
        <v>29412</v>
      </c>
      <c r="K220" s="102">
        <f t="shared" si="204"/>
        <v>418273</v>
      </c>
      <c r="L220" s="101">
        <v>0.0</v>
      </c>
      <c r="M220" s="101">
        <v>388861.0</v>
      </c>
      <c r="N220" s="102">
        <f t="shared" si="205"/>
        <v>0</v>
      </c>
      <c r="O220" s="220">
        <f t="shared" si="206"/>
        <v>0.9332664</v>
      </c>
      <c r="P220" s="111">
        <f t="shared" si="207"/>
        <v>0</v>
      </c>
      <c r="Q220" s="102">
        <f t="shared" si="208"/>
        <v>0</v>
      </c>
    </row>
    <row r="221">
      <c r="A221" s="99">
        <f t="shared" si="197"/>
        <v>44774</v>
      </c>
      <c r="B221" s="222">
        <f t="shared" si="198"/>
        <v>2022</v>
      </c>
      <c r="C221" s="100">
        <v>0.0</v>
      </c>
      <c r="D221" s="223">
        <f t="shared" si="199"/>
        <v>0</v>
      </c>
      <c r="E221" s="102">
        <f t="shared" si="200"/>
        <v>0</v>
      </c>
      <c r="F221" s="100">
        <v>13.0</v>
      </c>
      <c r="G221" s="223">
        <f t="shared" si="201"/>
        <v>29910.53846</v>
      </c>
      <c r="H221" s="102">
        <f t="shared" si="202"/>
        <v>388837</v>
      </c>
      <c r="I221" s="101">
        <v>29412.0</v>
      </c>
      <c r="J221" s="102">
        <f t="shared" si="203"/>
        <v>29412</v>
      </c>
      <c r="K221" s="102">
        <f t="shared" si="204"/>
        <v>418249</v>
      </c>
      <c r="L221" s="101">
        <v>0.0</v>
      </c>
      <c r="M221" s="101">
        <v>388837.0</v>
      </c>
      <c r="N221" s="102">
        <f t="shared" si="205"/>
        <v>0</v>
      </c>
      <c r="O221" s="220">
        <f t="shared" si="206"/>
        <v>0.9332088</v>
      </c>
      <c r="P221" s="111">
        <f t="shared" si="207"/>
        <v>0</v>
      </c>
      <c r="Q221" s="102">
        <f t="shared" si="208"/>
        <v>0</v>
      </c>
    </row>
    <row r="222">
      <c r="A222" s="99">
        <f t="shared" si="197"/>
        <v>44805</v>
      </c>
      <c r="B222" s="222">
        <f t="shared" si="198"/>
        <v>2022</v>
      </c>
      <c r="C222" s="100">
        <v>0.0</v>
      </c>
      <c r="D222" s="223">
        <f t="shared" si="199"/>
        <v>0</v>
      </c>
      <c r="E222" s="102">
        <f t="shared" si="200"/>
        <v>0</v>
      </c>
      <c r="F222" s="100">
        <v>13.0</v>
      </c>
      <c r="G222" s="223">
        <f t="shared" si="201"/>
        <v>30625.92308</v>
      </c>
      <c r="H222" s="102">
        <f t="shared" si="202"/>
        <v>398137</v>
      </c>
      <c r="I222" s="101">
        <v>183824.0</v>
      </c>
      <c r="J222" s="102">
        <f t="shared" si="203"/>
        <v>183824</v>
      </c>
      <c r="K222" s="102">
        <f t="shared" si="204"/>
        <v>581961</v>
      </c>
      <c r="L222" s="101">
        <v>0.0</v>
      </c>
      <c r="M222" s="101">
        <v>398137.0</v>
      </c>
      <c r="N222" s="102">
        <f t="shared" si="205"/>
        <v>0</v>
      </c>
      <c r="O222" s="220">
        <f t="shared" si="206"/>
        <v>0.9555288</v>
      </c>
      <c r="P222" s="111">
        <f t="shared" si="207"/>
        <v>0</v>
      </c>
      <c r="Q222" s="102">
        <f t="shared" si="208"/>
        <v>0</v>
      </c>
    </row>
    <row r="223">
      <c r="A223" s="99">
        <f t="shared" si="197"/>
        <v>44835</v>
      </c>
      <c r="B223" s="222">
        <f t="shared" si="198"/>
        <v>2022</v>
      </c>
      <c r="C223" s="100">
        <v>0.0</v>
      </c>
      <c r="D223" s="223">
        <f t="shared" si="199"/>
        <v>0</v>
      </c>
      <c r="E223" s="102">
        <f t="shared" si="200"/>
        <v>0</v>
      </c>
      <c r="F223" s="100">
        <v>14.0</v>
      </c>
      <c r="G223" s="223">
        <f t="shared" si="201"/>
        <v>29679.07143</v>
      </c>
      <c r="H223" s="102">
        <f t="shared" si="202"/>
        <v>415507</v>
      </c>
      <c r="I223" s="101">
        <v>29412.0</v>
      </c>
      <c r="J223" s="102">
        <f t="shared" si="203"/>
        <v>29412</v>
      </c>
      <c r="K223" s="102">
        <f t="shared" si="204"/>
        <v>444919</v>
      </c>
      <c r="L223" s="101">
        <v>0.0</v>
      </c>
      <c r="M223" s="101">
        <v>415507.0</v>
      </c>
      <c r="N223" s="102">
        <f t="shared" si="205"/>
        <v>0</v>
      </c>
      <c r="O223" s="220">
        <f t="shared" si="206"/>
        <v>0.9972168</v>
      </c>
      <c r="P223" s="111">
        <f t="shared" si="207"/>
        <v>0</v>
      </c>
      <c r="Q223" s="102">
        <f t="shared" si="208"/>
        <v>0</v>
      </c>
    </row>
    <row r="224">
      <c r="A224" s="99">
        <f t="shared" si="197"/>
        <v>44866</v>
      </c>
      <c r="B224" s="222">
        <f t="shared" si="198"/>
        <v>2022</v>
      </c>
      <c r="C224" s="100">
        <v>0.0</v>
      </c>
      <c r="D224" s="223">
        <f t="shared" si="199"/>
        <v>0</v>
      </c>
      <c r="E224" s="102">
        <f t="shared" si="200"/>
        <v>0</v>
      </c>
      <c r="F224" s="100">
        <v>14.0</v>
      </c>
      <c r="G224" s="223">
        <f t="shared" si="201"/>
        <v>31252.78571</v>
      </c>
      <c r="H224" s="102">
        <f t="shared" si="202"/>
        <v>437539</v>
      </c>
      <c r="I224" s="101">
        <v>29412.0</v>
      </c>
      <c r="J224" s="102">
        <f t="shared" si="203"/>
        <v>29412</v>
      </c>
      <c r="K224" s="102">
        <f t="shared" si="204"/>
        <v>466951</v>
      </c>
      <c r="L224" s="101">
        <v>0.0</v>
      </c>
      <c r="M224" s="101">
        <v>437539.0</v>
      </c>
      <c r="N224" s="102">
        <f t="shared" si="205"/>
        <v>0</v>
      </c>
      <c r="O224" s="220">
        <f t="shared" si="206"/>
        <v>1.0500936</v>
      </c>
      <c r="P224" s="111">
        <f t="shared" si="207"/>
        <v>0</v>
      </c>
      <c r="Q224" s="102">
        <f t="shared" si="208"/>
        <v>0</v>
      </c>
    </row>
    <row r="225">
      <c r="A225" s="99">
        <f t="shared" si="197"/>
        <v>44896</v>
      </c>
      <c r="B225" s="222">
        <f t="shared" si="198"/>
        <v>2022</v>
      </c>
      <c r="C225" s="100">
        <v>0.0</v>
      </c>
      <c r="D225" s="223">
        <f t="shared" si="199"/>
        <v>0</v>
      </c>
      <c r="E225" s="102">
        <f t="shared" si="200"/>
        <v>0</v>
      </c>
      <c r="F225" s="100">
        <v>15.0</v>
      </c>
      <c r="G225" s="223">
        <f t="shared" si="201"/>
        <v>30638.06667</v>
      </c>
      <c r="H225" s="102">
        <f t="shared" si="202"/>
        <v>459571</v>
      </c>
      <c r="I225" s="101">
        <v>213232.0</v>
      </c>
      <c r="J225" s="102">
        <f t="shared" si="203"/>
        <v>213232</v>
      </c>
      <c r="K225" s="102">
        <f t="shared" si="204"/>
        <v>672803</v>
      </c>
      <c r="L225" s="101">
        <v>0.0</v>
      </c>
      <c r="M225" s="101">
        <v>459571.0</v>
      </c>
      <c r="N225" s="102">
        <f t="shared" si="205"/>
        <v>0</v>
      </c>
      <c r="O225" s="220">
        <f t="shared" si="206"/>
        <v>1.1029704</v>
      </c>
      <c r="P225" s="111">
        <f t="shared" si="207"/>
        <v>0</v>
      </c>
      <c r="Q225" s="102">
        <f t="shared" si="208"/>
        <v>0</v>
      </c>
    </row>
    <row r="226">
      <c r="A226" s="99">
        <f t="shared" si="197"/>
        <v>44927</v>
      </c>
      <c r="B226" s="222">
        <f t="shared" si="198"/>
        <v>2023</v>
      </c>
      <c r="C226" s="100">
        <v>0.0</v>
      </c>
      <c r="D226" s="223">
        <f t="shared" si="199"/>
        <v>0</v>
      </c>
      <c r="E226" s="102">
        <f t="shared" si="200"/>
        <v>0</v>
      </c>
      <c r="F226" s="100">
        <v>16.0</v>
      </c>
      <c r="G226" s="223">
        <f t="shared" si="201"/>
        <v>57926.25</v>
      </c>
      <c r="H226" s="102">
        <f t="shared" si="202"/>
        <v>926820</v>
      </c>
      <c r="I226" s="101">
        <v>176471.0</v>
      </c>
      <c r="J226" s="102">
        <f t="shared" si="203"/>
        <v>176471</v>
      </c>
      <c r="K226" s="102">
        <f t="shared" si="204"/>
        <v>1103291</v>
      </c>
      <c r="L226" s="101">
        <v>0.0</v>
      </c>
      <c r="M226" s="101">
        <v>926820.0</v>
      </c>
      <c r="N226" s="102">
        <f t="shared" si="205"/>
        <v>0</v>
      </c>
      <c r="O226" s="220">
        <f t="shared" si="206"/>
        <v>1.011076364</v>
      </c>
      <c r="P226" s="111">
        <f t="shared" si="207"/>
        <v>0</v>
      </c>
      <c r="Q226" s="102">
        <f t="shared" si="208"/>
        <v>0</v>
      </c>
    </row>
    <row r="227">
      <c r="A227" s="99">
        <f t="shared" si="197"/>
        <v>44958</v>
      </c>
      <c r="B227" s="222">
        <f t="shared" si="198"/>
        <v>2023</v>
      </c>
      <c r="C227" s="100">
        <v>0.0</v>
      </c>
      <c r="D227" s="223">
        <f t="shared" si="199"/>
        <v>0</v>
      </c>
      <c r="E227" s="102">
        <f t="shared" si="200"/>
        <v>0</v>
      </c>
      <c r="F227" s="100">
        <v>17.0</v>
      </c>
      <c r="G227" s="223">
        <f t="shared" si="201"/>
        <v>55722.29412</v>
      </c>
      <c r="H227" s="102">
        <f t="shared" si="202"/>
        <v>947279</v>
      </c>
      <c r="I227" s="101">
        <v>176471.0</v>
      </c>
      <c r="J227" s="102">
        <f t="shared" si="203"/>
        <v>176471</v>
      </c>
      <c r="K227" s="102">
        <f t="shared" si="204"/>
        <v>1123750</v>
      </c>
      <c r="L227" s="101">
        <v>0.0</v>
      </c>
      <c r="M227" s="101">
        <v>947279.0</v>
      </c>
      <c r="N227" s="102">
        <f t="shared" si="205"/>
        <v>0</v>
      </c>
      <c r="O227" s="220">
        <f t="shared" si="206"/>
        <v>1.033395273</v>
      </c>
      <c r="P227" s="111">
        <f t="shared" si="207"/>
        <v>0</v>
      </c>
      <c r="Q227" s="102">
        <f t="shared" si="208"/>
        <v>0</v>
      </c>
    </row>
    <row r="228">
      <c r="A228" s="99">
        <f t="shared" si="197"/>
        <v>44986</v>
      </c>
      <c r="B228" s="222">
        <f t="shared" si="198"/>
        <v>2023</v>
      </c>
      <c r="C228" s="100">
        <v>0.0</v>
      </c>
      <c r="D228" s="223">
        <f t="shared" si="199"/>
        <v>0</v>
      </c>
      <c r="E228" s="102">
        <f t="shared" si="200"/>
        <v>0</v>
      </c>
      <c r="F228" s="100">
        <v>17.0</v>
      </c>
      <c r="G228" s="223">
        <f t="shared" si="201"/>
        <v>55719.29412</v>
      </c>
      <c r="H228" s="102">
        <f t="shared" si="202"/>
        <v>947228</v>
      </c>
      <c r="I228" s="101">
        <v>1102941.0</v>
      </c>
      <c r="J228" s="102">
        <f t="shared" si="203"/>
        <v>1102941</v>
      </c>
      <c r="K228" s="102">
        <f t="shared" si="204"/>
        <v>2050169</v>
      </c>
      <c r="L228" s="101">
        <v>0.0</v>
      </c>
      <c r="M228" s="101">
        <v>947228.0</v>
      </c>
      <c r="N228" s="102">
        <f t="shared" si="205"/>
        <v>0</v>
      </c>
      <c r="O228" s="220">
        <f t="shared" si="206"/>
        <v>1.033339636</v>
      </c>
      <c r="P228" s="111">
        <f t="shared" si="207"/>
        <v>0</v>
      </c>
      <c r="Q228" s="102">
        <f t="shared" si="208"/>
        <v>0</v>
      </c>
    </row>
    <row r="229">
      <c r="A229" s="99">
        <f t="shared" si="197"/>
        <v>45017</v>
      </c>
      <c r="B229" s="222">
        <f t="shared" si="198"/>
        <v>2023</v>
      </c>
      <c r="C229" s="100">
        <v>0.0</v>
      </c>
      <c r="D229" s="223">
        <f t="shared" si="199"/>
        <v>0</v>
      </c>
      <c r="E229" s="102">
        <f t="shared" si="200"/>
        <v>0</v>
      </c>
      <c r="F229" s="100">
        <v>18.0</v>
      </c>
      <c r="G229" s="223">
        <f t="shared" si="201"/>
        <v>51634.55556</v>
      </c>
      <c r="H229" s="102">
        <f t="shared" si="202"/>
        <v>929422</v>
      </c>
      <c r="I229" s="101">
        <v>176471.0</v>
      </c>
      <c r="J229" s="102">
        <f t="shared" si="203"/>
        <v>176471</v>
      </c>
      <c r="K229" s="102">
        <f t="shared" si="204"/>
        <v>1105893</v>
      </c>
      <c r="L229" s="101">
        <v>0.0</v>
      </c>
      <c r="M229" s="101">
        <v>929422.0</v>
      </c>
      <c r="N229" s="102">
        <f t="shared" si="205"/>
        <v>0</v>
      </c>
      <c r="O229" s="220">
        <f t="shared" si="206"/>
        <v>1.013914909</v>
      </c>
      <c r="P229" s="111">
        <f t="shared" si="207"/>
        <v>0</v>
      </c>
      <c r="Q229" s="102">
        <f t="shared" si="208"/>
        <v>0</v>
      </c>
    </row>
    <row r="230">
      <c r="A230" s="99">
        <f t="shared" si="197"/>
        <v>45047</v>
      </c>
      <c r="B230" s="222">
        <f t="shared" si="198"/>
        <v>2023</v>
      </c>
      <c r="C230" s="100">
        <v>0.0</v>
      </c>
      <c r="D230" s="223">
        <f t="shared" si="199"/>
        <v>0</v>
      </c>
      <c r="E230" s="102">
        <f t="shared" si="200"/>
        <v>0</v>
      </c>
      <c r="F230" s="100">
        <v>19.0</v>
      </c>
      <c r="G230" s="223">
        <f t="shared" si="201"/>
        <v>47440.05263</v>
      </c>
      <c r="H230" s="102">
        <f t="shared" si="202"/>
        <v>901361</v>
      </c>
      <c r="I230" s="101">
        <v>176471.0</v>
      </c>
      <c r="J230" s="102">
        <f t="shared" si="203"/>
        <v>176471</v>
      </c>
      <c r="K230" s="102">
        <f t="shared" si="204"/>
        <v>1077832</v>
      </c>
      <c r="L230" s="101">
        <v>0.0</v>
      </c>
      <c r="M230" s="101">
        <v>901361.0</v>
      </c>
      <c r="N230" s="102">
        <f t="shared" si="205"/>
        <v>0</v>
      </c>
      <c r="O230" s="220">
        <f t="shared" si="206"/>
        <v>0.9833029091</v>
      </c>
      <c r="P230" s="111">
        <f t="shared" si="207"/>
        <v>0</v>
      </c>
      <c r="Q230" s="102">
        <f t="shared" si="208"/>
        <v>0</v>
      </c>
    </row>
    <row r="231">
      <c r="A231" s="99">
        <f t="shared" si="197"/>
        <v>45078</v>
      </c>
      <c r="B231" s="222">
        <f t="shared" si="198"/>
        <v>2023</v>
      </c>
      <c r="C231" s="100">
        <v>0.0</v>
      </c>
      <c r="D231" s="223">
        <f t="shared" si="199"/>
        <v>0</v>
      </c>
      <c r="E231" s="102">
        <f t="shared" si="200"/>
        <v>0</v>
      </c>
      <c r="F231" s="100">
        <v>20.0</v>
      </c>
      <c r="G231" s="223">
        <f t="shared" si="201"/>
        <v>43664.95</v>
      </c>
      <c r="H231" s="102">
        <f t="shared" si="202"/>
        <v>873299</v>
      </c>
      <c r="I231" s="101">
        <v>1102941.0</v>
      </c>
      <c r="J231" s="102">
        <f t="shared" si="203"/>
        <v>1102941</v>
      </c>
      <c r="K231" s="102">
        <f t="shared" si="204"/>
        <v>1976240</v>
      </c>
      <c r="L231" s="101">
        <v>0.0</v>
      </c>
      <c r="M231" s="101">
        <v>873299.0</v>
      </c>
      <c r="N231" s="102">
        <f t="shared" si="205"/>
        <v>0</v>
      </c>
      <c r="O231" s="220">
        <f t="shared" si="206"/>
        <v>0.9526898182</v>
      </c>
      <c r="P231" s="111">
        <f t="shared" si="207"/>
        <v>0</v>
      </c>
      <c r="Q231" s="102">
        <f t="shared" si="208"/>
        <v>0</v>
      </c>
    </row>
    <row r="232">
      <c r="A232" s="99">
        <f t="shared" si="197"/>
        <v>45108</v>
      </c>
      <c r="B232" s="222">
        <f t="shared" si="198"/>
        <v>2023</v>
      </c>
      <c r="C232" s="100">
        <v>0.0</v>
      </c>
      <c r="D232" s="223">
        <f t="shared" si="199"/>
        <v>0</v>
      </c>
      <c r="E232" s="102">
        <f t="shared" si="200"/>
        <v>0</v>
      </c>
      <c r="F232" s="100">
        <v>20.0</v>
      </c>
      <c r="G232" s="223">
        <f t="shared" si="201"/>
        <v>42774.65</v>
      </c>
      <c r="H232" s="102">
        <f t="shared" si="202"/>
        <v>855493</v>
      </c>
      <c r="I232" s="101">
        <v>176471.0</v>
      </c>
      <c r="J232" s="102">
        <f t="shared" si="203"/>
        <v>176471</v>
      </c>
      <c r="K232" s="102">
        <f t="shared" si="204"/>
        <v>1031964</v>
      </c>
      <c r="L232" s="101">
        <v>0.0</v>
      </c>
      <c r="M232" s="101">
        <v>855493.0</v>
      </c>
      <c r="N232" s="102">
        <f t="shared" si="205"/>
        <v>0</v>
      </c>
      <c r="O232" s="220">
        <f t="shared" si="206"/>
        <v>0.9332650909</v>
      </c>
      <c r="P232" s="111">
        <f t="shared" si="207"/>
        <v>0</v>
      </c>
      <c r="Q232" s="102">
        <f t="shared" si="208"/>
        <v>0</v>
      </c>
    </row>
    <row r="233">
      <c r="A233" s="99">
        <f t="shared" si="197"/>
        <v>45139</v>
      </c>
      <c r="B233" s="222">
        <f t="shared" si="198"/>
        <v>2023</v>
      </c>
      <c r="C233" s="100">
        <v>0.0</v>
      </c>
      <c r="D233" s="223">
        <f t="shared" si="199"/>
        <v>0</v>
      </c>
      <c r="E233" s="102">
        <f t="shared" si="200"/>
        <v>0</v>
      </c>
      <c r="F233" s="100">
        <v>21.0</v>
      </c>
      <c r="G233" s="223">
        <f t="shared" si="201"/>
        <v>40735.33333</v>
      </c>
      <c r="H233" s="102">
        <f t="shared" si="202"/>
        <v>855442</v>
      </c>
      <c r="I233" s="101">
        <v>176471.0</v>
      </c>
      <c r="J233" s="102">
        <f t="shared" si="203"/>
        <v>176471</v>
      </c>
      <c r="K233" s="102">
        <f t="shared" si="204"/>
        <v>1031913</v>
      </c>
      <c r="L233" s="101">
        <v>0.0</v>
      </c>
      <c r="M233" s="101">
        <v>855442.0</v>
      </c>
      <c r="N233" s="102">
        <f t="shared" si="205"/>
        <v>0</v>
      </c>
      <c r="O233" s="220">
        <f t="shared" si="206"/>
        <v>0.9332094545</v>
      </c>
      <c r="P233" s="111">
        <f t="shared" si="207"/>
        <v>0</v>
      </c>
      <c r="Q233" s="102">
        <f t="shared" si="208"/>
        <v>0</v>
      </c>
    </row>
    <row r="234">
      <c r="A234" s="99">
        <f t="shared" si="197"/>
        <v>45170</v>
      </c>
      <c r="B234" s="222">
        <f t="shared" si="198"/>
        <v>2023</v>
      </c>
      <c r="C234" s="100">
        <v>0.0</v>
      </c>
      <c r="D234" s="223">
        <f t="shared" si="199"/>
        <v>0</v>
      </c>
      <c r="E234" s="102">
        <f t="shared" si="200"/>
        <v>0</v>
      </c>
      <c r="F234" s="100">
        <v>22.0</v>
      </c>
      <c r="G234" s="223">
        <f t="shared" si="201"/>
        <v>39813.68182</v>
      </c>
      <c r="H234" s="102">
        <f t="shared" si="202"/>
        <v>875901</v>
      </c>
      <c r="I234" s="101">
        <v>1102941.0</v>
      </c>
      <c r="J234" s="102">
        <f t="shared" si="203"/>
        <v>1102941</v>
      </c>
      <c r="K234" s="102">
        <f t="shared" si="204"/>
        <v>1978842</v>
      </c>
      <c r="L234" s="101">
        <v>0.0</v>
      </c>
      <c r="M234" s="101">
        <v>875901.0</v>
      </c>
      <c r="N234" s="102">
        <f t="shared" si="205"/>
        <v>0</v>
      </c>
      <c r="O234" s="220">
        <f t="shared" si="206"/>
        <v>0.9555283636</v>
      </c>
      <c r="P234" s="111">
        <f t="shared" si="207"/>
        <v>0</v>
      </c>
      <c r="Q234" s="102">
        <f t="shared" si="208"/>
        <v>0</v>
      </c>
    </row>
    <row r="235">
      <c r="A235" s="99">
        <f t="shared" si="197"/>
        <v>45200</v>
      </c>
      <c r="B235" s="222">
        <f t="shared" si="198"/>
        <v>2023</v>
      </c>
      <c r="C235" s="100">
        <v>0.0</v>
      </c>
      <c r="D235" s="223">
        <f t="shared" si="199"/>
        <v>0</v>
      </c>
      <c r="E235" s="102">
        <f t="shared" si="200"/>
        <v>0</v>
      </c>
      <c r="F235" s="100">
        <v>23.0</v>
      </c>
      <c r="G235" s="223">
        <f t="shared" si="201"/>
        <v>39744.17391</v>
      </c>
      <c r="H235" s="102">
        <f t="shared" si="202"/>
        <v>914116</v>
      </c>
      <c r="I235" s="101">
        <v>176471.0</v>
      </c>
      <c r="J235" s="102">
        <f t="shared" si="203"/>
        <v>176471</v>
      </c>
      <c r="K235" s="102">
        <f t="shared" si="204"/>
        <v>1090587</v>
      </c>
      <c r="L235" s="101">
        <v>0.0</v>
      </c>
      <c r="M235" s="101">
        <v>914116.0</v>
      </c>
      <c r="N235" s="102">
        <f t="shared" si="205"/>
        <v>0</v>
      </c>
      <c r="O235" s="220">
        <f t="shared" si="206"/>
        <v>0.9972174545</v>
      </c>
      <c r="P235" s="111">
        <f t="shared" si="207"/>
        <v>0</v>
      </c>
      <c r="Q235" s="102">
        <f t="shared" si="208"/>
        <v>0</v>
      </c>
    </row>
    <row r="236">
      <c r="A236" s="99">
        <f t="shared" si="197"/>
        <v>45231</v>
      </c>
      <c r="B236" s="222">
        <f t="shared" si="198"/>
        <v>2023</v>
      </c>
      <c r="C236" s="100">
        <v>0.0</v>
      </c>
      <c r="D236" s="223">
        <f t="shared" si="199"/>
        <v>0</v>
      </c>
      <c r="E236" s="102">
        <f t="shared" si="200"/>
        <v>0</v>
      </c>
      <c r="F236" s="100">
        <v>23.0</v>
      </c>
      <c r="G236" s="223">
        <f t="shared" si="201"/>
        <v>41851.52174</v>
      </c>
      <c r="H236" s="102">
        <f t="shared" si="202"/>
        <v>962585</v>
      </c>
      <c r="I236" s="101">
        <v>176471.0</v>
      </c>
      <c r="J236" s="102">
        <f t="shared" si="203"/>
        <v>176471</v>
      </c>
      <c r="K236" s="102">
        <f t="shared" si="204"/>
        <v>1139056</v>
      </c>
      <c r="L236" s="101">
        <v>0.0</v>
      </c>
      <c r="M236" s="101">
        <v>962585.0</v>
      </c>
      <c r="N236" s="102">
        <f t="shared" si="205"/>
        <v>0</v>
      </c>
      <c r="O236" s="220">
        <f t="shared" si="206"/>
        <v>1.050092727</v>
      </c>
      <c r="P236" s="111">
        <f t="shared" si="207"/>
        <v>0</v>
      </c>
      <c r="Q236" s="102">
        <f t="shared" si="208"/>
        <v>0</v>
      </c>
    </row>
    <row r="237">
      <c r="A237" s="99">
        <f t="shared" si="197"/>
        <v>45261</v>
      </c>
      <c r="B237" s="222">
        <f t="shared" si="198"/>
        <v>2023</v>
      </c>
      <c r="C237" s="100">
        <v>0.0</v>
      </c>
      <c r="D237" s="223">
        <f t="shared" si="199"/>
        <v>0</v>
      </c>
      <c r="E237" s="102">
        <f t="shared" si="200"/>
        <v>0</v>
      </c>
      <c r="F237" s="100">
        <v>24.0</v>
      </c>
      <c r="G237" s="223">
        <f t="shared" si="201"/>
        <v>42127.25</v>
      </c>
      <c r="H237" s="102">
        <f t="shared" si="202"/>
        <v>1011054</v>
      </c>
      <c r="I237" s="101">
        <v>1279409.0</v>
      </c>
      <c r="J237" s="102">
        <f t="shared" si="203"/>
        <v>1279409</v>
      </c>
      <c r="K237" s="102">
        <f t="shared" si="204"/>
        <v>2290463</v>
      </c>
      <c r="L237" s="101">
        <v>0.0</v>
      </c>
      <c r="M237" s="101">
        <v>1011054.0</v>
      </c>
      <c r="N237" s="102">
        <f t="shared" si="205"/>
        <v>0</v>
      </c>
      <c r="O237" s="220">
        <f t="shared" si="206"/>
        <v>1.102968</v>
      </c>
      <c r="P237" s="111">
        <f t="shared" si="207"/>
        <v>0</v>
      </c>
      <c r="Q237" s="102">
        <f t="shared" si="208"/>
        <v>0</v>
      </c>
    </row>
    <row r="238">
      <c r="A238" s="99">
        <f t="shared" si="197"/>
        <v>45292</v>
      </c>
      <c r="B238" s="222">
        <f t="shared" si="198"/>
        <v>2024</v>
      </c>
      <c r="C238" s="100">
        <v>510.0</v>
      </c>
      <c r="D238" s="223">
        <f t="shared" si="199"/>
        <v>1598.972549</v>
      </c>
      <c r="E238" s="102">
        <f t="shared" si="200"/>
        <v>815476</v>
      </c>
      <c r="F238" s="100">
        <v>25.0</v>
      </c>
      <c r="G238" s="223">
        <f t="shared" si="201"/>
        <v>67405.08</v>
      </c>
      <c r="H238" s="102">
        <f t="shared" si="202"/>
        <v>1685127</v>
      </c>
      <c r="I238" s="101">
        <v>205882.0</v>
      </c>
      <c r="J238" s="102">
        <f t="shared" si="203"/>
        <v>205882</v>
      </c>
      <c r="K238" s="102">
        <f t="shared" si="204"/>
        <v>2706485</v>
      </c>
      <c r="L238" s="101">
        <v>815476.0</v>
      </c>
      <c r="M238" s="101">
        <v>1685127.0</v>
      </c>
      <c r="N238" s="102">
        <f t="shared" si="205"/>
        <v>0</v>
      </c>
      <c r="O238" s="220">
        <f t="shared" si="206"/>
        <v>1.0110762</v>
      </c>
      <c r="P238" s="111">
        <f t="shared" si="207"/>
        <v>0</v>
      </c>
      <c r="Q238" s="102">
        <f t="shared" si="208"/>
        <v>0</v>
      </c>
    </row>
    <row r="239">
      <c r="A239" s="99">
        <f t="shared" si="197"/>
        <v>45323</v>
      </c>
      <c r="B239" s="222">
        <f t="shared" si="198"/>
        <v>2024</v>
      </c>
      <c r="C239" s="100">
        <v>597.0</v>
      </c>
      <c r="D239" s="223">
        <f t="shared" si="199"/>
        <v>1600.770519</v>
      </c>
      <c r="E239" s="102">
        <f t="shared" si="200"/>
        <v>955660</v>
      </c>
      <c r="F239" s="100">
        <v>26.0</v>
      </c>
      <c r="G239" s="223">
        <f t="shared" si="201"/>
        <v>66243.26923</v>
      </c>
      <c r="H239" s="102">
        <f t="shared" si="202"/>
        <v>1722325</v>
      </c>
      <c r="I239" s="101">
        <v>205882.0</v>
      </c>
      <c r="J239" s="102">
        <f t="shared" si="203"/>
        <v>205882</v>
      </c>
      <c r="K239" s="102">
        <f t="shared" si="204"/>
        <v>2883867</v>
      </c>
      <c r="L239" s="101">
        <v>955660.0</v>
      </c>
      <c r="M239" s="101">
        <v>1722325.0</v>
      </c>
      <c r="N239" s="102">
        <f t="shared" si="205"/>
        <v>0</v>
      </c>
      <c r="O239" s="220">
        <f t="shared" si="206"/>
        <v>1.033395</v>
      </c>
      <c r="P239" s="111">
        <f t="shared" si="207"/>
        <v>0</v>
      </c>
      <c r="Q239" s="102">
        <f t="shared" si="208"/>
        <v>0</v>
      </c>
    </row>
    <row r="240">
      <c r="A240" s="99">
        <f t="shared" si="197"/>
        <v>45352</v>
      </c>
      <c r="B240" s="222">
        <f t="shared" si="198"/>
        <v>2024</v>
      </c>
      <c r="C240" s="100">
        <v>691.0</v>
      </c>
      <c r="D240" s="223">
        <f t="shared" si="199"/>
        <v>1599.59479</v>
      </c>
      <c r="E240" s="102">
        <f t="shared" si="200"/>
        <v>1105320</v>
      </c>
      <c r="F240" s="100">
        <v>27.0</v>
      </c>
      <c r="G240" s="223">
        <f t="shared" si="201"/>
        <v>63786.40741</v>
      </c>
      <c r="H240" s="102">
        <f t="shared" si="202"/>
        <v>1722233</v>
      </c>
      <c r="I240" s="101">
        <v>1286765.0</v>
      </c>
      <c r="J240" s="102">
        <f t="shared" si="203"/>
        <v>1286765</v>
      </c>
      <c r="K240" s="102">
        <f t="shared" si="204"/>
        <v>4114318</v>
      </c>
      <c r="L240" s="101">
        <v>1105320.0</v>
      </c>
      <c r="M240" s="101">
        <v>1722233.0</v>
      </c>
      <c r="N240" s="102">
        <f t="shared" si="205"/>
        <v>0</v>
      </c>
      <c r="O240" s="220">
        <f t="shared" si="206"/>
        <v>1.0333398</v>
      </c>
      <c r="P240" s="111">
        <f t="shared" si="207"/>
        <v>0</v>
      </c>
      <c r="Q240" s="102">
        <f t="shared" si="208"/>
        <v>0</v>
      </c>
    </row>
    <row r="241">
      <c r="A241" s="99">
        <f t="shared" si="197"/>
        <v>45383</v>
      </c>
      <c r="B241" s="222">
        <f t="shared" si="198"/>
        <v>2024</v>
      </c>
      <c r="C241" s="100">
        <v>790.0</v>
      </c>
      <c r="D241" s="223">
        <f t="shared" si="199"/>
        <v>1600.626582</v>
      </c>
      <c r="E241" s="102">
        <f t="shared" si="200"/>
        <v>1264495</v>
      </c>
      <c r="F241" s="100">
        <v>28.0</v>
      </c>
      <c r="G241" s="223">
        <f t="shared" si="201"/>
        <v>60352.07143</v>
      </c>
      <c r="H241" s="102">
        <f t="shared" si="202"/>
        <v>1689858</v>
      </c>
      <c r="I241" s="101">
        <v>205882.0</v>
      </c>
      <c r="J241" s="102">
        <f t="shared" si="203"/>
        <v>205882</v>
      </c>
      <c r="K241" s="102">
        <f t="shared" si="204"/>
        <v>3160235</v>
      </c>
      <c r="L241" s="101">
        <v>1264495.0</v>
      </c>
      <c r="M241" s="101">
        <v>1689858.0</v>
      </c>
      <c r="N241" s="102">
        <f t="shared" si="205"/>
        <v>0</v>
      </c>
      <c r="O241" s="220">
        <f t="shared" si="206"/>
        <v>1.0139148</v>
      </c>
      <c r="P241" s="111">
        <f t="shared" si="207"/>
        <v>0</v>
      </c>
      <c r="Q241" s="102">
        <f t="shared" si="208"/>
        <v>0</v>
      </c>
    </row>
    <row r="242">
      <c r="A242" s="99">
        <f t="shared" si="197"/>
        <v>45413</v>
      </c>
      <c r="B242" s="222">
        <f t="shared" si="198"/>
        <v>2024</v>
      </c>
      <c r="C242" s="100">
        <v>896.0</v>
      </c>
      <c r="D242" s="223">
        <f t="shared" si="199"/>
        <v>1599.513393</v>
      </c>
      <c r="E242" s="102">
        <f t="shared" si="200"/>
        <v>1433164</v>
      </c>
      <c r="F242" s="100">
        <v>29.0</v>
      </c>
      <c r="G242" s="223">
        <f t="shared" si="201"/>
        <v>56511.62069</v>
      </c>
      <c r="H242" s="102">
        <f t="shared" si="202"/>
        <v>1638837</v>
      </c>
      <c r="I242" s="101">
        <v>205882.0</v>
      </c>
      <c r="J242" s="102">
        <f t="shared" si="203"/>
        <v>205882</v>
      </c>
      <c r="K242" s="102">
        <f t="shared" si="204"/>
        <v>3277883</v>
      </c>
      <c r="L242" s="101">
        <v>1433164.0</v>
      </c>
      <c r="M242" s="101">
        <v>1638837.0</v>
      </c>
      <c r="N242" s="102">
        <f t="shared" si="205"/>
        <v>0</v>
      </c>
      <c r="O242" s="220">
        <f t="shared" si="206"/>
        <v>0.9833022</v>
      </c>
      <c r="P242" s="111">
        <f t="shared" si="207"/>
        <v>0</v>
      </c>
      <c r="Q242" s="102">
        <f t="shared" si="208"/>
        <v>0</v>
      </c>
    </row>
    <row r="243">
      <c r="A243" s="99">
        <f t="shared" si="197"/>
        <v>45444</v>
      </c>
      <c r="B243" s="222">
        <f t="shared" si="198"/>
        <v>2024</v>
      </c>
      <c r="C243" s="100">
        <v>1007.0</v>
      </c>
      <c r="D243" s="223">
        <f t="shared" si="199"/>
        <v>1600.109235</v>
      </c>
      <c r="E243" s="102">
        <f t="shared" si="200"/>
        <v>1611310</v>
      </c>
      <c r="F243" s="100">
        <v>30.0</v>
      </c>
      <c r="G243" s="223">
        <f t="shared" si="201"/>
        <v>52927.23333</v>
      </c>
      <c r="H243" s="102">
        <f t="shared" si="202"/>
        <v>1587817</v>
      </c>
      <c r="I243" s="101">
        <v>1286765.0</v>
      </c>
      <c r="J243" s="102">
        <f t="shared" si="203"/>
        <v>1286765</v>
      </c>
      <c r="K243" s="102">
        <f t="shared" si="204"/>
        <v>4485892</v>
      </c>
      <c r="L243" s="101">
        <v>1611310.0</v>
      </c>
      <c r="M243" s="101">
        <v>1587817.0</v>
      </c>
      <c r="N243" s="102">
        <f t="shared" si="205"/>
        <v>0</v>
      </c>
      <c r="O243" s="220">
        <f t="shared" si="206"/>
        <v>0.9526902</v>
      </c>
      <c r="P243" s="111">
        <f t="shared" si="207"/>
        <v>0</v>
      </c>
      <c r="Q243" s="102">
        <f t="shared" si="208"/>
        <v>0</v>
      </c>
    </row>
    <row r="244">
      <c r="A244" s="99">
        <f t="shared" si="197"/>
        <v>45474</v>
      </c>
      <c r="B244" s="222">
        <f t="shared" si="198"/>
        <v>2024</v>
      </c>
      <c r="C244" s="100">
        <v>1124.0</v>
      </c>
      <c r="D244" s="223">
        <f t="shared" si="199"/>
        <v>1600.490214</v>
      </c>
      <c r="E244" s="102">
        <f t="shared" si="200"/>
        <v>1798951</v>
      </c>
      <c r="F244" s="100">
        <v>31.0</v>
      </c>
      <c r="G244" s="223">
        <f t="shared" si="201"/>
        <v>50175.54839</v>
      </c>
      <c r="H244" s="102">
        <f t="shared" si="202"/>
        <v>1555442</v>
      </c>
      <c r="I244" s="101">
        <v>205882.0</v>
      </c>
      <c r="J244" s="102">
        <f t="shared" si="203"/>
        <v>205882</v>
      </c>
      <c r="K244" s="102">
        <f t="shared" si="204"/>
        <v>3560275</v>
      </c>
      <c r="L244" s="101">
        <v>1798951.0</v>
      </c>
      <c r="M244" s="101">
        <v>1555442.0</v>
      </c>
      <c r="N244" s="102">
        <f t="shared" si="205"/>
        <v>0</v>
      </c>
      <c r="O244" s="220">
        <f t="shared" si="206"/>
        <v>0.9332652</v>
      </c>
      <c r="P244" s="111">
        <f t="shared" si="207"/>
        <v>0</v>
      </c>
      <c r="Q244" s="102">
        <f t="shared" si="208"/>
        <v>0</v>
      </c>
    </row>
    <row r="245">
      <c r="A245" s="99">
        <f t="shared" si="197"/>
        <v>45505</v>
      </c>
      <c r="B245" s="222">
        <f t="shared" si="198"/>
        <v>2024</v>
      </c>
      <c r="C245" s="100">
        <v>1248.0</v>
      </c>
      <c r="D245" s="223">
        <f t="shared" si="199"/>
        <v>1599.44391</v>
      </c>
      <c r="E245" s="102">
        <f t="shared" si="200"/>
        <v>1996106</v>
      </c>
      <c r="F245" s="100">
        <v>32.0</v>
      </c>
      <c r="G245" s="223">
        <f t="shared" si="201"/>
        <v>48604.65625</v>
      </c>
      <c r="H245" s="102">
        <f t="shared" si="202"/>
        <v>1555349</v>
      </c>
      <c r="I245" s="101">
        <v>205882.0</v>
      </c>
      <c r="J245" s="102">
        <f t="shared" si="203"/>
        <v>205882</v>
      </c>
      <c r="K245" s="102">
        <f t="shared" si="204"/>
        <v>3757337</v>
      </c>
      <c r="L245" s="101">
        <v>1996106.0</v>
      </c>
      <c r="M245" s="101">
        <v>1555349.0</v>
      </c>
      <c r="N245" s="102">
        <f t="shared" si="205"/>
        <v>0</v>
      </c>
      <c r="O245" s="220">
        <f t="shared" si="206"/>
        <v>0.9332094</v>
      </c>
      <c r="P245" s="111">
        <f t="shared" si="207"/>
        <v>0</v>
      </c>
      <c r="Q245" s="102">
        <f t="shared" si="208"/>
        <v>0</v>
      </c>
    </row>
    <row r="246">
      <c r="A246" s="99">
        <f t="shared" si="197"/>
        <v>45536</v>
      </c>
      <c r="B246" s="222">
        <f t="shared" si="198"/>
        <v>2024</v>
      </c>
      <c r="C246" s="100">
        <v>1377.0</v>
      </c>
      <c r="D246" s="223">
        <f t="shared" si="199"/>
        <v>1599.67756</v>
      </c>
      <c r="E246" s="102">
        <f t="shared" si="200"/>
        <v>2202756</v>
      </c>
      <c r="F246" s="100">
        <v>33.0</v>
      </c>
      <c r="G246" s="223">
        <f t="shared" si="201"/>
        <v>48259.0303</v>
      </c>
      <c r="H246" s="102">
        <f t="shared" si="202"/>
        <v>1592548</v>
      </c>
      <c r="I246" s="101">
        <v>1286765.0</v>
      </c>
      <c r="J246" s="102">
        <f t="shared" si="203"/>
        <v>1286765</v>
      </c>
      <c r="K246" s="102">
        <f t="shared" si="204"/>
        <v>5082069</v>
      </c>
      <c r="L246" s="101">
        <v>2202756.0</v>
      </c>
      <c r="M246" s="101">
        <v>1592548.0</v>
      </c>
      <c r="N246" s="102">
        <f t="shared" si="205"/>
        <v>0</v>
      </c>
      <c r="O246" s="220">
        <f t="shared" si="206"/>
        <v>0.9555288</v>
      </c>
      <c r="P246" s="111">
        <f t="shared" si="207"/>
        <v>0</v>
      </c>
      <c r="Q246" s="102">
        <f t="shared" si="208"/>
        <v>0</v>
      </c>
    </row>
    <row r="247">
      <c r="A247" s="99">
        <f t="shared" si="197"/>
        <v>45566</v>
      </c>
      <c r="B247" s="222">
        <f t="shared" si="198"/>
        <v>2024</v>
      </c>
      <c r="C247" s="100">
        <v>1678.0</v>
      </c>
      <c r="D247" s="223">
        <f t="shared" si="199"/>
        <v>1600.095352</v>
      </c>
      <c r="E247" s="102">
        <f t="shared" si="200"/>
        <v>2684960</v>
      </c>
      <c r="F247" s="100">
        <v>34.0</v>
      </c>
      <c r="G247" s="223">
        <f t="shared" si="201"/>
        <v>48883.17647</v>
      </c>
      <c r="H247" s="102">
        <f t="shared" si="202"/>
        <v>1662028</v>
      </c>
      <c r="I247" s="101">
        <v>205882.0</v>
      </c>
      <c r="J247" s="102">
        <f t="shared" si="203"/>
        <v>205882</v>
      </c>
      <c r="K247" s="102">
        <f t="shared" si="204"/>
        <v>4552870</v>
      </c>
      <c r="L247" s="101">
        <v>2684960.0</v>
      </c>
      <c r="M247" s="101">
        <v>1662028.0</v>
      </c>
      <c r="N247" s="102">
        <f t="shared" si="205"/>
        <v>0</v>
      </c>
      <c r="O247" s="220">
        <f t="shared" si="206"/>
        <v>0.9972168</v>
      </c>
      <c r="P247" s="111">
        <f t="shared" si="207"/>
        <v>0</v>
      </c>
      <c r="Q247" s="102">
        <f t="shared" si="208"/>
        <v>0</v>
      </c>
    </row>
    <row r="248">
      <c r="A248" s="99">
        <f t="shared" si="197"/>
        <v>45597</v>
      </c>
      <c r="B248" s="222">
        <f t="shared" si="198"/>
        <v>2024</v>
      </c>
      <c r="C248" s="100">
        <v>1835.0</v>
      </c>
      <c r="D248" s="223">
        <f t="shared" si="199"/>
        <v>1599.675204</v>
      </c>
      <c r="E248" s="102">
        <f t="shared" si="200"/>
        <v>2935404</v>
      </c>
      <c r="F248" s="100">
        <v>35.0</v>
      </c>
      <c r="G248" s="223">
        <f t="shared" si="201"/>
        <v>50004.42857</v>
      </c>
      <c r="H248" s="102">
        <f t="shared" si="202"/>
        <v>1750155</v>
      </c>
      <c r="I248" s="101">
        <v>205882.0</v>
      </c>
      <c r="J248" s="102">
        <f t="shared" si="203"/>
        <v>205882</v>
      </c>
      <c r="K248" s="102">
        <f t="shared" si="204"/>
        <v>4891441</v>
      </c>
      <c r="L248" s="101">
        <v>2935404.0</v>
      </c>
      <c r="M248" s="101">
        <v>1750155.0</v>
      </c>
      <c r="N248" s="102">
        <f t="shared" si="205"/>
        <v>0</v>
      </c>
      <c r="O248" s="220">
        <f t="shared" si="206"/>
        <v>1.050093</v>
      </c>
      <c r="P248" s="111">
        <f t="shared" si="207"/>
        <v>0</v>
      </c>
      <c r="Q248" s="102">
        <f t="shared" si="208"/>
        <v>0</v>
      </c>
    </row>
    <row r="249">
      <c r="A249" s="99">
        <f t="shared" si="197"/>
        <v>45627</v>
      </c>
      <c r="B249" s="222">
        <f t="shared" si="198"/>
        <v>2024</v>
      </c>
      <c r="C249" s="100">
        <v>1998.0</v>
      </c>
      <c r="D249" s="223">
        <f t="shared" si="199"/>
        <v>1599.798799</v>
      </c>
      <c r="E249" s="102">
        <f t="shared" si="200"/>
        <v>3196398</v>
      </c>
      <c r="F249" s="100">
        <v>36.0</v>
      </c>
      <c r="G249" s="223">
        <f t="shared" si="201"/>
        <v>51063.36111</v>
      </c>
      <c r="H249" s="102">
        <f t="shared" si="202"/>
        <v>1838281</v>
      </c>
      <c r="I249" s="101">
        <v>1492649.0</v>
      </c>
      <c r="J249" s="102">
        <f t="shared" si="203"/>
        <v>1492649</v>
      </c>
      <c r="K249" s="102">
        <f t="shared" si="204"/>
        <v>6527328</v>
      </c>
      <c r="L249" s="101">
        <v>3196398.0</v>
      </c>
      <c r="M249" s="101">
        <v>1838281.0</v>
      </c>
      <c r="N249" s="102">
        <f t="shared" si="205"/>
        <v>0</v>
      </c>
      <c r="O249" s="220">
        <f t="shared" si="206"/>
        <v>1.1029686</v>
      </c>
      <c r="P249" s="111">
        <f t="shared" si="207"/>
        <v>0</v>
      </c>
      <c r="Q249" s="102">
        <f t="shared" si="208"/>
        <v>0</v>
      </c>
    </row>
    <row r="250">
      <c r="A250" s="99">
        <f t="shared" si="197"/>
        <v>45658</v>
      </c>
      <c r="B250" s="222">
        <f t="shared" si="198"/>
        <v>2025</v>
      </c>
      <c r="C250" s="100">
        <v>2740.0</v>
      </c>
      <c r="D250" s="223">
        <f t="shared" si="199"/>
        <v>1500.068978</v>
      </c>
      <c r="E250" s="102">
        <f t="shared" si="200"/>
        <v>4110189</v>
      </c>
      <c r="F250" s="100">
        <v>38.0</v>
      </c>
      <c r="G250" s="223">
        <f t="shared" si="201"/>
        <v>48779.97368</v>
      </c>
      <c r="H250" s="102">
        <f t="shared" si="202"/>
        <v>1853639</v>
      </c>
      <c r="I250" s="101">
        <v>205882.0</v>
      </c>
      <c r="J250" s="102">
        <f t="shared" si="203"/>
        <v>205882</v>
      </c>
      <c r="K250" s="102">
        <f t="shared" si="204"/>
        <v>6169710</v>
      </c>
      <c r="L250" s="101">
        <v>4110189.0</v>
      </c>
      <c r="M250" s="101">
        <v>1853639.0</v>
      </c>
      <c r="N250" s="102">
        <f t="shared" si="205"/>
        <v>0</v>
      </c>
      <c r="O250" s="220">
        <f t="shared" si="206"/>
        <v>1.011075818</v>
      </c>
      <c r="P250" s="111">
        <f t="shared" si="207"/>
        <v>0</v>
      </c>
      <c r="Q250" s="102">
        <f t="shared" si="208"/>
        <v>0</v>
      </c>
    </row>
    <row r="251">
      <c r="A251" s="99">
        <f t="shared" si="197"/>
        <v>45689</v>
      </c>
      <c r="B251" s="222">
        <f t="shared" si="198"/>
        <v>2025</v>
      </c>
      <c r="C251" s="100">
        <v>2878.0</v>
      </c>
      <c r="D251" s="223">
        <f t="shared" si="199"/>
        <v>1499.946838</v>
      </c>
      <c r="E251" s="102">
        <f t="shared" si="200"/>
        <v>4316847</v>
      </c>
      <c r="F251" s="100">
        <v>40.0</v>
      </c>
      <c r="G251" s="223">
        <f t="shared" si="201"/>
        <v>47363.95</v>
      </c>
      <c r="H251" s="102">
        <f t="shared" si="202"/>
        <v>1894558</v>
      </c>
      <c r="I251" s="101">
        <v>205882.0</v>
      </c>
      <c r="J251" s="102">
        <f t="shared" si="203"/>
        <v>205882</v>
      </c>
      <c r="K251" s="102">
        <f t="shared" si="204"/>
        <v>6417287</v>
      </c>
      <c r="L251" s="101">
        <v>4316847.0</v>
      </c>
      <c r="M251" s="101">
        <v>1894558.0</v>
      </c>
      <c r="N251" s="102">
        <f t="shared" si="205"/>
        <v>0</v>
      </c>
      <c r="O251" s="220">
        <f t="shared" si="206"/>
        <v>1.033395273</v>
      </c>
      <c r="P251" s="111">
        <f t="shared" si="207"/>
        <v>0</v>
      </c>
      <c r="Q251" s="102">
        <f t="shared" si="208"/>
        <v>0</v>
      </c>
    </row>
    <row r="252">
      <c r="A252" s="99">
        <f t="shared" si="197"/>
        <v>45717</v>
      </c>
      <c r="B252" s="222">
        <f t="shared" si="198"/>
        <v>2025</v>
      </c>
      <c r="C252" s="100">
        <v>3016.0</v>
      </c>
      <c r="D252" s="223">
        <f t="shared" si="199"/>
        <v>1499.835544</v>
      </c>
      <c r="E252" s="102">
        <f t="shared" si="200"/>
        <v>4523504</v>
      </c>
      <c r="F252" s="100">
        <v>42.0</v>
      </c>
      <c r="G252" s="223">
        <f t="shared" si="201"/>
        <v>45106.09524</v>
      </c>
      <c r="H252" s="102">
        <f t="shared" si="202"/>
        <v>1894456</v>
      </c>
      <c r="I252" s="101">
        <v>1286765.0</v>
      </c>
      <c r="J252" s="102">
        <f t="shared" si="203"/>
        <v>1286765</v>
      </c>
      <c r="K252" s="102">
        <f t="shared" si="204"/>
        <v>7704725</v>
      </c>
      <c r="L252" s="101">
        <v>4523504.0</v>
      </c>
      <c r="M252" s="101">
        <v>1894456.0</v>
      </c>
      <c r="N252" s="102">
        <f t="shared" si="205"/>
        <v>0</v>
      </c>
      <c r="O252" s="220">
        <f t="shared" si="206"/>
        <v>1.033339636</v>
      </c>
      <c r="P252" s="111">
        <f t="shared" si="207"/>
        <v>0</v>
      </c>
      <c r="Q252" s="102">
        <f t="shared" si="208"/>
        <v>0</v>
      </c>
    </row>
    <row r="253">
      <c r="A253" s="99">
        <f t="shared" si="197"/>
        <v>45748</v>
      </c>
      <c r="B253" s="222">
        <f t="shared" si="198"/>
        <v>2025</v>
      </c>
      <c r="C253" s="100">
        <v>3153.0</v>
      </c>
      <c r="D253" s="223">
        <f t="shared" si="199"/>
        <v>1500.209959</v>
      </c>
      <c r="E253" s="102">
        <f t="shared" si="200"/>
        <v>4730162</v>
      </c>
      <c r="F253" s="100">
        <v>43.0</v>
      </c>
      <c r="G253" s="223">
        <f t="shared" si="201"/>
        <v>43228.93023</v>
      </c>
      <c r="H253" s="102">
        <f t="shared" si="202"/>
        <v>1858844</v>
      </c>
      <c r="I253" s="101">
        <v>205882.0</v>
      </c>
      <c r="J253" s="102">
        <f t="shared" si="203"/>
        <v>205882</v>
      </c>
      <c r="K253" s="102">
        <f t="shared" si="204"/>
        <v>6794888</v>
      </c>
      <c r="L253" s="101">
        <v>4730162.0</v>
      </c>
      <c r="M253" s="101">
        <v>1858844.0</v>
      </c>
      <c r="N253" s="102">
        <f t="shared" si="205"/>
        <v>0</v>
      </c>
      <c r="O253" s="220">
        <f t="shared" si="206"/>
        <v>1.013914909</v>
      </c>
      <c r="P253" s="111">
        <f t="shared" si="207"/>
        <v>0</v>
      </c>
      <c r="Q253" s="102">
        <f t="shared" si="208"/>
        <v>0</v>
      </c>
    </row>
    <row r="254">
      <c r="A254" s="99">
        <f t="shared" si="197"/>
        <v>45778</v>
      </c>
      <c r="B254" s="222">
        <f t="shared" si="198"/>
        <v>2025</v>
      </c>
      <c r="C254" s="100">
        <v>3291.0</v>
      </c>
      <c r="D254" s="223">
        <f t="shared" si="199"/>
        <v>1500.096931</v>
      </c>
      <c r="E254" s="102">
        <f t="shared" si="200"/>
        <v>4936819</v>
      </c>
      <c r="F254" s="100">
        <v>45.0</v>
      </c>
      <c r="G254" s="223">
        <f t="shared" si="201"/>
        <v>40060.46667</v>
      </c>
      <c r="H254" s="102">
        <f t="shared" si="202"/>
        <v>1802721</v>
      </c>
      <c r="I254" s="101">
        <v>205882.0</v>
      </c>
      <c r="J254" s="102">
        <f t="shared" si="203"/>
        <v>205882</v>
      </c>
      <c r="K254" s="102">
        <f t="shared" si="204"/>
        <v>6945422</v>
      </c>
      <c r="L254" s="101">
        <v>4936819.0</v>
      </c>
      <c r="M254" s="101">
        <v>1802721.0</v>
      </c>
      <c r="N254" s="102">
        <f t="shared" si="205"/>
        <v>0</v>
      </c>
      <c r="O254" s="220">
        <f t="shared" si="206"/>
        <v>0.9833023636</v>
      </c>
      <c r="P254" s="111">
        <f t="shared" si="207"/>
        <v>0</v>
      </c>
      <c r="Q254" s="102">
        <f t="shared" si="208"/>
        <v>0</v>
      </c>
    </row>
    <row r="255">
      <c r="A255" s="99">
        <f t="shared" si="197"/>
        <v>45809</v>
      </c>
      <c r="B255" s="222">
        <f t="shared" si="198"/>
        <v>2025</v>
      </c>
      <c r="C255" s="100">
        <v>3429.0</v>
      </c>
      <c r="D255" s="223">
        <f t="shared" si="199"/>
        <v>1499.993293</v>
      </c>
      <c r="E255" s="102">
        <f t="shared" si="200"/>
        <v>5143477</v>
      </c>
      <c r="F255" s="100">
        <v>47.0</v>
      </c>
      <c r="G255" s="223">
        <f t="shared" si="201"/>
        <v>37161.68085</v>
      </c>
      <c r="H255" s="102">
        <f t="shared" si="202"/>
        <v>1746599</v>
      </c>
      <c r="I255" s="101">
        <v>1286765.0</v>
      </c>
      <c r="J255" s="102">
        <f t="shared" si="203"/>
        <v>1286765</v>
      </c>
      <c r="K255" s="102">
        <f t="shared" si="204"/>
        <v>8176841</v>
      </c>
      <c r="L255" s="101">
        <v>5143477.0</v>
      </c>
      <c r="M255" s="101">
        <v>1746599.0</v>
      </c>
      <c r="N255" s="102">
        <f t="shared" si="205"/>
        <v>0</v>
      </c>
      <c r="O255" s="220">
        <f t="shared" si="206"/>
        <v>0.9526903636</v>
      </c>
      <c r="P255" s="111">
        <f t="shared" si="207"/>
        <v>0</v>
      </c>
      <c r="Q255" s="102">
        <f t="shared" si="208"/>
        <v>0</v>
      </c>
    </row>
    <row r="256">
      <c r="A256" s="99">
        <f t="shared" si="197"/>
        <v>45839</v>
      </c>
      <c r="B256" s="222">
        <f t="shared" si="198"/>
        <v>2025</v>
      </c>
      <c r="C256" s="100">
        <v>3567.0</v>
      </c>
      <c r="D256" s="223">
        <f t="shared" si="199"/>
        <v>1499.897393</v>
      </c>
      <c r="E256" s="102">
        <f t="shared" si="200"/>
        <v>5350134</v>
      </c>
      <c r="F256" s="100">
        <v>49.0</v>
      </c>
      <c r="G256" s="223">
        <f t="shared" si="201"/>
        <v>34918.08163</v>
      </c>
      <c r="H256" s="102">
        <f t="shared" si="202"/>
        <v>1710986</v>
      </c>
      <c r="I256" s="101">
        <v>205882.0</v>
      </c>
      <c r="J256" s="102">
        <f t="shared" si="203"/>
        <v>205882</v>
      </c>
      <c r="K256" s="102">
        <f t="shared" si="204"/>
        <v>7267002</v>
      </c>
      <c r="L256" s="101">
        <v>5350134.0</v>
      </c>
      <c r="M256" s="101">
        <v>1710986.0</v>
      </c>
      <c r="N256" s="102">
        <f t="shared" si="205"/>
        <v>0</v>
      </c>
      <c r="O256" s="220">
        <f t="shared" si="206"/>
        <v>0.9332650909</v>
      </c>
      <c r="P256" s="111">
        <f t="shared" si="207"/>
        <v>0</v>
      </c>
      <c r="Q256" s="102">
        <f t="shared" si="208"/>
        <v>0</v>
      </c>
    </row>
    <row r="257">
      <c r="A257" s="99">
        <f t="shared" si="197"/>
        <v>45870</v>
      </c>
      <c r="B257" s="222">
        <f t="shared" si="198"/>
        <v>2025</v>
      </c>
      <c r="C257" s="100">
        <v>3705.0</v>
      </c>
      <c r="D257" s="223">
        <f t="shared" si="199"/>
        <v>1499.808907</v>
      </c>
      <c r="E257" s="102">
        <f t="shared" si="200"/>
        <v>5556792</v>
      </c>
      <c r="F257" s="100">
        <v>51.0</v>
      </c>
      <c r="G257" s="223">
        <f t="shared" si="201"/>
        <v>33546.7451</v>
      </c>
      <c r="H257" s="102">
        <f t="shared" si="202"/>
        <v>1710884</v>
      </c>
      <c r="I257" s="101">
        <v>205882.0</v>
      </c>
      <c r="J257" s="102">
        <f t="shared" si="203"/>
        <v>205882</v>
      </c>
      <c r="K257" s="102">
        <f t="shared" si="204"/>
        <v>7473558</v>
      </c>
      <c r="L257" s="101">
        <v>5556792.0</v>
      </c>
      <c r="M257" s="101">
        <v>1710884.0</v>
      </c>
      <c r="N257" s="102">
        <f t="shared" si="205"/>
        <v>0</v>
      </c>
      <c r="O257" s="220">
        <f t="shared" si="206"/>
        <v>0.9332094545</v>
      </c>
      <c r="P257" s="111">
        <f t="shared" si="207"/>
        <v>0</v>
      </c>
      <c r="Q257" s="102">
        <f t="shared" si="208"/>
        <v>0</v>
      </c>
    </row>
    <row r="258">
      <c r="A258" s="99">
        <f t="shared" si="197"/>
        <v>45901</v>
      </c>
      <c r="B258" s="222">
        <f t="shared" si="198"/>
        <v>2025</v>
      </c>
      <c r="C258" s="100">
        <v>3842.0</v>
      </c>
      <c r="D258" s="223">
        <f t="shared" si="199"/>
        <v>1500.117126</v>
      </c>
      <c r="E258" s="102">
        <f t="shared" si="200"/>
        <v>5763450</v>
      </c>
      <c r="F258" s="100">
        <v>53.0</v>
      </c>
      <c r="G258" s="223">
        <f t="shared" si="201"/>
        <v>33052.88679</v>
      </c>
      <c r="H258" s="102">
        <f t="shared" si="202"/>
        <v>1751803</v>
      </c>
      <c r="I258" s="101">
        <v>1286765.0</v>
      </c>
      <c r="J258" s="102">
        <f t="shared" si="203"/>
        <v>1286765</v>
      </c>
      <c r="K258" s="102">
        <f t="shared" si="204"/>
        <v>8802018</v>
      </c>
      <c r="L258" s="101">
        <v>5763450.0</v>
      </c>
      <c r="M258" s="101">
        <v>1751803.0</v>
      </c>
      <c r="N258" s="102">
        <f t="shared" si="205"/>
        <v>0</v>
      </c>
      <c r="O258" s="220">
        <f t="shared" si="206"/>
        <v>0.9555289091</v>
      </c>
      <c r="P258" s="111">
        <f t="shared" si="207"/>
        <v>0</v>
      </c>
      <c r="Q258" s="102">
        <f t="shared" si="208"/>
        <v>0</v>
      </c>
    </row>
    <row r="259">
      <c r="A259" s="99">
        <f t="shared" si="197"/>
        <v>45931</v>
      </c>
      <c r="B259" s="222">
        <f t="shared" si="198"/>
        <v>2025</v>
      </c>
      <c r="C259" s="100">
        <v>4418.0</v>
      </c>
      <c r="D259" s="223">
        <f t="shared" si="199"/>
        <v>1499.959031</v>
      </c>
      <c r="E259" s="102">
        <f t="shared" si="200"/>
        <v>6626819</v>
      </c>
      <c r="F259" s="100">
        <v>54.0</v>
      </c>
      <c r="G259" s="223">
        <f t="shared" si="201"/>
        <v>33856.12963</v>
      </c>
      <c r="H259" s="102">
        <f t="shared" si="202"/>
        <v>1828231</v>
      </c>
      <c r="I259" s="101">
        <v>205882.0</v>
      </c>
      <c r="J259" s="102">
        <f t="shared" si="203"/>
        <v>205882</v>
      </c>
      <c r="K259" s="102">
        <f t="shared" si="204"/>
        <v>8660932</v>
      </c>
      <c r="L259" s="101">
        <v>6626819.0</v>
      </c>
      <c r="M259" s="101">
        <v>1828231.0</v>
      </c>
      <c r="N259" s="102">
        <f t="shared" si="205"/>
        <v>0</v>
      </c>
      <c r="O259" s="220">
        <f t="shared" si="206"/>
        <v>0.9972169091</v>
      </c>
      <c r="P259" s="111">
        <f t="shared" si="207"/>
        <v>0</v>
      </c>
      <c r="Q259" s="102">
        <f t="shared" si="208"/>
        <v>0</v>
      </c>
    </row>
    <row r="260">
      <c r="A260" s="99">
        <f t="shared" si="197"/>
        <v>45962</v>
      </c>
      <c r="B260" s="222">
        <f t="shared" si="198"/>
        <v>2025</v>
      </c>
      <c r="C260" s="100">
        <v>4571.0</v>
      </c>
      <c r="D260" s="223">
        <f t="shared" si="199"/>
        <v>1499.936338</v>
      </c>
      <c r="E260" s="102">
        <f t="shared" si="200"/>
        <v>6856209</v>
      </c>
      <c r="F260" s="100">
        <v>56.0</v>
      </c>
      <c r="G260" s="223">
        <f t="shared" si="201"/>
        <v>34378.03571</v>
      </c>
      <c r="H260" s="102">
        <f t="shared" si="202"/>
        <v>1925170</v>
      </c>
      <c r="I260" s="101">
        <v>205882.0</v>
      </c>
      <c r="J260" s="102">
        <f t="shared" si="203"/>
        <v>205882</v>
      </c>
      <c r="K260" s="102">
        <f t="shared" si="204"/>
        <v>8987261</v>
      </c>
      <c r="L260" s="101">
        <v>6856209.0</v>
      </c>
      <c r="M260" s="101">
        <v>1925170.0</v>
      </c>
      <c r="N260" s="102">
        <f t="shared" si="205"/>
        <v>0</v>
      </c>
      <c r="O260" s="220">
        <f t="shared" si="206"/>
        <v>1.050092727</v>
      </c>
      <c r="P260" s="111">
        <f t="shared" si="207"/>
        <v>0</v>
      </c>
      <c r="Q260" s="102">
        <f t="shared" si="208"/>
        <v>0</v>
      </c>
    </row>
    <row r="261">
      <c r="A261" s="99">
        <f t="shared" si="197"/>
        <v>45992</v>
      </c>
      <c r="B261" s="222">
        <f t="shared" si="198"/>
        <v>2025</v>
      </c>
      <c r="C261" s="100">
        <v>4724.0</v>
      </c>
      <c r="D261" s="223">
        <f t="shared" si="199"/>
        <v>1499.914903</v>
      </c>
      <c r="E261" s="102">
        <f t="shared" si="200"/>
        <v>7085598</v>
      </c>
      <c r="F261" s="100">
        <v>58.0</v>
      </c>
      <c r="G261" s="223">
        <f t="shared" si="201"/>
        <v>34863.94828</v>
      </c>
      <c r="H261" s="102">
        <f t="shared" si="202"/>
        <v>2022109</v>
      </c>
      <c r="I261" s="101">
        <v>1492649.0</v>
      </c>
      <c r="J261" s="102">
        <f t="shared" si="203"/>
        <v>1492649</v>
      </c>
      <c r="K261" s="102">
        <f t="shared" si="204"/>
        <v>10600356</v>
      </c>
      <c r="L261" s="101">
        <v>7085598.0</v>
      </c>
      <c r="M261" s="101">
        <v>2022109.0</v>
      </c>
      <c r="N261" s="102">
        <f t="shared" si="205"/>
        <v>0</v>
      </c>
      <c r="O261" s="220">
        <f t="shared" si="206"/>
        <v>1.102968545</v>
      </c>
      <c r="P261" s="111">
        <f t="shared" si="207"/>
        <v>0</v>
      </c>
      <c r="Q261" s="102">
        <f t="shared" si="208"/>
        <v>0</v>
      </c>
    </row>
    <row r="262">
      <c r="A262" s="113">
        <v>46023.0</v>
      </c>
      <c r="B262" s="224">
        <v>2026.0</v>
      </c>
      <c r="C262" s="114">
        <v>4754.0</v>
      </c>
      <c r="D262" s="225">
        <v>1500.0</v>
      </c>
      <c r="E262" s="115">
        <f t="shared" si="200"/>
        <v>7131000</v>
      </c>
      <c r="F262" s="114">
        <v>59.0</v>
      </c>
      <c r="G262" s="225">
        <v>47999.49152542373</v>
      </c>
      <c r="H262" s="115">
        <f t="shared" ref="H262:H270" si="209">ROUND(F262*G262,0)</f>
        <v>2831970</v>
      </c>
      <c r="I262" s="116">
        <v>205882.0</v>
      </c>
      <c r="J262" s="115">
        <f t="shared" si="203"/>
        <v>205882</v>
      </c>
      <c r="K262" s="115">
        <f t="shared" ref="K262:K345" si="210">SUM(E262,H262,J262,Q262)</f>
        <v>10168852</v>
      </c>
      <c r="L262" s="116">
        <v>7329000.0</v>
      </c>
      <c r="M262" s="116">
        <v>2926798.0</v>
      </c>
      <c r="N262" s="115">
        <f t="shared" ref="N262:N345" si="211">K262-SUM(E262,H262,J262,Q262)</f>
        <v>0</v>
      </c>
      <c r="O262" s="129">
        <f t="shared" ref="O262:O270" si="212">IFERROR(K262/(L262+M262+J262)-1,0)</f>
        <v>-0.02799053307</v>
      </c>
      <c r="P262" s="114">
        <v>0.0</v>
      </c>
      <c r="Q262" s="115">
        <f t="shared" ref="Q262:Q345" si="213">ROUND(P262*$B$12,0)</f>
        <v>0</v>
      </c>
      <c r="R262" s="16">
        <v>4886.0</v>
      </c>
      <c r="S262" s="16">
        <v>60.0</v>
      </c>
      <c r="T262" s="16">
        <v>2926798.0</v>
      </c>
    </row>
    <row r="263" ht="18.0" customHeight="1">
      <c r="A263" s="113">
        <v>46054.0</v>
      </c>
      <c r="B263" s="224">
        <v>2026.0</v>
      </c>
      <c r="C263" s="114">
        <v>4882.0</v>
      </c>
      <c r="D263" s="225">
        <v>1500.0</v>
      </c>
      <c r="E263" s="115">
        <f t="shared" si="200"/>
        <v>7323000</v>
      </c>
      <c r="F263" s="114">
        <v>61.0</v>
      </c>
      <c r="G263" s="225">
        <v>47648.13114754098</v>
      </c>
      <c r="H263" s="115">
        <f t="shared" si="209"/>
        <v>2906536</v>
      </c>
      <c r="I263" s="116">
        <v>205882.0</v>
      </c>
      <c r="J263" s="115">
        <f t="shared" si="203"/>
        <v>205882</v>
      </c>
      <c r="K263" s="115">
        <f t="shared" si="210"/>
        <v>10435418</v>
      </c>
      <c r="L263" s="116">
        <v>7581000.0</v>
      </c>
      <c r="M263" s="116">
        <v>2936565.0</v>
      </c>
      <c r="N263" s="115">
        <f t="shared" si="211"/>
        <v>0</v>
      </c>
      <c r="O263" s="129">
        <f t="shared" si="212"/>
        <v>-0.02685974016</v>
      </c>
      <c r="P263" s="114">
        <v>0.0</v>
      </c>
      <c r="Q263" s="115">
        <f t="shared" si="213"/>
        <v>0</v>
      </c>
      <c r="R263" s="16">
        <v>5054.0</v>
      </c>
      <c r="S263" s="16">
        <v>62.0</v>
      </c>
      <c r="T263" s="16">
        <v>2936565.0</v>
      </c>
    </row>
    <row r="264" ht="16.5" customHeight="1">
      <c r="A264" s="117">
        <v>46082.0</v>
      </c>
      <c r="B264" s="226">
        <v>2026.0</v>
      </c>
      <c r="C264" s="118">
        <v>5134.0</v>
      </c>
      <c r="D264" s="227">
        <v>1500.0</v>
      </c>
      <c r="E264" s="119">
        <f t="shared" si="200"/>
        <v>7701000</v>
      </c>
      <c r="F264" s="118">
        <v>64.0</v>
      </c>
      <c r="G264" s="227">
        <v>44609.921875</v>
      </c>
      <c r="H264" s="119">
        <f t="shared" si="209"/>
        <v>2855035</v>
      </c>
      <c r="I264" s="119">
        <v>1286765.0</v>
      </c>
      <c r="J264" s="119">
        <f t="shared" si="203"/>
        <v>1286765</v>
      </c>
      <c r="K264" s="119">
        <f t="shared" si="210"/>
        <v>11842800</v>
      </c>
      <c r="L264" s="119">
        <v>7842000.0</v>
      </c>
      <c r="M264" s="119">
        <v>2886790.0</v>
      </c>
      <c r="N264" s="119">
        <f t="shared" si="211"/>
        <v>0</v>
      </c>
      <c r="O264" s="136">
        <f t="shared" si="212"/>
        <v>-0.01437761302</v>
      </c>
      <c r="P264" s="118">
        <v>0.0</v>
      </c>
      <c r="Q264" s="119">
        <f t="shared" si="213"/>
        <v>0</v>
      </c>
      <c r="R264" s="134">
        <v>5228.0</v>
      </c>
      <c r="S264" s="134">
        <v>64.0</v>
      </c>
      <c r="T264" s="134">
        <v>2886790.0</v>
      </c>
    </row>
    <row r="265">
      <c r="A265" s="113">
        <v>46113.0</v>
      </c>
      <c r="B265" s="224">
        <v>2026.0</v>
      </c>
      <c r="C265" s="114">
        <v>5365.0</v>
      </c>
      <c r="D265" s="225">
        <v>1500.0</v>
      </c>
      <c r="E265" s="115">
        <f t="shared" si="200"/>
        <v>8047500</v>
      </c>
      <c r="F265" s="114">
        <v>65.0</v>
      </c>
      <c r="G265" s="225">
        <v>44136.723076923074</v>
      </c>
      <c r="H265" s="115">
        <f t="shared" si="209"/>
        <v>2868887</v>
      </c>
      <c r="I265" s="116">
        <v>205882.0</v>
      </c>
      <c r="J265" s="115">
        <f t="shared" si="203"/>
        <v>205882</v>
      </c>
      <c r="K265" s="115">
        <f t="shared" si="210"/>
        <v>11122269</v>
      </c>
      <c r="L265" s="116">
        <v>8112000.0</v>
      </c>
      <c r="M265" s="116">
        <v>2809880.0</v>
      </c>
      <c r="N265" s="115">
        <f t="shared" si="211"/>
        <v>0</v>
      </c>
      <c r="O265" s="129">
        <f t="shared" si="212"/>
        <v>-0.0004936302556</v>
      </c>
      <c r="P265" s="114">
        <v>0.0</v>
      </c>
      <c r="Q265" s="116">
        <f t="shared" si="213"/>
        <v>0</v>
      </c>
      <c r="R265" s="16">
        <v>5408.0</v>
      </c>
      <c r="S265" s="16">
        <v>65.0</v>
      </c>
      <c r="T265" s="16">
        <v>2809880.0</v>
      </c>
    </row>
    <row r="266">
      <c r="A266" s="113">
        <v>46143.0</v>
      </c>
      <c r="B266" s="224">
        <v>2026.0</v>
      </c>
      <c r="C266" s="114">
        <v>5643.0</v>
      </c>
      <c r="D266" s="225">
        <v>1500.0</v>
      </c>
      <c r="E266" s="115">
        <f t="shared" si="200"/>
        <v>8464500</v>
      </c>
      <c r="F266" s="114">
        <v>68.0</v>
      </c>
      <c r="G266" s="225">
        <v>41142.08823529412</v>
      </c>
      <c r="H266" s="115">
        <f t="shared" si="209"/>
        <v>2797662</v>
      </c>
      <c r="I266" s="116">
        <v>205882.0</v>
      </c>
      <c r="J266" s="115">
        <f t="shared" si="203"/>
        <v>205882</v>
      </c>
      <c r="K266" s="115">
        <f t="shared" si="210"/>
        <v>11468044</v>
      </c>
      <c r="L266" s="116">
        <v>8389500.0</v>
      </c>
      <c r="M266" s="116">
        <v>2684051.0</v>
      </c>
      <c r="N266" s="115">
        <f t="shared" si="211"/>
        <v>0</v>
      </c>
      <c r="O266" s="129">
        <f t="shared" si="212"/>
        <v>0.01672167386</v>
      </c>
      <c r="P266" s="114">
        <v>0.0</v>
      </c>
      <c r="Q266" s="116">
        <f t="shared" si="213"/>
        <v>0</v>
      </c>
      <c r="R266" s="16">
        <v>5593.0</v>
      </c>
      <c r="S266" s="16">
        <v>67.0</v>
      </c>
      <c r="T266" s="16">
        <v>2684051.0</v>
      </c>
    </row>
    <row r="267">
      <c r="A267" s="113">
        <v>46174.0</v>
      </c>
      <c r="B267" s="224">
        <v>2026.0</v>
      </c>
      <c r="C267" s="114">
        <v>5711.0</v>
      </c>
      <c r="D267" s="225">
        <v>1500.0</v>
      </c>
      <c r="E267" s="115">
        <f t="shared" si="200"/>
        <v>8566500</v>
      </c>
      <c r="F267" s="114">
        <v>70.0</v>
      </c>
      <c r="G267" s="225">
        <v>37013.02857142857</v>
      </c>
      <c r="H267" s="115">
        <f t="shared" si="209"/>
        <v>2590912</v>
      </c>
      <c r="I267" s="116">
        <v>1286765.0</v>
      </c>
      <c r="J267" s="115">
        <f t="shared" si="203"/>
        <v>1286765</v>
      </c>
      <c r="K267" s="115">
        <f t="shared" si="210"/>
        <v>12444177</v>
      </c>
      <c r="L267" s="116">
        <v>8679000.0</v>
      </c>
      <c r="M267" s="116">
        <v>2564156.0</v>
      </c>
      <c r="N267" s="115">
        <f t="shared" si="211"/>
        <v>0</v>
      </c>
      <c r="O267" s="129">
        <f t="shared" si="212"/>
        <v>-0.006843139713</v>
      </c>
      <c r="P267" s="114">
        <v>0.0</v>
      </c>
      <c r="Q267" s="116">
        <f t="shared" si="213"/>
        <v>0</v>
      </c>
      <c r="R267" s="16">
        <v>5786.0</v>
      </c>
      <c r="S267" s="16">
        <v>69.0</v>
      </c>
      <c r="T267" s="16">
        <v>2564156.0</v>
      </c>
    </row>
    <row r="268">
      <c r="A268" s="113">
        <v>46204.0</v>
      </c>
      <c r="B268" s="224">
        <v>2026.0</v>
      </c>
      <c r="C268" s="114">
        <v>6081.0</v>
      </c>
      <c r="D268" s="225">
        <v>1500.0</v>
      </c>
      <c r="E268" s="115">
        <f t="shared" si="200"/>
        <v>9121500</v>
      </c>
      <c r="F268" s="114">
        <v>71.0</v>
      </c>
      <c r="G268" s="225">
        <v>36000.54929577465</v>
      </c>
      <c r="H268" s="115">
        <f t="shared" si="209"/>
        <v>2556039</v>
      </c>
      <c r="I268" s="116">
        <v>205882.0</v>
      </c>
      <c r="J268" s="115">
        <f t="shared" si="203"/>
        <v>205882</v>
      </c>
      <c r="K268" s="115">
        <f t="shared" si="210"/>
        <v>11883421</v>
      </c>
      <c r="L268" s="116">
        <v>8977500.0</v>
      </c>
      <c r="M268" s="116">
        <v>2479184.0</v>
      </c>
      <c r="N268" s="115">
        <f t="shared" si="211"/>
        <v>0</v>
      </c>
      <c r="O268" s="129">
        <f t="shared" si="212"/>
        <v>0.01893708469</v>
      </c>
      <c r="P268" s="114">
        <v>0.0</v>
      </c>
      <c r="Q268" s="116">
        <f t="shared" si="213"/>
        <v>0</v>
      </c>
      <c r="R268" s="16">
        <v>5985.0</v>
      </c>
      <c r="S268" s="16">
        <v>71.0</v>
      </c>
      <c r="T268" s="16">
        <v>2479184.0</v>
      </c>
    </row>
    <row r="269">
      <c r="A269" s="113">
        <v>46235.0</v>
      </c>
      <c r="B269" s="224">
        <v>2026.0</v>
      </c>
      <c r="C269" s="114">
        <v>6301.0</v>
      </c>
      <c r="D269" s="225">
        <v>1500.0</v>
      </c>
      <c r="E269" s="115">
        <f t="shared" si="200"/>
        <v>9451500</v>
      </c>
      <c r="F269" s="114">
        <v>74.0</v>
      </c>
      <c r="G269" s="225">
        <v>34150.58108108108</v>
      </c>
      <c r="H269" s="115">
        <f t="shared" si="209"/>
        <v>2527143</v>
      </c>
      <c r="I269" s="116">
        <v>205882.0</v>
      </c>
      <c r="J269" s="115">
        <f t="shared" si="203"/>
        <v>205882</v>
      </c>
      <c r="K269" s="115">
        <f t="shared" si="210"/>
        <v>12184525</v>
      </c>
      <c r="L269" s="116">
        <v>9285000.0</v>
      </c>
      <c r="M269" s="116">
        <v>2448912.0</v>
      </c>
      <c r="N269" s="115">
        <f t="shared" si="211"/>
        <v>0</v>
      </c>
      <c r="O269" s="129">
        <f t="shared" si="212"/>
        <v>0.0204970873</v>
      </c>
      <c r="P269" s="114">
        <v>0.0</v>
      </c>
      <c r="Q269" s="116">
        <f t="shared" si="213"/>
        <v>0</v>
      </c>
      <c r="R269" s="16">
        <v>6190.0</v>
      </c>
      <c r="S269" s="16">
        <v>73.0</v>
      </c>
      <c r="T269" s="16">
        <v>2448912.0</v>
      </c>
    </row>
    <row r="270">
      <c r="A270" s="113">
        <v>46266.0</v>
      </c>
      <c r="B270" s="224">
        <v>2026.0</v>
      </c>
      <c r="C270" s="114">
        <v>6576.0</v>
      </c>
      <c r="D270" s="225">
        <v>1500.0</v>
      </c>
      <c r="E270" s="115">
        <f t="shared" si="200"/>
        <v>9864000</v>
      </c>
      <c r="F270" s="114">
        <v>76.0</v>
      </c>
      <c r="G270" s="225">
        <v>33846.15789473684</v>
      </c>
      <c r="H270" s="115">
        <f t="shared" si="209"/>
        <v>2572308</v>
      </c>
      <c r="I270" s="116">
        <v>1286765.0</v>
      </c>
      <c r="J270" s="115">
        <f t="shared" si="203"/>
        <v>1286765</v>
      </c>
      <c r="K270" s="115">
        <f t="shared" si="210"/>
        <v>13723073</v>
      </c>
      <c r="L270" s="116">
        <v>9604500.0</v>
      </c>
      <c r="M270" s="116">
        <v>2478967.0</v>
      </c>
      <c r="N270" s="115">
        <f t="shared" si="211"/>
        <v>0</v>
      </c>
      <c r="O270" s="129">
        <f t="shared" si="212"/>
        <v>0.02639004319</v>
      </c>
      <c r="P270" s="114">
        <v>0.0</v>
      </c>
      <c r="Q270" s="116">
        <f t="shared" si="213"/>
        <v>0</v>
      </c>
      <c r="R270" s="16">
        <v>6403.0</v>
      </c>
      <c r="S270" s="16">
        <v>75.0</v>
      </c>
      <c r="T270" s="16">
        <v>2478967.0</v>
      </c>
    </row>
    <row r="271">
      <c r="A271" s="122">
        <f>'Monthly Data'!A107</f>
        <v>46296</v>
      </c>
      <c r="B271" s="232">
        <f t="shared" ref="B271:B345" si="214">YEAR(A271)</f>
        <v>2026</v>
      </c>
      <c r="C271" s="123">
        <f>ROUND('Monthly Data'!$C$97*(1+$F$6)^(MONTH(A271)/12)*IFERROR(SUM($C$262:$C$270)/SUM($R$262:$R$270),1),0)</f>
        <v>6612</v>
      </c>
      <c r="D271" s="233">
        <f>ROUND(IFERROR('Monthly Data'!$E$97/'Monthly Data'!$C$97,0)*(1+$F$8)^(MONTH(A271)/12),0)</f>
        <v>1500</v>
      </c>
      <c r="E271" s="124">
        <f t="shared" si="200"/>
        <v>9918000</v>
      </c>
      <c r="F271" s="123">
        <f>MAX(0,ROUND(('Monthly Data'!D95+$F$7)*IFERROR(SUM($F$262:$F$270)/SUM($S$262:$S$270),1),0))</f>
        <v>76</v>
      </c>
      <c r="G271" s="233">
        <f t="shared" ref="G271:G345" si="215">IFERROR(H271/F271,0)</f>
        <v>34150.53947</v>
      </c>
      <c r="H271" s="124">
        <f>ROUND(IFERROR('Monthly Data'!F95*F271/'Monthly Data'!D95,'Monthly Data'!F95)*IFERROR((SUM($H$262:$H$270)/SUM($T$262:$T$270))/(SUM($F$262:$F$270)/SUM($S$262:$S$270)),1),0)</f>
        <v>2595441</v>
      </c>
      <c r="I271" s="125">
        <f>ROUND('Monthly Data'!G95*(1+$F$9),0)</f>
        <v>205882</v>
      </c>
      <c r="J271" s="124">
        <f t="shared" si="203"/>
        <v>205882</v>
      </c>
      <c r="K271" s="124">
        <f t="shared" si="210"/>
        <v>12719323</v>
      </c>
      <c r="L271" s="125">
        <v>0.0</v>
      </c>
      <c r="M271" s="125">
        <v>0.0</v>
      </c>
      <c r="N271" s="124">
        <f t="shared" si="211"/>
        <v>0</v>
      </c>
      <c r="O271" s="234">
        <f t="shared" ref="O271:O345" si="216">IFERROR(H271/AVERAGEIF($B$262:$B$345,B271,$H$262:$H$345),0)</f>
        <v>0.9547881325</v>
      </c>
      <c r="P271" s="123">
        <f t="shared" ref="P271:P309" si="217">IF(AND($B$5="Assumed approval + launch",A271&gt;=$B$6),ROUND($B$7*(1+$B$8)^(12*(YEAR(A271)-YEAR($B$6))+MONTH(A271)-MONTH($B$6)),0),0)</f>
        <v>0</v>
      </c>
      <c r="Q271" s="125">
        <f t="shared" si="213"/>
        <v>0</v>
      </c>
      <c r="R271" s="16">
        <v>0.0</v>
      </c>
      <c r="S271" s="16">
        <v>0.0</v>
      </c>
      <c r="T271" s="16">
        <v>0.0</v>
      </c>
    </row>
    <row r="272">
      <c r="A272" s="122">
        <f>'Monthly Data'!A108</f>
        <v>46327</v>
      </c>
      <c r="B272" s="232">
        <f t="shared" si="214"/>
        <v>2026</v>
      </c>
      <c r="C272" s="123">
        <f>ROUND('Monthly Data'!$C$97*(1+$F$6)^(MONTH(A272)/12)*IFERROR(SUM($C$262:$C$270)/SUM($R$262:$R$270),1),0)</f>
        <v>6839</v>
      </c>
      <c r="D272" s="233">
        <f>ROUND(IFERROR('Monthly Data'!$E$97/'Monthly Data'!$C$97,0)*(1+$F$8)^(MONTH(A272)/12),0)</f>
        <v>1500</v>
      </c>
      <c r="E272" s="124">
        <f t="shared" si="200"/>
        <v>10258500</v>
      </c>
      <c r="F272" s="123">
        <f>MAX(0,ROUND(('Monthly Data'!D96+$F$7)*IFERROR(SUM($F$262:$F$270)/SUM($S$262:$S$270),1),0))</f>
        <v>78</v>
      </c>
      <c r="G272" s="233">
        <f t="shared" si="215"/>
        <v>34676.98718</v>
      </c>
      <c r="H272" s="124">
        <f>ROUND(IFERROR('Monthly Data'!F96*F272/'Monthly Data'!D96,'Monthly Data'!F96)*IFERROR((SUM($H$262:$H$270)/SUM($T$262:$T$270))/(SUM($F$262:$F$270)/SUM($S$262:$S$270)),1),0)</f>
        <v>2704805</v>
      </c>
      <c r="I272" s="125">
        <f>ROUND('Monthly Data'!G96*(1+$F$9),0)</f>
        <v>205882</v>
      </c>
      <c r="J272" s="124">
        <f t="shared" si="203"/>
        <v>205882</v>
      </c>
      <c r="K272" s="124">
        <f t="shared" si="210"/>
        <v>13169187</v>
      </c>
      <c r="L272" s="125">
        <v>0.0</v>
      </c>
      <c r="M272" s="125">
        <v>0.0</v>
      </c>
      <c r="N272" s="124">
        <f t="shared" si="211"/>
        <v>0</v>
      </c>
      <c r="O272" s="234">
        <f t="shared" si="216"/>
        <v>0.9950200042</v>
      </c>
      <c r="P272" s="123">
        <f t="shared" si="217"/>
        <v>0</v>
      </c>
      <c r="Q272" s="125">
        <f t="shared" si="213"/>
        <v>0</v>
      </c>
      <c r="R272" s="16">
        <v>0.0</v>
      </c>
      <c r="S272" s="16">
        <v>0.0</v>
      </c>
      <c r="T272" s="16">
        <v>0.0</v>
      </c>
    </row>
    <row r="273">
      <c r="A273" s="122">
        <f>'Monthly Data'!A109</f>
        <v>46357</v>
      </c>
      <c r="B273" s="232">
        <f t="shared" si="214"/>
        <v>2026</v>
      </c>
      <c r="C273" s="123">
        <f>ROUND('Monthly Data'!$C$97*(1+$F$6)^(MONTH(A273)/12)*IFERROR(SUM($C$262:$C$270)/SUM($R$262:$R$270),1),0)</f>
        <v>7074</v>
      </c>
      <c r="D273" s="233">
        <f>ROUND(IFERROR('Monthly Data'!$E$97/'Monthly Data'!$C$97,0)*(1+$F$8)^(MONTH(A273)/12),0)</f>
        <v>1500</v>
      </c>
      <c r="E273" s="124">
        <f t="shared" si="200"/>
        <v>10611000</v>
      </c>
      <c r="F273" s="123">
        <f>MAX(0,ROUND(('Monthly Data'!D97+$F$7)*IFERROR(SUM($F$262:$F$270)/SUM($S$262:$S$270),1),0))</f>
        <v>80</v>
      </c>
      <c r="G273" s="233">
        <f t="shared" si="215"/>
        <v>35167.125</v>
      </c>
      <c r="H273" s="124">
        <f>ROUND(IFERROR('Monthly Data'!F97*F273/'Monthly Data'!D97,'Monthly Data'!F97)*IFERROR((SUM($H$262:$H$270)/SUM($T$262:$T$270))/(SUM($F$262:$F$270)/SUM($S$262:$S$270)),1),0)</f>
        <v>2813370</v>
      </c>
      <c r="I273" s="125">
        <f>ROUND('Monthly Data'!G97*(1+$F$9),0)</f>
        <v>1492649</v>
      </c>
      <c r="J273" s="124">
        <f t="shared" si="203"/>
        <v>1492649</v>
      </c>
      <c r="K273" s="124">
        <f t="shared" si="210"/>
        <v>14917019</v>
      </c>
      <c r="L273" s="125">
        <v>0.0</v>
      </c>
      <c r="M273" s="125">
        <v>0.0</v>
      </c>
      <c r="N273" s="124">
        <f t="shared" si="211"/>
        <v>0</v>
      </c>
      <c r="O273" s="234">
        <f t="shared" si="216"/>
        <v>1.034957947</v>
      </c>
      <c r="P273" s="123">
        <f t="shared" si="217"/>
        <v>0</v>
      </c>
      <c r="Q273" s="125">
        <f t="shared" si="213"/>
        <v>0</v>
      </c>
      <c r="R273" s="16">
        <v>0.0</v>
      </c>
      <c r="S273" s="16">
        <v>0.0</v>
      </c>
      <c r="T273" s="16">
        <v>0.0</v>
      </c>
    </row>
    <row r="274">
      <c r="A274" s="126">
        <f>'Monthly Data'!A110</f>
        <v>46388</v>
      </c>
      <c r="B274" s="235">
        <f t="shared" si="214"/>
        <v>2027</v>
      </c>
      <c r="C274" s="127">
        <f>ROUND(C273*(1+$G$6)^(MONTH(A274)/12),0)</f>
        <v>7230</v>
      </c>
      <c r="D274" s="236">
        <f>ROUND(D273*(1+$G$8)^(MONTH(A274)/12),0)</f>
        <v>1500</v>
      </c>
      <c r="E274" s="124">
        <f t="shared" si="200"/>
        <v>10845000</v>
      </c>
      <c r="F274" s="127">
        <f t="shared" ref="F274:F285" si="218">MAX(0,ROUND(F262+$G$7,0))</f>
        <v>77</v>
      </c>
      <c r="G274" s="236">
        <f t="shared" si="215"/>
        <v>47999.49351</v>
      </c>
      <c r="H274" s="124">
        <f t="shared" ref="H274:H345" si="219">ROUND(IFERROR(H262*F274/F262,H262),0)</f>
        <v>3695961</v>
      </c>
      <c r="I274" s="124">
        <f t="shared" ref="I274:I285" si="220">ROUND(J262*(1+$G$9),0)</f>
        <v>205882</v>
      </c>
      <c r="J274" s="124">
        <f t="shared" si="203"/>
        <v>205882</v>
      </c>
      <c r="K274" s="124">
        <f t="shared" si="210"/>
        <v>14746843</v>
      </c>
      <c r="L274" s="125">
        <v>0.0</v>
      </c>
      <c r="M274" s="125">
        <v>0.0</v>
      </c>
      <c r="N274" s="124">
        <f t="shared" si="211"/>
        <v>0</v>
      </c>
      <c r="O274" s="234">
        <f t="shared" si="216"/>
        <v>1.079379184</v>
      </c>
      <c r="P274" s="127">
        <f t="shared" si="217"/>
        <v>0</v>
      </c>
      <c r="Q274" s="124">
        <f t="shared" si="213"/>
        <v>0</v>
      </c>
      <c r="R274" s="16">
        <v>0.0</v>
      </c>
      <c r="S274" s="16">
        <v>0.0</v>
      </c>
      <c r="T274" s="16">
        <v>0.0</v>
      </c>
    </row>
    <row r="275">
      <c r="A275" s="126">
        <f>'Monthly Data'!A111</f>
        <v>46419</v>
      </c>
      <c r="B275" s="235">
        <f t="shared" si="214"/>
        <v>2027</v>
      </c>
      <c r="C275" s="127">
        <f>ROUND(C273*(1+$G$6)^(MONTH(A275)/12),0)</f>
        <v>7390</v>
      </c>
      <c r="D275" s="236">
        <f>ROUND(D273*(1+$G$8)^(MONTH(A275)/12),0)</f>
        <v>1500</v>
      </c>
      <c r="E275" s="124">
        <f t="shared" si="200"/>
        <v>11085000</v>
      </c>
      <c r="F275" s="127">
        <f t="shared" si="218"/>
        <v>79</v>
      </c>
      <c r="G275" s="236">
        <f t="shared" si="215"/>
        <v>47648.12658</v>
      </c>
      <c r="H275" s="124">
        <f t="shared" si="219"/>
        <v>3764202</v>
      </c>
      <c r="I275" s="124">
        <f t="shared" si="220"/>
        <v>205882</v>
      </c>
      <c r="J275" s="124">
        <f t="shared" si="203"/>
        <v>205882</v>
      </c>
      <c r="K275" s="124">
        <f t="shared" si="210"/>
        <v>15055084</v>
      </c>
      <c r="L275" s="125">
        <v>0.0</v>
      </c>
      <c r="M275" s="125">
        <v>0.0</v>
      </c>
      <c r="N275" s="124">
        <f t="shared" si="211"/>
        <v>0</v>
      </c>
      <c r="O275" s="234">
        <f t="shared" si="216"/>
        <v>1.099308484</v>
      </c>
      <c r="P275" s="127">
        <f t="shared" si="217"/>
        <v>0</v>
      </c>
      <c r="Q275" s="124">
        <f t="shared" si="213"/>
        <v>0</v>
      </c>
      <c r="R275" s="16">
        <v>0.0</v>
      </c>
      <c r="S275" s="16">
        <v>0.0</v>
      </c>
      <c r="T275" s="16">
        <v>0.0</v>
      </c>
    </row>
    <row r="276">
      <c r="A276" s="126">
        <f>'Monthly Data'!A112</f>
        <v>46447</v>
      </c>
      <c r="B276" s="235">
        <f t="shared" si="214"/>
        <v>2027</v>
      </c>
      <c r="C276" s="127">
        <f>ROUND(C273*(1+$G$6)^(MONTH(A276)/12),0)</f>
        <v>7554</v>
      </c>
      <c r="D276" s="236">
        <f>ROUND(D273*(1+$G$8)^(MONTH(A276)/12),0)</f>
        <v>1500</v>
      </c>
      <c r="E276" s="124">
        <f t="shared" si="200"/>
        <v>11331000</v>
      </c>
      <c r="F276" s="127">
        <f t="shared" si="218"/>
        <v>82</v>
      </c>
      <c r="G276" s="236">
        <f t="shared" si="215"/>
        <v>44609.92683</v>
      </c>
      <c r="H276" s="124">
        <f t="shared" si="219"/>
        <v>3658014</v>
      </c>
      <c r="I276" s="124">
        <f t="shared" si="220"/>
        <v>1286765</v>
      </c>
      <c r="J276" s="124">
        <f t="shared" si="203"/>
        <v>1286765</v>
      </c>
      <c r="K276" s="124">
        <f t="shared" si="210"/>
        <v>16275779</v>
      </c>
      <c r="L276" s="125">
        <v>0.0</v>
      </c>
      <c r="M276" s="125">
        <v>0.0</v>
      </c>
      <c r="N276" s="124">
        <f t="shared" si="211"/>
        <v>0</v>
      </c>
      <c r="O276" s="234">
        <f t="shared" si="216"/>
        <v>1.068297032</v>
      </c>
      <c r="P276" s="127">
        <f t="shared" si="217"/>
        <v>0</v>
      </c>
      <c r="Q276" s="124">
        <f t="shared" si="213"/>
        <v>0</v>
      </c>
      <c r="R276" s="16">
        <v>0.0</v>
      </c>
      <c r="S276" s="16">
        <v>0.0</v>
      </c>
      <c r="T276" s="16">
        <v>0.0</v>
      </c>
    </row>
    <row r="277">
      <c r="A277" s="126">
        <f>'Monthly Data'!A113</f>
        <v>46478</v>
      </c>
      <c r="B277" s="235">
        <f t="shared" si="214"/>
        <v>2027</v>
      </c>
      <c r="C277" s="127">
        <f>ROUND(C273*(1+$G$6)^(MONTH(A277)/12),0)</f>
        <v>7721</v>
      </c>
      <c r="D277" s="236">
        <f>ROUND(D273*(1+$G$8)^(MONTH(A277)/12),0)</f>
        <v>1500</v>
      </c>
      <c r="E277" s="124">
        <f t="shared" si="200"/>
        <v>11581500</v>
      </c>
      <c r="F277" s="127">
        <f t="shared" si="218"/>
        <v>83</v>
      </c>
      <c r="G277" s="236">
        <f t="shared" si="215"/>
        <v>44136.72289</v>
      </c>
      <c r="H277" s="124">
        <f t="shared" si="219"/>
        <v>3663348</v>
      </c>
      <c r="I277" s="124">
        <f t="shared" si="220"/>
        <v>205882</v>
      </c>
      <c r="J277" s="124">
        <f t="shared" si="203"/>
        <v>205882</v>
      </c>
      <c r="K277" s="124">
        <f t="shared" si="210"/>
        <v>15450730</v>
      </c>
      <c r="L277" s="125">
        <v>0.0</v>
      </c>
      <c r="M277" s="125">
        <v>0.0</v>
      </c>
      <c r="N277" s="124">
        <f t="shared" si="211"/>
        <v>0</v>
      </c>
      <c r="O277" s="234">
        <f t="shared" si="216"/>
        <v>1.069854789</v>
      </c>
      <c r="P277" s="127">
        <f t="shared" si="217"/>
        <v>0</v>
      </c>
      <c r="Q277" s="124">
        <f t="shared" si="213"/>
        <v>0</v>
      </c>
      <c r="R277" s="16">
        <v>0.0</v>
      </c>
      <c r="S277" s="16">
        <v>0.0</v>
      </c>
      <c r="T277" s="16">
        <v>0.0</v>
      </c>
    </row>
    <row r="278">
      <c r="A278" s="126">
        <f>'Monthly Data'!A114</f>
        <v>46508</v>
      </c>
      <c r="B278" s="235">
        <f t="shared" si="214"/>
        <v>2027</v>
      </c>
      <c r="C278" s="127">
        <f>ROUND(C273*(1+$G$6)^(MONTH(A278)/12),0)</f>
        <v>7891</v>
      </c>
      <c r="D278" s="236">
        <f>ROUND(D273*(1+$G$8)^(MONTH(A278)/12),0)</f>
        <v>1500</v>
      </c>
      <c r="E278" s="124">
        <f t="shared" si="200"/>
        <v>11836500</v>
      </c>
      <c r="F278" s="127">
        <f t="shared" si="218"/>
        <v>86</v>
      </c>
      <c r="G278" s="236">
        <f t="shared" si="215"/>
        <v>41142.09302</v>
      </c>
      <c r="H278" s="124">
        <f t="shared" si="219"/>
        <v>3538220</v>
      </c>
      <c r="I278" s="124">
        <f t="shared" si="220"/>
        <v>205882</v>
      </c>
      <c r="J278" s="124">
        <f t="shared" si="203"/>
        <v>205882</v>
      </c>
      <c r="K278" s="124">
        <f t="shared" si="210"/>
        <v>15580602</v>
      </c>
      <c r="L278" s="125">
        <v>0.0</v>
      </c>
      <c r="M278" s="125">
        <v>0.0</v>
      </c>
      <c r="N278" s="124">
        <f t="shared" si="211"/>
        <v>0</v>
      </c>
      <c r="O278" s="234">
        <f t="shared" si="216"/>
        <v>1.033312044</v>
      </c>
      <c r="P278" s="127">
        <f t="shared" si="217"/>
        <v>0</v>
      </c>
      <c r="Q278" s="124">
        <f t="shared" si="213"/>
        <v>0</v>
      </c>
      <c r="R278" s="16">
        <v>0.0</v>
      </c>
      <c r="S278" s="16">
        <v>0.0</v>
      </c>
      <c r="T278" s="16">
        <v>0.0</v>
      </c>
    </row>
    <row r="279">
      <c r="A279" s="126">
        <f>'Monthly Data'!A115</f>
        <v>46539</v>
      </c>
      <c r="B279" s="235">
        <f t="shared" si="214"/>
        <v>2027</v>
      </c>
      <c r="C279" s="127">
        <f>ROUND(C273*(1+$G$6)^(MONTH(A279)/12),0)</f>
        <v>8066</v>
      </c>
      <c r="D279" s="236">
        <f>ROUND(D273*(1+$G$8)^(MONTH(A279)/12),0)</f>
        <v>1500</v>
      </c>
      <c r="E279" s="124">
        <f t="shared" si="200"/>
        <v>12099000</v>
      </c>
      <c r="F279" s="127">
        <f t="shared" si="218"/>
        <v>88</v>
      </c>
      <c r="G279" s="236">
        <f t="shared" si="215"/>
        <v>37013.03409</v>
      </c>
      <c r="H279" s="124">
        <f t="shared" si="219"/>
        <v>3257147</v>
      </c>
      <c r="I279" s="124">
        <f t="shared" si="220"/>
        <v>1286765</v>
      </c>
      <c r="J279" s="124">
        <f t="shared" si="203"/>
        <v>1286765</v>
      </c>
      <c r="K279" s="124">
        <f t="shared" si="210"/>
        <v>16642912</v>
      </c>
      <c r="L279" s="125">
        <v>0.0</v>
      </c>
      <c r="M279" s="125">
        <v>0.0</v>
      </c>
      <c r="N279" s="124">
        <f t="shared" si="211"/>
        <v>0</v>
      </c>
      <c r="O279" s="234">
        <f t="shared" si="216"/>
        <v>0.951226669</v>
      </c>
      <c r="P279" s="127">
        <f t="shared" si="217"/>
        <v>0</v>
      </c>
      <c r="Q279" s="124">
        <f t="shared" si="213"/>
        <v>0</v>
      </c>
      <c r="R279" s="16">
        <v>0.0</v>
      </c>
      <c r="S279" s="16">
        <v>0.0</v>
      </c>
      <c r="T279" s="16">
        <v>0.0</v>
      </c>
    </row>
    <row r="280">
      <c r="A280" s="126">
        <f>'Monthly Data'!A116</f>
        <v>46569</v>
      </c>
      <c r="B280" s="235">
        <f t="shared" si="214"/>
        <v>2027</v>
      </c>
      <c r="C280" s="127">
        <f>ROUND(C273*(1+$G$6)^(MONTH(A280)/12),0)</f>
        <v>8244</v>
      </c>
      <c r="D280" s="236">
        <f>ROUND(D273*(1+$G$8)^(MONTH(A280)/12),0)</f>
        <v>1500</v>
      </c>
      <c r="E280" s="124">
        <f t="shared" si="200"/>
        <v>12366000</v>
      </c>
      <c r="F280" s="127">
        <f t="shared" si="218"/>
        <v>89</v>
      </c>
      <c r="G280" s="236">
        <f t="shared" si="215"/>
        <v>36000.55056</v>
      </c>
      <c r="H280" s="124">
        <f t="shared" si="219"/>
        <v>3204049</v>
      </c>
      <c r="I280" s="124">
        <f t="shared" si="220"/>
        <v>205882</v>
      </c>
      <c r="J280" s="124">
        <f t="shared" si="203"/>
        <v>205882</v>
      </c>
      <c r="K280" s="124">
        <f t="shared" si="210"/>
        <v>21775931</v>
      </c>
      <c r="L280" s="125">
        <v>0.0</v>
      </c>
      <c r="M280" s="125">
        <v>0.0</v>
      </c>
      <c r="N280" s="124">
        <f t="shared" si="211"/>
        <v>0</v>
      </c>
      <c r="O280" s="234">
        <f t="shared" si="216"/>
        <v>0.9357197749</v>
      </c>
      <c r="P280" s="127">
        <f t="shared" si="217"/>
        <v>4000</v>
      </c>
      <c r="Q280" s="124">
        <f t="shared" si="213"/>
        <v>6000000</v>
      </c>
      <c r="R280" s="16">
        <v>0.0</v>
      </c>
      <c r="S280" s="16">
        <v>0.0</v>
      </c>
      <c r="T280" s="16">
        <v>0.0</v>
      </c>
    </row>
    <row r="281">
      <c r="A281" s="126">
        <f>'Monthly Data'!A117</f>
        <v>46600</v>
      </c>
      <c r="B281" s="235">
        <f t="shared" si="214"/>
        <v>2027</v>
      </c>
      <c r="C281" s="127">
        <f>ROUND(C273*(1+$G$6)^(MONTH(A281)/12),0)</f>
        <v>8426</v>
      </c>
      <c r="D281" s="236">
        <f>ROUND(D273*(1+$G$8)^(MONTH(A281)/12),0)</f>
        <v>1500</v>
      </c>
      <c r="E281" s="124">
        <f t="shared" si="200"/>
        <v>12639000</v>
      </c>
      <c r="F281" s="127">
        <f t="shared" si="218"/>
        <v>92</v>
      </c>
      <c r="G281" s="236">
        <f t="shared" si="215"/>
        <v>34150.57609</v>
      </c>
      <c r="H281" s="124">
        <f t="shared" si="219"/>
        <v>3141853</v>
      </c>
      <c r="I281" s="124">
        <f t="shared" si="220"/>
        <v>205882</v>
      </c>
      <c r="J281" s="124">
        <f t="shared" si="203"/>
        <v>205882</v>
      </c>
      <c r="K281" s="124">
        <f t="shared" si="210"/>
        <v>22106735</v>
      </c>
      <c r="L281" s="125">
        <v>0.0</v>
      </c>
      <c r="M281" s="125">
        <v>0.0</v>
      </c>
      <c r="N281" s="124">
        <f t="shared" si="211"/>
        <v>0</v>
      </c>
      <c r="O281" s="234">
        <f t="shared" si="216"/>
        <v>0.9175558744</v>
      </c>
      <c r="P281" s="127">
        <f t="shared" si="217"/>
        <v>4080</v>
      </c>
      <c r="Q281" s="124">
        <f t="shared" si="213"/>
        <v>6120000</v>
      </c>
      <c r="R281" s="16">
        <v>0.0</v>
      </c>
      <c r="S281" s="16">
        <v>0.0</v>
      </c>
      <c r="T281" s="16">
        <v>0.0</v>
      </c>
    </row>
    <row r="282">
      <c r="A282" s="126">
        <f>'Monthly Data'!A118</f>
        <v>46631</v>
      </c>
      <c r="B282" s="235">
        <f t="shared" si="214"/>
        <v>2027</v>
      </c>
      <c r="C282" s="127">
        <f>ROUND(C273*(1+$G$6)^(MONTH(A282)/12),0)</f>
        <v>8612</v>
      </c>
      <c r="D282" s="236">
        <f>ROUND(D273*(1+$G$8)^(MONTH(A282)/12),0)</f>
        <v>1500</v>
      </c>
      <c r="E282" s="124">
        <f t="shared" si="200"/>
        <v>12918000</v>
      </c>
      <c r="F282" s="127">
        <f t="shared" si="218"/>
        <v>94</v>
      </c>
      <c r="G282" s="236">
        <f t="shared" si="215"/>
        <v>33846.15957</v>
      </c>
      <c r="H282" s="124">
        <f t="shared" si="219"/>
        <v>3181539</v>
      </c>
      <c r="I282" s="124">
        <f t="shared" si="220"/>
        <v>1286765</v>
      </c>
      <c r="J282" s="124">
        <f t="shared" si="203"/>
        <v>1286765</v>
      </c>
      <c r="K282" s="124">
        <f t="shared" si="210"/>
        <v>23629304</v>
      </c>
      <c r="L282" s="125">
        <v>0.0</v>
      </c>
      <c r="M282" s="125">
        <v>0.0</v>
      </c>
      <c r="N282" s="124">
        <f t="shared" si="211"/>
        <v>0</v>
      </c>
      <c r="O282" s="234">
        <f t="shared" si="216"/>
        <v>0.9291458891</v>
      </c>
      <c r="P282" s="127">
        <f t="shared" si="217"/>
        <v>4162</v>
      </c>
      <c r="Q282" s="124">
        <f t="shared" si="213"/>
        <v>6243000</v>
      </c>
      <c r="R282" s="16">
        <v>0.0</v>
      </c>
      <c r="S282" s="16">
        <v>0.0</v>
      </c>
      <c r="T282" s="16">
        <v>0.0</v>
      </c>
    </row>
    <row r="283">
      <c r="A283" s="126">
        <f>'Monthly Data'!A119</f>
        <v>46661</v>
      </c>
      <c r="B283" s="235">
        <f t="shared" si="214"/>
        <v>2027</v>
      </c>
      <c r="C283" s="127">
        <f>ROUND(C273*(1+$G$6)^(MONTH(A283)/12),0)</f>
        <v>8803</v>
      </c>
      <c r="D283" s="236">
        <f>ROUND(D273*(1+$G$8)^(MONTH(A283)/12),0)</f>
        <v>1500</v>
      </c>
      <c r="E283" s="124">
        <f t="shared" si="200"/>
        <v>13204500</v>
      </c>
      <c r="F283" s="127">
        <f t="shared" si="218"/>
        <v>94</v>
      </c>
      <c r="G283" s="236">
        <f t="shared" si="215"/>
        <v>34150.54255</v>
      </c>
      <c r="H283" s="124">
        <f t="shared" si="219"/>
        <v>3210151</v>
      </c>
      <c r="I283" s="124">
        <f t="shared" si="220"/>
        <v>205882</v>
      </c>
      <c r="J283" s="124">
        <f t="shared" si="203"/>
        <v>205882</v>
      </c>
      <c r="K283" s="124">
        <f t="shared" si="210"/>
        <v>22988033</v>
      </c>
      <c r="L283" s="125">
        <v>0.0</v>
      </c>
      <c r="M283" s="125">
        <v>0.0</v>
      </c>
      <c r="N283" s="124">
        <f t="shared" si="211"/>
        <v>0</v>
      </c>
      <c r="O283" s="234">
        <f t="shared" si="216"/>
        <v>0.9375018207</v>
      </c>
      <c r="P283" s="127">
        <f t="shared" si="217"/>
        <v>4245</v>
      </c>
      <c r="Q283" s="124">
        <f t="shared" si="213"/>
        <v>6367500</v>
      </c>
      <c r="R283" s="16">
        <v>0.0</v>
      </c>
      <c r="S283" s="16">
        <v>0.0</v>
      </c>
      <c r="T283" s="16">
        <v>0.0</v>
      </c>
    </row>
    <row r="284">
      <c r="A284" s="126">
        <f>'Monthly Data'!A120</f>
        <v>46692</v>
      </c>
      <c r="B284" s="235">
        <f t="shared" si="214"/>
        <v>2027</v>
      </c>
      <c r="C284" s="127">
        <f>ROUND(C273*(1+$G$6)^(MONTH(A284)/12),0)</f>
        <v>8997</v>
      </c>
      <c r="D284" s="236">
        <f>ROUND(D273*(1+$G$8)^(MONTH(A284)/12),0)</f>
        <v>1500</v>
      </c>
      <c r="E284" s="124">
        <f t="shared" si="200"/>
        <v>13495500</v>
      </c>
      <c r="F284" s="127">
        <f t="shared" si="218"/>
        <v>96</v>
      </c>
      <c r="G284" s="236">
        <f t="shared" si="215"/>
        <v>34676.98958</v>
      </c>
      <c r="H284" s="124">
        <f t="shared" si="219"/>
        <v>3328991</v>
      </c>
      <c r="I284" s="124">
        <f t="shared" si="220"/>
        <v>205882</v>
      </c>
      <c r="J284" s="124">
        <f t="shared" si="203"/>
        <v>205882</v>
      </c>
      <c r="K284" s="124">
        <f t="shared" si="210"/>
        <v>23525373</v>
      </c>
      <c r="L284" s="125">
        <v>0.0</v>
      </c>
      <c r="M284" s="125">
        <v>0.0</v>
      </c>
      <c r="N284" s="124">
        <f t="shared" si="211"/>
        <v>0</v>
      </c>
      <c r="O284" s="234">
        <f t="shared" si="216"/>
        <v>0.9722081994</v>
      </c>
      <c r="P284" s="127">
        <f t="shared" si="217"/>
        <v>4330</v>
      </c>
      <c r="Q284" s="124">
        <f t="shared" si="213"/>
        <v>6495000</v>
      </c>
      <c r="R284" s="16">
        <v>0.0</v>
      </c>
      <c r="S284" s="16">
        <v>0.0</v>
      </c>
      <c r="T284" s="16">
        <v>0.0</v>
      </c>
    </row>
    <row r="285">
      <c r="A285" s="126">
        <f>'Monthly Data'!A121</f>
        <v>46722</v>
      </c>
      <c r="B285" s="235">
        <f t="shared" si="214"/>
        <v>2027</v>
      </c>
      <c r="C285" s="127">
        <f>ROUND(C273*(1+$G$6)^(MONTH(A285)/12),0)</f>
        <v>9196</v>
      </c>
      <c r="D285" s="236">
        <f>ROUND(D273*(1+$G$8)^(MONTH(A285)/12),0)</f>
        <v>1500</v>
      </c>
      <c r="E285" s="124">
        <f t="shared" si="200"/>
        <v>13794000</v>
      </c>
      <c r="F285" s="127">
        <f t="shared" si="218"/>
        <v>98</v>
      </c>
      <c r="G285" s="236">
        <f t="shared" si="215"/>
        <v>35167.12245</v>
      </c>
      <c r="H285" s="124">
        <f t="shared" si="219"/>
        <v>3446378</v>
      </c>
      <c r="I285" s="124">
        <f t="shared" si="220"/>
        <v>1492649</v>
      </c>
      <c r="J285" s="124">
        <f t="shared" si="203"/>
        <v>1492649</v>
      </c>
      <c r="K285" s="124">
        <f t="shared" si="210"/>
        <v>25357027</v>
      </c>
      <c r="L285" s="125">
        <v>0.0</v>
      </c>
      <c r="M285" s="125">
        <v>0.0</v>
      </c>
      <c r="N285" s="124">
        <f t="shared" si="211"/>
        <v>0</v>
      </c>
      <c r="O285" s="234">
        <f t="shared" si="216"/>
        <v>1.00649024</v>
      </c>
      <c r="P285" s="127">
        <f t="shared" si="217"/>
        <v>4416</v>
      </c>
      <c r="Q285" s="124">
        <f t="shared" si="213"/>
        <v>6624000</v>
      </c>
      <c r="R285" s="16">
        <v>0.0</v>
      </c>
      <c r="S285" s="16">
        <v>0.0</v>
      </c>
      <c r="T285" s="16">
        <v>0.0</v>
      </c>
    </row>
    <row r="286">
      <c r="A286" s="126">
        <f>'Monthly Data'!A122</f>
        <v>46753</v>
      </c>
      <c r="B286" s="235">
        <f t="shared" si="214"/>
        <v>2028</v>
      </c>
      <c r="C286" s="127">
        <f>ROUND(C285*(1+$H$6)^(MONTH(A286)/12),0)</f>
        <v>9337</v>
      </c>
      <c r="D286" s="236">
        <f>ROUND(D285*(1+$H$8)^(MONTH(A286)/12),0)</f>
        <v>1500</v>
      </c>
      <c r="E286" s="124">
        <f t="shared" si="200"/>
        <v>14005500</v>
      </c>
      <c r="F286" s="127">
        <f t="shared" ref="F286:F297" si="221">MAX(0,ROUND(F274+$H$7,0))</f>
        <v>91</v>
      </c>
      <c r="G286" s="236">
        <f t="shared" si="215"/>
        <v>47999.49451</v>
      </c>
      <c r="H286" s="124">
        <f t="shared" si="219"/>
        <v>4367954</v>
      </c>
      <c r="I286" s="124">
        <f t="shared" ref="I286:I297" si="222">ROUND(J274*(1+$H$9),0)</f>
        <v>205882</v>
      </c>
      <c r="J286" s="124">
        <f t="shared" si="203"/>
        <v>205882</v>
      </c>
      <c r="K286" s="124">
        <f t="shared" si="210"/>
        <v>25336836</v>
      </c>
      <c r="L286" s="125">
        <v>0.0</v>
      </c>
      <c r="M286" s="125">
        <v>0.0</v>
      </c>
      <c r="N286" s="124">
        <f t="shared" si="211"/>
        <v>0</v>
      </c>
      <c r="O286" s="234">
        <f t="shared" si="216"/>
        <v>1.099376493</v>
      </c>
      <c r="P286" s="127">
        <f t="shared" si="217"/>
        <v>4505</v>
      </c>
      <c r="Q286" s="124">
        <f t="shared" si="213"/>
        <v>6757500</v>
      </c>
      <c r="R286" s="16">
        <v>0.0</v>
      </c>
      <c r="S286" s="16">
        <v>0.0</v>
      </c>
      <c r="T286" s="16">
        <v>0.0</v>
      </c>
    </row>
    <row r="287">
      <c r="A287" s="126">
        <f>'Monthly Data'!A123</f>
        <v>46784</v>
      </c>
      <c r="B287" s="235">
        <f t="shared" si="214"/>
        <v>2028</v>
      </c>
      <c r="C287" s="127">
        <f>ROUND(C285*(1+$H$6)^(MONTH(A287)/12),0)</f>
        <v>9480</v>
      </c>
      <c r="D287" s="236">
        <f>ROUND(D285*(1+$H$8)^(MONTH(A287)/12),0)</f>
        <v>1500</v>
      </c>
      <c r="E287" s="124">
        <f t="shared" si="200"/>
        <v>14220000</v>
      </c>
      <c r="F287" s="127">
        <f t="shared" si="221"/>
        <v>93</v>
      </c>
      <c r="G287" s="236">
        <f t="shared" si="215"/>
        <v>47648.12903</v>
      </c>
      <c r="H287" s="124">
        <f t="shared" si="219"/>
        <v>4431276</v>
      </c>
      <c r="I287" s="124">
        <f t="shared" si="222"/>
        <v>205882</v>
      </c>
      <c r="J287" s="124">
        <f t="shared" si="203"/>
        <v>205882</v>
      </c>
      <c r="K287" s="124">
        <f t="shared" si="210"/>
        <v>25749658</v>
      </c>
      <c r="L287" s="125">
        <v>0.0</v>
      </c>
      <c r="M287" s="125">
        <v>0.0</v>
      </c>
      <c r="N287" s="124">
        <f t="shared" si="211"/>
        <v>0</v>
      </c>
      <c r="O287" s="234">
        <f t="shared" si="216"/>
        <v>1.115314097</v>
      </c>
      <c r="P287" s="127">
        <f t="shared" si="217"/>
        <v>4595</v>
      </c>
      <c r="Q287" s="124">
        <f t="shared" si="213"/>
        <v>6892500</v>
      </c>
      <c r="R287" s="16">
        <v>0.0</v>
      </c>
      <c r="S287" s="16">
        <v>0.0</v>
      </c>
      <c r="T287" s="16">
        <v>0.0</v>
      </c>
    </row>
    <row r="288">
      <c r="A288" s="126">
        <f>'Monthly Data'!A124</f>
        <v>46813</v>
      </c>
      <c r="B288" s="235">
        <f t="shared" si="214"/>
        <v>2028</v>
      </c>
      <c r="C288" s="127">
        <f>ROUND(C285*(1+$H$6)^(MONTH(A288)/12),0)</f>
        <v>9625</v>
      </c>
      <c r="D288" s="236">
        <f>ROUND(D285*(1+$H$8)^(MONTH(A288)/12),0)</f>
        <v>1500</v>
      </c>
      <c r="E288" s="124">
        <f t="shared" si="200"/>
        <v>14437500</v>
      </c>
      <c r="F288" s="127">
        <f t="shared" si="221"/>
        <v>96</v>
      </c>
      <c r="G288" s="236">
        <f t="shared" si="215"/>
        <v>44609.92708</v>
      </c>
      <c r="H288" s="124">
        <f t="shared" si="219"/>
        <v>4282553</v>
      </c>
      <c r="I288" s="124">
        <f t="shared" si="222"/>
        <v>1286765</v>
      </c>
      <c r="J288" s="124">
        <f t="shared" si="203"/>
        <v>1286765</v>
      </c>
      <c r="K288" s="124">
        <f t="shared" si="210"/>
        <v>27037318</v>
      </c>
      <c r="L288" s="125">
        <v>0.0</v>
      </c>
      <c r="M288" s="125">
        <v>0.0</v>
      </c>
      <c r="N288" s="124">
        <f t="shared" si="211"/>
        <v>0</v>
      </c>
      <c r="O288" s="234">
        <f t="shared" si="216"/>
        <v>1.077881795</v>
      </c>
      <c r="P288" s="127">
        <f t="shared" si="217"/>
        <v>4687</v>
      </c>
      <c r="Q288" s="124">
        <f t="shared" si="213"/>
        <v>7030500</v>
      </c>
      <c r="R288" s="16">
        <v>0.0</v>
      </c>
      <c r="S288" s="16">
        <v>0.0</v>
      </c>
      <c r="T288" s="16">
        <v>0.0</v>
      </c>
    </row>
    <row r="289">
      <c r="A289" s="126">
        <f>'Monthly Data'!A125</f>
        <v>46844</v>
      </c>
      <c r="B289" s="235">
        <f t="shared" si="214"/>
        <v>2028</v>
      </c>
      <c r="C289" s="127">
        <f>ROUND(C285*(1+$H$6)^(MONTH(A289)/12),0)</f>
        <v>9772</v>
      </c>
      <c r="D289" s="236">
        <f>ROUND(D285*(1+$H$8)^(MONTH(A289)/12),0)</f>
        <v>1500</v>
      </c>
      <c r="E289" s="124">
        <f t="shared" si="200"/>
        <v>14658000</v>
      </c>
      <c r="F289" s="127">
        <f t="shared" si="221"/>
        <v>97</v>
      </c>
      <c r="G289" s="236">
        <f t="shared" si="215"/>
        <v>44136.72165</v>
      </c>
      <c r="H289" s="124">
        <f t="shared" si="219"/>
        <v>4281262</v>
      </c>
      <c r="I289" s="124">
        <f t="shared" si="222"/>
        <v>205882</v>
      </c>
      <c r="J289" s="124">
        <f t="shared" si="203"/>
        <v>205882</v>
      </c>
      <c r="K289" s="124">
        <f t="shared" si="210"/>
        <v>26315144</v>
      </c>
      <c r="L289" s="125">
        <v>0.0</v>
      </c>
      <c r="M289" s="125">
        <v>0.0</v>
      </c>
      <c r="N289" s="124">
        <f t="shared" si="211"/>
        <v>0</v>
      </c>
      <c r="O289" s="234">
        <f t="shared" si="216"/>
        <v>1.077556862</v>
      </c>
      <c r="P289" s="127">
        <f t="shared" si="217"/>
        <v>4780</v>
      </c>
      <c r="Q289" s="124">
        <f t="shared" si="213"/>
        <v>7170000</v>
      </c>
      <c r="R289" s="16">
        <v>0.0</v>
      </c>
      <c r="S289" s="16">
        <v>0.0</v>
      </c>
      <c r="T289" s="16">
        <v>0.0</v>
      </c>
    </row>
    <row r="290">
      <c r="A290" s="126">
        <f>'Monthly Data'!A126</f>
        <v>46874</v>
      </c>
      <c r="B290" s="235">
        <f t="shared" si="214"/>
        <v>2028</v>
      </c>
      <c r="C290" s="127">
        <f>ROUND(C285*(1+$H$6)^(MONTH(A290)/12),0)</f>
        <v>9922</v>
      </c>
      <c r="D290" s="236">
        <f>ROUND(D285*(1+$H$8)^(MONTH(A290)/12),0)</f>
        <v>1500</v>
      </c>
      <c r="E290" s="124">
        <f t="shared" si="200"/>
        <v>14883000</v>
      </c>
      <c r="F290" s="127">
        <f t="shared" si="221"/>
        <v>100</v>
      </c>
      <c r="G290" s="236">
        <f t="shared" si="215"/>
        <v>41142.09</v>
      </c>
      <c r="H290" s="124">
        <f t="shared" si="219"/>
        <v>4114209</v>
      </c>
      <c r="I290" s="124">
        <f t="shared" si="222"/>
        <v>205882</v>
      </c>
      <c r="J290" s="124">
        <f t="shared" si="203"/>
        <v>205882</v>
      </c>
      <c r="K290" s="124">
        <f t="shared" si="210"/>
        <v>26517091</v>
      </c>
      <c r="L290" s="125">
        <v>0.0</v>
      </c>
      <c r="M290" s="125">
        <v>0.0</v>
      </c>
      <c r="N290" s="124">
        <f t="shared" si="211"/>
        <v>0</v>
      </c>
      <c r="O290" s="234">
        <f t="shared" si="216"/>
        <v>1.035511057</v>
      </c>
      <c r="P290" s="127">
        <f t="shared" si="217"/>
        <v>4876</v>
      </c>
      <c r="Q290" s="124">
        <f t="shared" si="213"/>
        <v>7314000</v>
      </c>
      <c r="R290" s="16">
        <v>0.0</v>
      </c>
      <c r="S290" s="16">
        <v>0.0</v>
      </c>
      <c r="T290" s="16">
        <v>0.0</v>
      </c>
    </row>
    <row r="291">
      <c r="A291" s="126">
        <f>'Monthly Data'!A127</f>
        <v>46905</v>
      </c>
      <c r="B291" s="235">
        <f t="shared" si="214"/>
        <v>2028</v>
      </c>
      <c r="C291" s="127">
        <f>ROUND(C285*(1+$H$6)^(MONTH(A291)/12),0)</f>
        <v>10074</v>
      </c>
      <c r="D291" s="236">
        <f>ROUND(D285*(1+$H$8)^(MONTH(A291)/12),0)</f>
        <v>1500</v>
      </c>
      <c r="E291" s="124">
        <f t="shared" si="200"/>
        <v>15111000</v>
      </c>
      <c r="F291" s="127">
        <f t="shared" si="221"/>
        <v>102</v>
      </c>
      <c r="G291" s="236">
        <f t="shared" si="215"/>
        <v>37013.02941</v>
      </c>
      <c r="H291" s="124">
        <f t="shared" si="219"/>
        <v>3775329</v>
      </c>
      <c r="I291" s="124">
        <f t="shared" si="222"/>
        <v>1286765</v>
      </c>
      <c r="J291" s="124">
        <f t="shared" si="203"/>
        <v>1286765</v>
      </c>
      <c r="K291" s="124">
        <f t="shared" si="210"/>
        <v>27632594</v>
      </c>
      <c r="L291" s="125">
        <v>0.0</v>
      </c>
      <c r="M291" s="125">
        <v>0.0</v>
      </c>
      <c r="N291" s="124">
        <f t="shared" si="211"/>
        <v>0</v>
      </c>
      <c r="O291" s="234">
        <f t="shared" si="216"/>
        <v>0.9502178725</v>
      </c>
      <c r="P291" s="127">
        <f t="shared" si="217"/>
        <v>4973</v>
      </c>
      <c r="Q291" s="124">
        <f t="shared" si="213"/>
        <v>7459500</v>
      </c>
      <c r="R291" s="16">
        <v>0.0</v>
      </c>
      <c r="S291" s="16">
        <v>0.0</v>
      </c>
      <c r="T291" s="16">
        <v>0.0</v>
      </c>
    </row>
    <row r="292">
      <c r="A292" s="126">
        <f>'Monthly Data'!A128</f>
        <v>46935</v>
      </c>
      <c r="B292" s="235">
        <f t="shared" si="214"/>
        <v>2028</v>
      </c>
      <c r="C292" s="127">
        <f>ROUND(C285*(1+$H$6)^(MONTH(A292)/12),0)</f>
        <v>10228</v>
      </c>
      <c r="D292" s="236">
        <f>ROUND(D285*(1+$H$8)^(MONTH(A292)/12),0)</f>
        <v>1500</v>
      </c>
      <c r="E292" s="124">
        <f t="shared" si="200"/>
        <v>15342000</v>
      </c>
      <c r="F292" s="127">
        <f t="shared" si="221"/>
        <v>103</v>
      </c>
      <c r="G292" s="236">
        <f t="shared" si="215"/>
        <v>36000.5534</v>
      </c>
      <c r="H292" s="124">
        <f t="shared" si="219"/>
        <v>3708057</v>
      </c>
      <c r="I292" s="124">
        <f t="shared" si="222"/>
        <v>205882</v>
      </c>
      <c r="J292" s="124">
        <f t="shared" si="203"/>
        <v>205882</v>
      </c>
      <c r="K292" s="124">
        <f t="shared" si="210"/>
        <v>26865439</v>
      </c>
      <c r="L292" s="125">
        <v>0.0</v>
      </c>
      <c r="M292" s="125">
        <v>0.0</v>
      </c>
      <c r="N292" s="124">
        <f t="shared" si="211"/>
        <v>0</v>
      </c>
      <c r="O292" s="234">
        <f t="shared" si="216"/>
        <v>0.9332860881</v>
      </c>
      <c r="P292" s="127">
        <f t="shared" si="217"/>
        <v>5073</v>
      </c>
      <c r="Q292" s="124">
        <f t="shared" si="213"/>
        <v>7609500</v>
      </c>
      <c r="R292" s="16">
        <v>0.0</v>
      </c>
      <c r="S292" s="16">
        <v>0.0</v>
      </c>
      <c r="T292" s="16">
        <v>0.0</v>
      </c>
    </row>
    <row r="293">
      <c r="A293" s="126">
        <f>'Monthly Data'!A129</f>
        <v>46966</v>
      </c>
      <c r="B293" s="235">
        <f t="shared" si="214"/>
        <v>2028</v>
      </c>
      <c r="C293" s="127">
        <f>ROUND(C285*(1+$H$6)^(MONTH(A293)/12),0)</f>
        <v>10385</v>
      </c>
      <c r="D293" s="236">
        <f>ROUND(D285*(1+$H$8)^(MONTH(A293)/12),0)</f>
        <v>1500</v>
      </c>
      <c r="E293" s="124">
        <f t="shared" si="200"/>
        <v>15577500</v>
      </c>
      <c r="F293" s="127">
        <f t="shared" si="221"/>
        <v>106</v>
      </c>
      <c r="G293" s="236">
        <f t="shared" si="215"/>
        <v>34150.57547</v>
      </c>
      <c r="H293" s="124">
        <f t="shared" si="219"/>
        <v>3619961</v>
      </c>
      <c r="I293" s="124">
        <f t="shared" si="222"/>
        <v>205882</v>
      </c>
      <c r="J293" s="124">
        <f t="shared" si="203"/>
        <v>205882</v>
      </c>
      <c r="K293" s="124">
        <f t="shared" si="210"/>
        <v>27164343</v>
      </c>
      <c r="L293" s="125">
        <v>0.0</v>
      </c>
      <c r="M293" s="125">
        <v>0.0</v>
      </c>
      <c r="N293" s="124">
        <f t="shared" si="211"/>
        <v>0</v>
      </c>
      <c r="O293" s="234">
        <f t="shared" si="216"/>
        <v>0.9111130818</v>
      </c>
      <c r="P293" s="127">
        <f t="shared" si="217"/>
        <v>5174</v>
      </c>
      <c r="Q293" s="124">
        <f t="shared" si="213"/>
        <v>7761000</v>
      </c>
      <c r="R293" s="16">
        <v>0.0</v>
      </c>
      <c r="S293" s="16">
        <v>0.0</v>
      </c>
      <c r="T293" s="16">
        <v>0.0</v>
      </c>
    </row>
    <row r="294">
      <c r="A294" s="126">
        <f>'Monthly Data'!A130</f>
        <v>46997</v>
      </c>
      <c r="B294" s="235">
        <f t="shared" si="214"/>
        <v>2028</v>
      </c>
      <c r="C294" s="127">
        <f>ROUND(C285*(1+$H$6)^(MONTH(A294)/12),0)</f>
        <v>10544</v>
      </c>
      <c r="D294" s="236">
        <f>ROUND(D285*(1+$H$8)^(MONTH(A294)/12),0)</f>
        <v>1500</v>
      </c>
      <c r="E294" s="124">
        <f t="shared" si="200"/>
        <v>15816000</v>
      </c>
      <c r="F294" s="127">
        <f t="shared" si="221"/>
        <v>108</v>
      </c>
      <c r="G294" s="236">
        <f t="shared" si="215"/>
        <v>33846.15741</v>
      </c>
      <c r="H294" s="124">
        <f t="shared" si="219"/>
        <v>3655385</v>
      </c>
      <c r="I294" s="124">
        <f t="shared" si="222"/>
        <v>1286765</v>
      </c>
      <c r="J294" s="124">
        <f t="shared" si="203"/>
        <v>1286765</v>
      </c>
      <c r="K294" s="124">
        <f t="shared" si="210"/>
        <v>28675150</v>
      </c>
      <c r="L294" s="125">
        <v>0.0</v>
      </c>
      <c r="M294" s="125">
        <v>0.0</v>
      </c>
      <c r="N294" s="124">
        <f t="shared" si="211"/>
        <v>0</v>
      </c>
      <c r="O294" s="234">
        <f t="shared" si="216"/>
        <v>0.9200289982</v>
      </c>
      <c r="P294" s="127">
        <f t="shared" si="217"/>
        <v>5278</v>
      </c>
      <c r="Q294" s="124">
        <f t="shared" si="213"/>
        <v>7917000</v>
      </c>
      <c r="R294" s="16">
        <v>0.0</v>
      </c>
      <c r="S294" s="16">
        <v>0.0</v>
      </c>
      <c r="T294" s="16">
        <v>0.0</v>
      </c>
    </row>
    <row r="295">
      <c r="A295" s="126">
        <f>'Monthly Data'!A131</f>
        <v>47027</v>
      </c>
      <c r="B295" s="235">
        <f t="shared" si="214"/>
        <v>2028</v>
      </c>
      <c r="C295" s="127">
        <f>ROUND(C285*(1+$H$6)^(MONTH(A295)/12),0)</f>
        <v>10705</v>
      </c>
      <c r="D295" s="236">
        <f>ROUND(D285*(1+$H$8)^(MONTH(A295)/12),0)</f>
        <v>1500</v>
      </c>
      <c r="E295" s="124">
        <f t="shared" si="200"/>
        <v>16057500</v>
      </c>
      <c r="F295" s="127">
        <f t="shared" si="221"/>
        <v>108</v>
      </c>
      <c r="G295" s="236">
        <f t="shared" si="215"/>
        <v>34150.5463</v>
      </c>
      <c r="H295" s="124">
        <f t="shared" si="219"/>
        <v>3688259</v>
      </c>
      <c r="I295" s="124">
        <f t="shared" si="222"/>
        <v>205882</v>
      </c>
      <c r="J295" s="124">
        <f t="shared" si="203"/>
        <v>205882</v>
      </c>
      <c r="K295" s="124">
        <f t="shared" si="210"/>
        <v>28026141</v>
      </c>
      <c r="L295" s="125">
        <v>0.0</v>
      </c>
      <c r="M295" s="125">
        <v>0.0</v>
      </c>
      <c r="N295" s="124">
        <f t="shared" si="211"/>
        <v>0</v>
      </c>
      <c r="O295" s="234">
        <f t="shared" si="216"/>
        <v>0.9283031016</v>
      </c>
      <c r="P295" s="127">
        <f t="shared" si="217"/>
        <v>5383</v>
      </c>
      <c r="Q295" s="124">
        <f t="shared" si="213"/>
        <v>8074500</v>
      </c>
      <c r="R295" s="16">
        <v>0.0</v>
      </c>
      <c r="S295" s="16">
        <v>0.0</v>
      </c>
      <c r="T295" s="16">
        <v>0.0</v>
      </c>
    </row>
    <row r="296">
      <c r="A296" s="126">
        <f>'Monthly Data'!A132</f>
        <v>47058</v>
      </c>
      <c r="B296" s="235">
        <f t="shared" si="214"/>
        <v>2028</v>
      </c>
      <c r="C296" s="127">
        <f>ROUND(C285*(1+$H$6)^(MONTH(A296)/12),0)</f>
        <v>10869</v>
      </c>
      <c r="D296" s="236">
        <f>ROUND(D285*(1+$H$8)^(MONTH(A296)/12),0)</f>
        <v>1500</v>
      </c>
      <c r="E296" s="124">
        <f t="shared" si="200"/>
        <v>16303500</v>
      </c>
      <c r="F296" s="127">
        <f t="shared" si="221"/>
        <v>110</v>
      </c>
      <c r="G296" s="236">
        <f t="shared" si="215"/>
        <v>34676.99091</v>
      </c>
      <c r="H296" s="124">
        <f t="shared" si="219"/>
        <v>3814469</v>
      </c>
      <c r="I296" s="124">
        <f t="shared" si="222"/>
        <v>205882</v>
      </c>
      <c r="J296" s="124">
        <f t="shared" si="203"/>
        <v>205882</v>
      </c>
      <c r="K296" s="124">
        <f t="shared" si="210"/>
        <v>28560351</v>
      </c>
      <c r="L296" s="125">
        <v>0.0</v>
      </c>
      <c r="M296" s="125">
        <v>0.0</v>
      </c>
      <c r="N296" s="124">
        <f t="shared" si="211"/>
        <v>0</v>
      </c>
      <c r="O296" s="234">
        <f t="shared" si="216"/>
        <v>0.9600690742</v>
      </c>
      <c r="P296" s="127">
        <f t="shared" si="217"/>
        <v>5491</v>
      </c>
      <c r="Q296" s="124">
        <f t="shared" si="213"/>
        <v>8236500</v>
      </c>
      <c r="R296" s="16">
        <v>0.0</v>
      </c>
      <c r="S296" s="16">
        <v>0.0</v>
      </c>
      <c r="T296" s="16">
        <v>0.0</v>
      </c>
    </row>
    <row r="297">
      <c r="A297" s="126">
        <f>'Monthly Data'!A133</f>
        <v>47088</v>
      </c>
      <c r="B297" s="235">
        <f t="shared" si="214"/>
        <v>2028</v>
      </c>
      <c r="C297" s="127">
        <f>ROUND(C285*(1+$H$6)^(MONTH(A297)/12),0)</f>
        <v>11035</v>
      </c>
      <c r="D297" s="236">
        <f>ROUND(D285*(1+$H$8)^(MONTH(A297)/12),0)</f>
        <v>1500</v>
      </c>
      <c r="E297" s="124">
        <f t="shared" si="200"/>
        <v>16552500</v>
      </c>
      <c r="F297" s="127">
        <f t="shared" si="221"/>
        <v>112</v>
      </c>
      <c r="G297" s="236">
        <f t="shared" si="215"/>
        <v>35167.125</v>
      </c>
      <c r="H297" s="124">
        <f t="shared" si="219"/>
        <v>3938718</v>
      </c>
      <c r="I297" s="124">
        <f t="shared" si="222"/>
        <v>1492649</v>
      </c>
      <c r="J297" s="124">
        <f t="shared" si="203"/>
        <v>1492649</v>
      </c>
      <c r="K297" s="124">
        <f t="shared" si="210"/>
        <v>30385367</v>
      </c>
      <c r="L297" s="125">
        <v>0.0</v>
      </c>
      <c r="M297" s="125">
        <v>0.0</v>
      </c>
      <c r="N297" s="124">
        <f t="shared" si="211"/>
        <v>0</v>
      </c>
      <c r="O297" s="234">
        <f t="shared" si="216"/>
        <v>0.99134148</v>
      </c>
      <c r="P297" s="127">
        <f t="shared" si="217"/>
        <v>5601</v>
      </c>
      <c r="Q297" s="124">
        <f t="shared" si="213"/>
        <v>8401500</v>
      </c>
      <c r="R297" s="16">
        <v>0.0</v>
      </c>
      <c r="S297" s="16">
        <v>0.0</v>
      </c>
      <c r="T297" s="16">
        <v>0.0</v>
      </c>
    </row>
    <row r="298">
      <c r="A298" s="126">
        <f>'Monthly Data'!A134</f>
        <v>47119</v>
      </c>
      <c r="B298" s="235">
        <f t="shared" si="214"/>
        <v>2029</v>
      </c>
      <c r="C298" s="127">
        <f>ROUND(C297*(1+$I$6)^(MONTH(A298)/12),0)</f>
        <v>11164</v>
      </c>
      <c r="D298" s="236">
        <f>ROUND(D297*(1+$I$8)^(MONTH(A298)/12),0)</f>
        <v>1500</v>
      </c>
      <c r="E298" s="124">
        <f t="shared" si="200"/>
        <v>16746000</v>
      </c>
      <c r="F298" s="127">
        <f t="shared" ref="F298:F309" si="223">MAX(0,ROUND(F286+$I$7,0))</f>
        <v>103</v>
      </c>
      <c r="G298" s="236">
        <f t="shared" si="215"/>
        <v>47999.49515</v>
      </c>
      <c r="H298" s="124">
        <f t="shared" si="219"/>
        <v>4943948</v>
      </c>
      <c r="I298" s="124">
        <f t="shared" ref="I298:I309" si="224">ROUND(J286*(1+$I$9),0)</f>
        <v>205882</v>
      </c>
      <c r="J298" s="124">
        <f t="shared" si="203"/>
        <v>205882</v>
      </c>
      <c r="K298" s="124">
        <f t="shared" si="210"/>
        <v>30465330</v>
      </c>
      <c r="L298" s="125">
        <v>0.0</v>
      </c>
      <c r="M298" s="125">
        <v>0.0</v>
      </c>
      <c r="N298" s="124">
        <f t="shared" si="211"/>
        <v>0</v>
      </c>
      <c r="O298" s="234">
        <f t="shared" si="216"/>
        <v>1.112584463</v>
      </c>
      <c r="P298" s="127">
        <f t="shared" si="217"/>
        <v>5713</v>
      </c>
      <c r="Q298" s="124">
        <f t="shared" si="213"/>
        <v>8569500</v>
      </c>
      <c r="R298" s="16">
        <v>0.0</v>
      </c>
      <c r="S298" s="16">
        <v>0.0</v>
      </c>
      <c r="T298" s="16">
        <v>0.0</v>
      </c>
    </row>
    <row r="299">
      <c r="A299" s="126">
        <f>'Monthly Data'!A135</f>
        <v>47150</v>
      </c>
      <c r="B299" s="235">
        <f t="shared" si="214"/>
        <v>2029</v>
      </c>
      <c r="C299" s="127">
        <f>ROUND(C297*(1+$I$6)^(MONTH(A299)/12),0)</f>
        <v>11295</v>
      </c>
      <c r="D299" s="236">
        <f>ROUND(D297*(1+$I$8)^(MONTH(A299)/12),0)</f>
        <v>1500</v>
      </c>
      <c r="E299" s="124">
        <f t="shared" si="200"/>
        <v>16942500</v>
      </c>
      <c r="F299" s="127">
        <f t="shared" si="223"/>
        <v>105</v>
      </c>
      <c r="G299" s="236">
        <f t="shared" si="215"/>
        <v>47648.13333</v>
      </c>
      <c r="H299" s="124">
        <f t="shared" si="219"/>
        <v>5003054</v>
      </c>
      <c r="I299" s="124">
        <f t="shared" si="224"/>
        <v>205882</v>
      </c>
      <c r="J299" s="124">
        <f t="shared" si="203"/>
        <v>205882</v>
      </c>
      <c r="K299" s="124">
        <f t="shared" si="210"/>
        <v>30891936</v>
      </c>
      <c r="L299" s="125">
        <v>0.0</v>
      </c>
      <c r="M299" s="125">
        <v>0.0</v>
      </c>
      <c r="N299" s="124">
        <f t="shared" si="211"/>
        <v>0</v>
      </c>
      <c r="O299" s="234">
        <f t="shared" si="216"/>
        <v>1.125885658</v>
      </c>
      <c r="P299" s="127">
        <f t="shared" si="217"/>
        <v>5827</v>
      </c>
      <c r="Q299" s="124">
        <f t="shared" si="213"/>
        <v>8740500</v>
      </c>
      <c r="R299" s="16">
        <v>0.0</v>
      </c>
      <c r="S299" s="16">
        <v>0.0</v>
      </c>
      <c r="T299" s="16">
        <v>0.0</v>
      </c>
    </row>
    <row r="300">
      <c r="A300" s="126">
        <f>'Monthly Data'!A136</f>
        <v>47178</v>
      </c>
      <c r="B300" s="235">
        <f t="shared" si="214"/>
        <v>2029</v>
      </c>
      <c r="C300" s="127">
        <f>ROUND(C297*(1+$I$6)^(MONTH(A300)/12),0)</f>
        <v>11427</v>
      </c>
      <c r="D300" s="236">
        <f>ROUND(D297*(1+$I$8)^(MONTH(A300)/12),0)</f>
        <v>1500</v>
      </c>
      <c r="E300" s="124">
        <f t="shared" si="200"/>
        <v>17140500</v>
      </c>
      <c r="F300" s="127">
        <f t="shared" si="223"/>
        <v>108</v>
      </c>
      <c r="G300" s="236">
        <f t="shared" si="215"/>
        <v>44609.92593</v>
      </c>
      <c r="H300" s="124">
        <f t="shared" si="219"/>
        <v>4817872</v>
      </c>
      <c r="I300" s="124">
        <f t="shared" si="224"/>
        <v>1286765</v>
      </c>
      <c r="J300" s="124">
        <f t="shared" si="203"/>
        <v>1286765</v>
      </c>
      <c r="K300" s="124">
        <f t="shared" si="210"/>
        <v>32161137</v>
      </c>
      <c r="L300" s="125">
        <v>0.0</v>
      </c>
      <c r="M300" s="125">
        <v>0.0</v>
      </c>
      <c r="N300" s="124">
        <f t="shared" si="211"/>
        <v>0</v>
      </c>
      <c r="O300" s="234">
        <f t="shared" si="216"/>
        <v>1.08421236</v>
      </c>
      <c r="P300" s="127">
        <f t="shared" si="217"/>
        <v>5944</v>
      </c>
      <c r="Q300" s="124">
        <f t="shared" si="213"/>
        <v>8916000</v>
      </c>
      <c r="R300" s="16">
        <v>0.0</v>
      </c>
      <c r="S300" s="16">
        <v>0.0</v>
      </c>
      <c r="T300" s="16">
        <v>0.0</v>
      </c>
    </row>
    <row r="301">
      <c r="A301" s="126">
        <f>'Monthly Data'!A137</f>
        <v>47209</v>
      </c>
      <c r="B301" s="235">
        <f t="shared" si="214"/>
        <v>2029</v>
      </c>
      <c r="C301" s="127">
        <f>ROUND(C297*(1+$I$6)^(MONTH(A301)/12),0)</f>
        <v>11561</v>
      </c>
      <c r="D301" s="236">
        <f>ROUND(D297*(1+$I$8)^(MONTH(A301)/12),0)</f>
        <v>1500</v>
      </c>
      <c r="E301" s="124">
        <f t="shared" si="200"/>
        <v>17341500</v>
      </c>
      <c r="F301" s="127">
        <f t="shared" si="223"/>
        <v>109</v>
      </c>
      <c r="G301" s="236">
        <f t="shared" si="215"/>
        <v>44136.72477</v>
      </c>
      <c r="H301" s="124">
        <f t="shared" si="219"/>
        <v>4810903</v>
      </c>
      <c r="I301" s="124">
        <f t="shared" si="224"/>
        <v>205882</v>
      </c>
      <c r="J301" s="124">
        <f t="shared" si="203"/>
        <v>205882</v>
      </c>
      <c r="K301" s="124">
        <f t="shared" si="210"/>
        <v>31452785</v>
      </c>
      <c r="L301" s="125">
        <v>0.0</v>
      </c>
      <c r="M301" s="125">
        <v>0.0</v>
      </c>
      <c r="N301" s="124">
        <f t="shared" si="211"/>
        <v>0</v>
      </c>
      <c r="O301" s="234">
        <f t="shared" si="216"/>
        <v>1.082644059</v>
      </c>
      <c r="P301" s="127">
        <f t="shared" si="217"/>
        <v>6063</v>
      </c>
      <c r="Q301" s="124">
        <f t="shared" si="213"/>
        <v>9094500</v>
      </c>
      <c r="R301" s="16">
        <v>0.0</v>
      </c>
      <c r="S301" s="16">
        <v>0.0</v>
      </c>
      <c r="T301" s="16">
        <v>0.0</v>
      </c>
    </row>
    <row r="302">
      <c r="A302" s="126">
        <f>'Monthly Data'!A138</f>
        <v>47239</v>
      </c>
      <c r="B302" s="235">
        <f t="shared" si="214"/>
        <v>2029</v>
      </c>
      <c r="C302" s="127">
        <f>ROUND(C297*(1+$I$6)^(MONTH(A302)/12),0)</f>
        <v>11697</v>
      </c>
      <c r="D302" s="236">
        <f>ROUND(D297*(1+$I$8)^(MONTH(A302)/12),0)</f>
        <v>1500</v>
      </c>
      <c r="E302" s="124">
        <f t="shared" si="200"/>
        <v>17545500</v>
      </c>
      <c r="F302" s="127">
        <f t="shared" si="223"/>
        <v>112</v>
      </c>
      <c r="G302" s="236">
        <f t="shared" si="215"/>
        <v>41142.08929</v>
      </c>
      <c r="H302" s="124">
        <f t="shared" si="219"/>
        <v>4607914</v>
      </c>
      <c r="I302" s="124">
        <f t="shared" si="224"/>
        <v>205882</v>
      </c>
      <c r="J302" s="124">
        <f t="shared" si="203"/>
        <v>205882</v>
      </c>
      <c r="K302" s="124">
        <f t="shared" si="210"/>
        <v>31635296</v>
      </c>
      <c r="L302" s="125">
        <v>0.0</v>
      </c>
      <c r="M302" s="125">
        <v>0.0</v>
      </c>
      <c r="N302" s="124">
        <f t="shared" si="211"/>
        <v>0</v>
      </c>
      <c r="O302" s="234">
        <f t="shared" si="216"/>
        <v>1.03696348</v>
      </c>
      <c r="P302" s="127">
        <f t="shared" si="217"/>
        <v>6184</v>
      </c>
      <c r="Q302" s="124">
        <f t="shared" si="213"/>
        <v>9276000</v>
      </c>
      <c r="R302" s="16">
        <v>0.0</v>
      </c>
      <c r="S302" s="16">
        <v>0.0</v>
      </c>
      <c r="T302" s="16">
        <v>0.0</v>
      </c>
    </row>
    <row r="303">
      <c r="A303" s="126">
        <f>'Monthly Data'!A139</f>
        <v>47270</v>
      </c>
      <c r="B303" s="235">
        <f t="shared" si="214"/>
        <v>2029</v>
      </c>
      <c r="C303" s="127">
        <f>ROUND(C297*(1+$I$6)^(MONTH(A303)/12),0)</f>
        <v>11834</v>
      </c>
      <c r="D303" s="236">
        <f>ROUND(D297*(1+$I$8)^(MONTH(A303)/12),0)</f>
        <v>1500</v>
      </c>
      <c r="E303" s="124">
        <f t="shared" si="200"/>
        <v>17751000</v>
      </c>
      <c r="F303" s="127">
        <f t="shared" si="223"/>
        <v>114</v>
      </c>
      <c r="G303" s="236">
        <f t="shared" si="215"/>
        <v>37013.02632</v>
      </c>
      <c r="H303" s="124">
        <f t="shared" si="219"/>
        <v>4219485</v>
      </c>
      <c r="I303" s="124">
        <f t="shared" si="224"/>
        <v>1286765</v>
      </c>
      <c r="J303" s="124">
        <f t="shared" si="203"/>
        <v>1286765</v>
      </c>
      <c r="K303" s="124">
        <f t="shared" si="210"/>
        <v>32719250</v>
      </c>
      <c r="L303" s="125">
        <v>0.0</v>
      </c>
      <c r="M303" s="125">
        <v>0.0</v>
      </c>
      <c r="N303" s="124">
        <f t="shared" si="211"/>
        <v>0</v>
      </c>
      <c r="O303" s="234">
        <f t="shared" si="216"/>
        <v>0.9495515428</v>
      </c>
      <c r="P303" s="127">
        <f t="shared" si="217"/>
        <v>6308</v>
      </c>
      <c r="Q303" s="124">
        <f t="shared" si="213"/>
        <v>9462000</v>
      </c>
      <c r="R303" s="16">
        <v>0.0</v>
      </c>
      <c r="S303" s="16">
        <v>0.0</v>
      </c>
      <c r="T303" s="16">
        <v>0.0</v>
      </c>
    </row>
    <row r="304">
      <c r="A304" s="126">
        <f>'Monthly Data'!A140</f>
        <v>47300</v>
      </c>
      <c r="B304" s="235">
        <f t="shared" si="214"/>
        <v>2029</v>
      </c>
      <c r="C304" s="127">
        <f>ROUND(C297*(1+$I$6)^(MONTH(A304)/12),0)</f>
        <v>11972</v>
      </c>
      <c r="D304" s="236">
        <f>ROUND(D297*(1+$I$8)^(MONTH(A304)/12),0)</f>
        <v>1500</v>
      </c>
      <c r="E304" s="124">
        <f t="shared" si="200"/>
        <v>17958000</v>
      </c>
      <c r="F304" s="127">
        <f t="shared" si="223"/>
        <v>115</v>
      </c>
      <c r="G304" s="236">
        <f t="shared" si="215"/>
        <v>36000.55652</v>
      </c>
      <c r="H304" s="124">
        <f t="shared" si="219"/>
        <v>4140064</v>
      </c>
      <c r="I304" s="124">
        <f t="shared" si="224"/>
        <v>205882</v>
      </c>
      <c r="J304" s="124">
        <f t="shared" si="203"/>
        <v>205882</v>
      </c>
      <c r="K304" s="124">
        <f t="shared" si="210"/>
        <v>31954946</v>
      </c>
      <c r="L304" s="125">
        <v>0.0</v>
      </c>
      <c r="M304" s="125">
        <v>0.0</v>
      </c>
      <c r="N304" s="124">
        <f t="shared" si="211"/>
        <v>0</v>
      </c>
      <c r="O304" s="234">
        <f t="shared" si="216"/>
        <v>0.9316786666</v>
      </c>
      <c r="P304" s="127">
        <f t="shared" si="217"/>
        <v>6434</v>
      </c>
      <c r="Q304" s="124">
        <f t="shared" si="213"/>
        <v>9651000</v>
      </c>
      <c r="R304" s="16">
        <v>0.0</v>
      </c>
      <c r="S304" s="16">
        <v>0.0</v>
      </c>
      <c r="T304" s="16">
        <v>0.0</v>
      </c>
    </row>
    <row r="305">
      <c r="A305" s="126">
        <f>'Monthly Data'!A141</f>
        <v>47331</v>
      </c>
      <c r="B305" s="235">
        <f t="shared" si="214"/>
        <v>2029</v>
      </c>
      <c r="C305" s="127">
        <f>ROUND(C297*(1+$I$6)^(MONTH(A305)/12),0)</f>
        <v>12113</v>
      </c>
      <c r="D305" s="236">
        <f>ROUND(D297*(1+$I$8)^(MONTH(A305)/12),0)</f>
        <v>1500</v>
      </c>
      <c r="E305" s="124">
        <f t="shared" si="200"/>
        <v>18169500</v>
      </c>
      <c r="F305" s="127">
        <f t="shared" si="223"/>
        <v>118</v>
      </c>
      <c r="G305" s="236">
        <f t="shared" si="215"/>
        <v>34150.57627</v>
      </c>
      <c r="H305" s="124">
        <f t="shared" si="219"/>
        <v>4029768</v>
      </c>
      <c r="I305" s="124">
        <f t="shared" si="224"/>
        <v>205882</v>
      </c>
      <c r="J305" s="124">
        <f t="shared" si="203"/>
        <v>205882</v>
      </c>
      <c r="K305" s="124">
        <f t="shared" si="210"/>
        <v>32248150</v>
      </c>
      <c r="L305" s="125">
        <v>0.0</v>
      </c>
      <c r="M305" s="125">
        <v>0.0</v>
      </c>
      <c r="N305" s="124">
        <f t="shared" si="211"/>
        <v>0</v>
      </c>
      <c r="O305" s="234">
        <f t="shared" si="216"/>
        <v>0.9068576903</v>
      </c>
      <c r="P305" s="127">
        <f t="shared" si="217"/>
        <v>6562</v>
      </c>
      <c r="Q305" s="124">
        <f t="shared" si="213"/>
        <v>9843000</v>
      </c>
      <c r="R305" s="16">
        <v>0.0</v>
      </c>
      <c r="S305" s="16">
        <v>0.0</v>
      </c>
      <c r="T305" s="16">
        <v>0.0</v>
      </c>
    </row>
    <row r="306">
      <c r="A306" s="126">
        <f>'Monthly Data'!A142</f>
        <v>47362</v>
      </c>
      <c r="B306" s="235">
        <f t="shared" si="214"/>
        <v>2029</v>
      </c>
      <c r="C306" s="127">
        <f>ROUND(C297*(1+$I$6)^(MONTH(A306)/12),0)</f>
        <v>12255</v>
      </c>
      <c r="D306" s="236">
        <f>ROUND(D297*(1+$I$8)^(MONTH(A306)/12),0)</f>
        <v>1500</v>
      </c>
      <c r="E306" s="124">
        <f t="shared" si="200"/>
        <v>18382500</v>
      </c>
      <c r="F306" s="127">
        <f t="shared" si="223"/>
        <v>120</v>
      </c>
      <c r="G306" s="236">
        <f t="shared" si="215"/>
        <v>33846.15833</v>
      </c>
      <c r="H306" s="124">
        <f t="shared" si="219"/>
        <v>4061539</v>
      </c>
      <c r="I306" s="124">
        <f t="shared" si="224"/>
        <v>1286765</v>
      </c>
      <c r="J306" s="124">
        <f t="shared" si="203"/>
        <v>1286765</v>
      </c>
      <c r="K306" s="124">
        <f t="shared" si="210"/>
        <v>33771804</v>
      </c>
      <c r="L306" s="125">
        <v>0.0</v>
      </c>
      <c r="M306" s="125">
        <v>0.0</v>
      </c>
      <c r="N306" s="124">
        <f t="shared" si="211"/>
        <v>0</v>
      </c>
      <c r="O306" s="234">
        <f t="shared" si="216"/>
        <v>0.9140074259</v>
      </c>
      <c r="P306" s="127">
        <f t="shared" si="217"/>
        <v>6694</v>
      </c>
      <c r="Q306" s="124">
        <f t="shared" si="213"/>
        <v>10041000</v>
      </c>
      <c r="R306" s="16">
        <v>0.0</v>
      </c>
      <c r="S306" s="16">
        <v>0.0</v>
      </c>
      <c r="T306" s="16">
        <v>0.0</v>
      </c>
    </row>
    <row r="307">
      <c r="A307" s="126">
        <f>'Monthly Data'!A143</f>
        <v>47392</v>
      </c>
      <c r="B307" s="235">
        <f t="shared" si="214"/>
        <v>2029</v>
      </c>
      <c r="C307" s="127">
        <f>ROUND(C297*(1+$I$6)^(MONTH(A307)/12),0)</f>
        <v>12398</v>
      </c>
      <c r="D307" s="236">
        <f>ROUND(D297*(1+$I$8)^(MONTH(A307)/12),0)</f>
        <v>1500</v>
      </c>
      <c r="E307" s="124">
        <f t="shared" si="200"/>
        <v>18597000</v>
      </c>
      <c r="F307" s="127">
        <f t="shared" si="223"/>
        <v>120</v>
      </c>
      <c r="G307" s="236">
        <f t="shared" si="215"/>
        <v>34150.55</v>
      </c>
      <c r="H307" s="124">
        <f t="shared" si="219"/>
        <v>4098066</v>
      </c>
      <c r="I307" s="124">
        <f t="shared" si="224"/>
        <v>205882</v>
      </c>
      <c r="J307" s="124">
        <f t="shared" si="203"/>
        <v>205882</v>
      </c>
      <c r="K307" s="124">
        <f t="shared" si="210"/>
        <v>33142948</v>
      </c>
      <c r="L307" s="125">
        <v>0.0</v>
      </c>
      <c r="M307" s="125">
        <v>0.0</v>
      </c>
      <c r="N307" s="124">
        <f t="shared" si="211"/>
        <v>0</v>
      </c>
      <c r="O307" s="234">
        <f t="shared" si="216"/>
        <v>0.9222274502</v>
      </c>
      <c r="P307" s="127">
        <f t="shared" si="217"/>
        <v>6828</v>
      </c>
      <c r="Q307" s="124">
        <f t="shared" si="213"/>
        <v>10242000</v>
      </c>
      <c r="R307" s="16">
        <v>0.0</v>
      </c>
      <c r="S307" s="16">
        <v>0.0</v>
      </c>
      <c r="T307" s="16">
        <v>0.0</v>
      </c>
    </row>
    <row r="308">
      <c r="A308" s="126">
        <f>'Monthly Data'!A144</f>
        <v>47423</v>
      </c>
      <c r="B308" s="235">
        <f t="shared" si="214"/>
        <v>2029</v>
      </c>
      <c r="C308" s="127">
        <f>ROUND(C297*(1+$I$6)^(MONTH(A308)/12),0)</f>
        <v>12543</v>
      </c>
      <c r="D308" s="236">
        <f>ROUND(D297*(1+$I$8)^(MONTH(A308)/12),0)</f>
        <v>1500</v>
      </c>
      <c r="E308" s="124">
        <f t="shared" si="200"/>
        <v>18814500</v>
      </c>
      <c r="F308" s="127">
        <f t="shared" si="223"/>
        <v>122</v>
      </c>
      <c r="G308" s="236">
        <f t="shared" si="215"/>
        <v>34676.9918</v>
      </c>
      <c r="H308" s="124">
        <f t="shared" si="219"/>
        <v>4230593</v>
      </c>
      <c r="I308" s="124">
        <f t="shared" si="224"/>
        <v>205882</v>
      </c>
      <c r="J308" s="124">
        <f t="shared" si="203"/>
        <v>205882</v>
      </c>
      <c r="K308" s="124">
        <f t="shared" si="210"/>
        <v>33696975</v>
      </c>
      <c r="L308" s="125">
        <v>0.0</v>
      </c>
      <c r="M308" s="125">
        <v>0.0</v>
      </c>
      <c r="N308" s="124">
        <f t="shared" si="211"/>
        <v>0</v>
      </c>
      <c r="O308" s="234">
        <f t="shared" si="216"/>
        <v>0.9520512835</v>
      </c>
      <c r="P308" s="127">
        <f t="shared" si="217"/>
        <v>6964</v>
      </c>
      <c r="Q308" s="124">
        <f t="shared" si="213"/>
        <v>10446000</v>
      </c>
      <c r="R308" s="16">
        <v>0.0</v>
      </c>
      <c r="S308" s="16">
        <v>0.0</v>
      </c>
      <c r="T308" s="16">
        <v>0.0</v>
      </c>
    </row>
    <row r="309">
      <c r="A309" s="126">
        <f>'Monthly Data'!A145</f>
        <v>47453</v>
      </c>
      <c r="B309" s="235">
        <f t="shared" si="214"/>
        <v>2029</v>
      </c>
      <c r="C309" s="127">
        <f>ROUND(C297*(1+$I$6)^(MONTH(A309)/12),0)</f>
        <v>12690</v>
      </c>
      <c r="D309" s="236">
        <f>ROUND(D297*(1+$I$8)^(MONTH(A309)/12),0)</f>
        <v>1500</v>
      </c>
      <c r="E309" s="124">
        <f t="shared" si="200"/>
        <v>19035000</v>
      </c>
      <c r="F309" s="127">
        <f t="shared" si="223"/>
        <v>124</v>
      </c>
      <c r="G309" s="236">
        <f t="shared" si="215"/>
        <v>35167.12903</v>
      </c>
      <c r="H309" s="124">
        <f t="shared" si="219"/>
        <v>4360724</v>
      </c>
      <c r="I309" s="124">
        <f t="shared" si="224"/>
        <v>1492649</v>
      </c>
      <c r="J309" s="124">
        <f t="shared" si="203"/>
        <v>1492649</v>
      </c>
      <c r="K309" s="124">
        <f t="shared" si="210"/>
        <v>35542873</v>
      </c>
      <c r="L309" s="125">
        <v>0.0</v>
      </c>
      <c r="M309" s="125">
        <v>0.0</v>
      </c>
      <c r="N309" s="124">
        <f t="shared" si="211"/>
        <v>0</v>
      </c>
      <c r="O309" s="234">
        <f t="shared" si="216"/>
        <v>0.9813359218</v>
      </c>
      <c r="P309" s="127">
        <f t="shared" si="217"/>
        <v>7103</v>
      </c>
      <c r="Q309" s="124">
        <f t="shared" si="213"/>
        <v>10654500</v>
      </c>
      <c r="R309" s="16">
        <v>0.0</v>
      </c>
      <c r="S309" s="16">
        <v>0.0</v>
      </c>
      <c r="T309" s="16">
        <v>0.0</v>
      </c>
    </row>
    <row r="310">
      <c r="A310" s="126">
        <f>'Monthly Data'!A146</f>
        <v>47484</v>
      </c>
      <c r="B310" s="235">
        <f t="shared" si="214"/>
        <v>2030</v>
      </c>
      <c r="C310" s="127">
        <f>ROUND(C309*(1+$J$6)^(MONTH(A310)/12),0)</f>
        <v>12810</v>
      </c>
      <c r="D310" s="236">
        <f>ROUND(D309*(1+$J$8)^(MONTH(A310)/12),0)</f>
        <v>1500</v>
      </c>
      <c r="E310" s="124">
        <f t="shared" si="200"/>
        <v>19215000</v>
      </c>
      <c r="F310" s="127">
        <f t="shared" ref="F310:F321" si="225">MAX(0,ROUND(F298+$J$7,0))</f>
        <v>113</v>
      </c>
      <c r="G310" s="236">
        <f t="shared" si="215"/>
        <v>47999.49558</v>
      </c>
      <c r="H310" s="124">
        <f t="shared" si="219"/>
        <v>5423943</v>
      </c>
      <c r="I310" s="124">
        <f t="shared" ref="I310:I321" si="226">ROUND(J298*(1+$J$9),0)</f>
        <v>205882</v>
      </c>
      <c r="J310" s="124">
        <f t="shared" si="203"/>
        <v>205882</v>
      </c>
      <c r="K310" s="124">
        <f t="shared" si="210"/>
        <v>35712325</v>
      </c>
      <c r="L310" s="125">
        <v>0.0</v>
      </c>
      <c r="M310" s="125">
        <v>0.0</v>
      </c>
      <c r="N310" s="124">
        <f t="shared" si="211"/>
        <v>0</v>
      </c>
      <c r="O310" s="234">
        <f t="shared" si="216"/>
        <v>1.121627637</v>
      </c>
      <c r="P310" s="127">
        <f t="shared" ref="P310:P321" si="227">IF(AND($B$5="Assumed approval + launch",A310&gt;=$B$6),IF(P309=0,$B$7,ROUND(P309*(1+$J$10),0)),0)</f>
        <v>7245</v>
      </c>
      <c r="Q310" s="124">
        <f t="shared" si="213"/>
        <v>10867500</v>
      </c>
      <c r="R310" s="16">
        <v>0.0</v>
      </c>
      <c r="S310" s="16">
        <v>0.0</v>
      </c>
      <c r="T310" s="16">
        <v>0.0</v>
      </c>
    </row>
    <row r="311">
      <c r="A311" s="126">
        <f>'Monthly Data'!A147</f>
        <v>47515</v>
      </c>
      <c r="B311" s="235">
        <f t="shared" si="214"/>
        <v>2030</v>
      </c>
      <c r="C311" s="127">
        <f>ROUND(C309*(1+$J$6)^(MONTH(A311)/12),0)</f>
        <v>12932</v>
      </c>
      <c r="D311" s="236">
        <f>ROUND(D309*(1+$J$8)^(MONTH(A311)/12),0)</f>
        <v>1500</v>
      </c>
      <c r="E311" s="124">
        <f t="shared" si="200"/>
        <v>19398000</v>
      </c>
      <c r="F311" s="127">
        <f t="shared" si="225"/>
        <v>115</v>
      </c>
      <c r="G311" s="236">
        <f t="shared" si="215"/>
        <v>47648.13043</v>
      </c>
      <c r="H311" s="124">
        <f t="shared" si="219"/>
        <v>5479535</v>
      </c>
      <c r="I311" s="124">
        <f t="shared" si="226"/>
        <v>205882</v>
      </c>
      <c r="J311" s="124">
        <f t="shared" si="203"/>
        <v>205882</v>
      </c>
      <c r="K311" s="124">
        <f t="shared" si="210"/>
        <v>36168417</v>
      </c>
      <c r="L311" s="125">
        <v>0.0</v>
      </c>
      <c r="M311" s="125">
        <v>0.0</v>
      </c>
      <c r="N311" s="124">
        <f t="shared" si="211"/>
        <v>0</v>
      </c>
      <c r="O311" s="234">
        <f t="shared" si="216"/>
        <v>1.133123614</v>
      </c>
      <c r="P311" s="127">
        <f t="shared" si="227"/>
        <v>7390</v>
      </c>
      <c r="Q311" s="124">
        <f t="shared" si="213"/>
        <v>11085000</v>
      </c>
      <c r="R311" s="16">
        <v>0.0</v>
      </c>
      <c r="S311" s="16">
        <v>0.0</v>
      </c>
      <c r="T311" s="16">
        <v>0.0</v>
      </c>
    </row>
    <row r="312">
      <c r="A312" s="126">
        <f>'Monthly Data'!A148</f>
        <v>47543</v>
      </c>
      <c r="B312" s="235">
        <f t="shared" si="214"/>
        <v>2030</v>
      </c>
      <c r="C312" s="127">
        <f>ROUND(C309*(1+$J$6)^(MONTH(A312)/12),0)</f>
        <v>13055</v>
      </c>
      <c r="D312" s="236">
        <f>ROUND(D309*(1+$J$8)^(MONTH(A312)/12),0)</f>
        <v>1500</v>
      </c>
      <c r="E312" s="124">
        <f t="shared" si="200"/>
        <v>19582500</v>
      </c>
      <c r="F312" s="127">
        <f t="shared" si="225"/>
        <v>118</v>
      </c>
      <c r="G312" s="236">
        <f t="shared" si="215"/>
        <v>44609.92373</v>
      </c>
      <c r="H312" s="124">
        <f t="shared" si="219"/>
        <v>5263971</v>
      </c>
      <c r="I312" s="124">
        <f t="shared" si="226"/>
        <v>1286765</v>
      </c>
      <c r="J312" s="124">
        <f t="shared" si="203"/>
        <v>1286765</v>
      </c>
      <c r="K312" s="124">
        <f t="shared" si="210"/>
        <v>37440236</v>
      </c>
      <c r="L312" s="125">
        <v>0.0</v>
      </c>
      <c r="M312" s="125">
        <v>0.0</v>
      </c>
      <c r="N312" s="124">
        <f t="shared" si="211"/>
        <v>0</v>
      </c>
      <c r="O312" s="234">
        <f t="shared" si="216"/>
        <v>1.088546719</v>
      </c>
      <c r="P312" s="127">
        <f t="shared" si="227"/>
        <v>7538</v>
      </c>
      <c r="Q312" s="124">
        <f t="shared" si="213"/>
        <v>11307000</v>
      </c>
      <c r="R312" s="16">
        <v>0.0</v>
      </c>
      <c r="S312" s="16">
        <v>0.0</v>
      </c>
      <c r="T312" s="16">
        <v>0.0</v>
      </c>
    </row>
    <row r="313">
      <c r="A313" s="126">
        <f>'Monthly Data'!A149</f>
        <v>47574</v>
      </c>
      <c r="B313" s="235">
        <f t="shared" si="214"/>
        <v>2030</v>
      </c>
      <c r="C313" s="127">
        <f>ROUND(C309*(1+$J$6)^(MONTH(A313)/12),0)</f>
        <v>13179</v>
      </c>
      <c r="D313" s="236">
        <f>ROUND(D309*(1+$J$8)^(MONTH(A313)/12),0)</f>
        <v>1500</v>
      </c>
      <c r="E313" s="124">
        <f t="shared" si="200"/>
        <v>19768500</v>
      </c>
      <c r="F313" s="127">
        <f t="shared" si="225"/>
        <v>119</v>
      </c>
      <c r="G313" s="236">
        <f t="shared" si="215"/>
        <v>44136.72269</v>
      </c>
      <c r="H313" s="124">
        <f t="shared" si="219"/>
        <v>5252270</v>
      </c>
      <c r="I313" s="124">
        <f t="shared" si="226"/>
        <v>205882</v>
      </c>
      <c r="J313" s="124">
        <f t="shared" si="203"/>
        <v>205882</v>
      </c>
      <c r="K313" s="124">
        <f t="shared" si="210"/>
        <v>36760152</v>
      </c>
      <c r="L313" s="125">
        <v>0.0</v>
      </c>
      <c r="M313" s="125">
        <v>0.0</v>
      </c>
      <c r="N313" s="124">
        <f t="shared" si="211"/>
        <v>0</v>
      </c>
      <c r="O313" s="234">
        <f t="shared" si="216"/>
        <v>1.086127046</v>
      </c>
      <c r="P313" s="127">
        <f t="shared" si="227"/>
        <v>7689</v>
      </c>
      <c r="Q313" s="124">
        <f t="shared" si="213"/>
        <v>11533500</v>
      </c>
      <c r="R313" s="16">
        <v>0.0</v>
      </c>
      <c r="S313" s="16">
        <v>0.0</v>
      </c>
      <c r="T313" s="16">
        <v>0.0</v>
      </c>
    </row>
    <row r="314">
      <c r="A314" s="126">
        <f>'Monthly Data'!A150</f>
        <v>47604</v>
      </c>
      <c r="B314" s="235">
        <f t="shared" si="214"/>
        <v>2030</v>
      </c>
      <c r="C314" s="127">
        <f>ROUND(C309*(1+$J$6)^(MONTH(A314)/12),0)</f>
        <v>13304</v>
      </c>
      <c r="D314" s="236">
        <f>ROUND(D309*(1+$J$8)^(MONTH(A314)/12),0)</f>
        <v>1500</v>
      </c>
      <c r="E314" s="124">
        <f t="shared" si="200"/>
        <v>19956000</v>
      </c>
      <c r="F314" s="127">
        <f t="shared" si="225"/>
        <v>122</v>
      </c>
      <c r="G314" s="236">
        <f t="shared" si="215"/>
        <v>41142.09016</v>
      </c>
      <c r="H314" s="124">
        <f t="shared" si="219"/>
        <v>5019335</v>
      </c>
      <c r="I314" s="124">
        <f t="shared" si="226"/>
        <v>205882</v>
      </c>
      <c r="J314" s="124">
        <f t="shared" si="203"/>
        <v>205882</v>
      </c>
      <c r="K314" s="124">
        <f t="shared" si="210"/>
        <v>36945717</v>
      </c>
      <c r="L314" s="125">
        <v>0.0</v>
      </c>
      <c r="M314" s="125">
        <v>0.0</v>
      </c>
      <c r="N314" s="124">
        <f t="shared" si="211"/>
        <v>0</v>
      </c>
      <c r="O314" s="234">
        <f t="shared" si="216"/>
        <v>1.037957968</v>
      </c>
      <c r="P314" s="127">
        <f t="shared" si="227"/>
        <v>7843</v>
      </c>
      <c r="Q314" s="124">
        <f t="shared" si="213"/>
        <v>11764500</v>
      </c>
      <c r="R314" s="16">
        <v>0.0</v>
      </c>
      <c r="S314" s="16">
        <v>0.0</v>
      </c>
      <c r="T314" s="16">
        <v>0.0</v>
      </c>
    </row>
    <row r="315">
      <c r="A315" s="126">
        <f>'Monthly Data'!A151</f>
        <v>47635</v>
      </c>
      <c r="B315" s="235">
        <f t="shared" si="214"/>
        <v>2030</v>
      </c>
      <c r="C315" s="127">
        <f>ROUND(C309*(1+$J$6)^(MONTH(A315)/12),0)</f>
        <v>13430</v>
      </c>
      <c r="D315" s="236">
        <f>ROUND(D309*(1+$J$8)^(MONTH(A315)/12),0)</f>
        <v>1500</v>
      </c>
      <c r="E315" s="124">
        <f t="shared" si="200"/>
        <v>20145000</v>
      </c>
      <c r="F315" s="127">
        <f t="shared" si="225"/>
        <v>124</v>
      </c>
      <c r="G315" s="236">
        <f t="shared" si="215"/>
        <v>37013.02419</v>
      </c>
      <c r="H315" s="124">
        <f t="shared" si="219"/>
        <v>4589615</v>
      </c>
      <c r="I315" s="124">
        <f t="shared" si="226"/>
        <v>1286765</v>
      </c>
      <c r="J315" s="124">
        <f t="shared" si="203"/>
        <v>1286765</v>
      </c>
      <c r="K315" s="124">
        <f t="shared" si="210"/>
        <v>38021380</v>
      </c>
      <c r="L315" s="125">
        <v>0.0</v>
      </c>
      <c r="M315" s="125">
        <v>0.0</v>
      </c>
      <c r="N315" s="124">
        <f t="shared" si="211"/>
        <v>0</v>
      </c>
      <c r="O315" s="234">
        <f t="shared" si="216"/>
        <v>0.9490953405</v>
      </c>
      <c r="P315" s="127">
        <f t="shared" si="227"/>
        <v>8000</v>
      </c>
      <c r="Q315" s="124">
        <f t="shared" si="213"/>
        <v>12000000</v>
      </c>
      <c r="R315" s="16">
        <v>0.0</v>
      </c>
      <c r="S315" s="16">
        <v>0.0</v>
      </c>
      <c r="T315" s="16">
        <v>0.0</v>
      </c>
    </row>
    <row r="316">
      <c r="A316" s="126">
        <f>'Monthly Data'!A152</f>
        <v>47665</v>
      </c>
      <c r="B316" s="235">
        <f t="shared" si="214"/>
        <v>2030</v>
      </c>
      <c r="C316" s="127">
        <f>ROUND(C309*(1+$J$6)^(MONTH(A316)/12),0)</f>
        <v>13557</v>
      </c>
      <c r="D316" s="236">
        <f>ROUND(D309*(1+$J$8)^(MONTH(A316)/12),0)</f>
        <v>1500</v>
      </c>
      <c r="E316" s="124">
        <f t="shared" si="200"/>
        <v>20335500</v>
      </c>
      <c r="F316" s="127">
        <f t="shared" si="225"/>
        <v>125</v>
      </c>
      <c r="G316" s="236">
        <f t="shared" si="215"/>
        <v>36000.56</v>
      </c>
      <c r="H316" s="124">
        <f t="shared" si="219"/>
        <v>4500070</v>
      </c>
      <c r="I316" s="124">
        <f t="shared" si="226"/>
        <v>205882</v>
      </c>
      <c r="J316" s="124">
        <f t="shared" si="203"/>
        <v>205882</v>
      </c>
      <c r="K316" s="124">
        <f t="shared" si="210"/>
        <v>37281452</v>
      </c>
      <c r="L316" s="125">
        <v>0.0</v>
      </c>
      <c r="M316" s="125">
        <v>0.0</v>
      </c>
      <c r="N316" s="124">
        <f t="shared" si="211"/>
        <v>0</v>
      </c>
      <c r="O316" s="234">
        <f t="shared" si="216"/>
        <v>0.9305781571</v>
      </c>
      <c r="P316" s="127">
        <f t="shared" si="227"/>
        <v>8160</v>
      </c>
      <c r="Q316" s="124">
        <f t="shared" si="213"/>
        <v>12240000</v>
      </c>
      <c r="R316" s="16">
        <v>0.0</v>
      </c>
      <c r="S316" s="16">
        <v>0.0</v>
      </c>
      <c r="T316" s="16">
        <v>0.0</v>
      </c>
    </row>
    <row r="317">
      <c r="A317" s="126">
        <f>'Monthly Data'!A153</f>
        <v>47696</v>
      </c>
      <c r="B317" s="235">
        <f t="shared" si="214"/>
        <v>2030</v>
      </c>
      <c r="C317" s="127">
        <f>ROUND(C309*(1+$J$6)^(MONTH(A317)/12),0)</f>
        <v>13686</v>
      </c>
      <c r="D317" s="236">
        <f>ROUND(D309*(1+$J$8)^(MONTH(A317)/12),0)</f>
        <v>1500</v>
      </c>
      <c r="E317" s="124">
        <f t="shared" si="200"/>
        <v>20529000</v>
      </c>
      <c r="F317" s="127">
        <f t="shared" si="225"/>
        <v>128</v>
      </c>
      <c r="G317" s="236">
        <f t="shared" si="215"/>
        <v>34150.57813</v>
      </c>
      <c r="H317" s="124">
        <f t="shared" si="219"/>
        <v>4371274</v>
      </c>
      <c r="I317" s="124">
        <f t="shared" si="226"/>
        <v>205882</v>
      </c>
      <c r="J317" s="124">
        <f t="shared" si="203"/>
        <v>205882</v>
      </c>
      <c r="K317" s="124">
        <f t="shared" si="210"/>
        <v>37590656</v>
      </c>
      <c r="L317" s="125">
        <v>0.0</v>
      </c>
      <c r="M317" s="125">
        <v>0.0</v>
      </c>
      <c r="N317" s="124">
        <f t="shared" si="211"/>
        <v>0</v>
      </c>
      <c r="O317" s="234">
        <f t="shared" si="216"/>
        <v>0.9039441838</v>
      </c>
      <c r="P317" s="127">
        <f t="shared" si="227"/>
        <v>8323</v>
      </c>
      <c r="Q317" s="124">
        <f t="shared" si="213"/>
        <v>12484500</v>
      </c>
      <c r="R317" s="16">
        <v>0.0</v>
      </c>
      <c r="S317" s="16">
        <v>0.0</v>
      </c>
      <c r="T317" s="16">
        <v>0.0</v>
      </c>
    </row>
    <row r="318">
      <c r="A318" s="126">
        <f>'Monthly Data'!A154</f>
        <v>47727</v>
      </c>
      <c r="B318" s="235">
        <f t="shared" si="214"/>
        <v>2030</v>
      </c>
      <c r="C318" s="127">
        <f>ROUND(C309*(1+$J$6)^(MONTH(A318)/12),0)</f>
        <v>13816</v>
      </c>
      <c r="D318" s="236">
        <f>ROUND(D309*(1+$J$8)^(MONTH(A318)/12),0)</f>
        <v>1500</v>
      </c>
      <c r="E318" s="124">
        <f t="shared" si="200"/>
        <v>20724000</v>
      </c>
      <c r="F318" s="127">
        <f t="shared" si="225"/>
        <v>130</v>
      </c>
      <c r="G318" s="236">
        <f t="shared" si="215"/>
        <v>33846.16154</v>
      </c>
      <c r="H318" s="124">
        <f t="shared" si="219"/>
        <v>4400001</v>
      </c>
      <c r="I318" s="124">
        <f t="shared" si="226"/>
        <v>1286765</v>
      </c>
      <c r="J318" s="124">
        <f t="shared" si="203"/>
        <v>1286765</v>
      </c>
      <c r="K318" s="124">
        <f t="shared" si="210"/>
        <v>39144266</v>
      </c>
      <c r="L318" s="125">
        <v>0.0</v>
      </c>
      <c r="M318" s="125">
        <v>0.0</v>
      </c>
      <c r="N318" s="124">
        <f t="shared" si="211"/>
        <v>0</v>
      </c>
      <c r="O318" s="234">
        <f t="shared" si="216"/>
        <v>0.9098846956</v>
      </c>
      <c r="P318" s="127">
        <f t="shared" si="227"/>
        <v>8489</v>
      </c>
      <c r="Q318" s="124">
        <f t="shared" si="213"/>
        <v>12733500</v>
      </c>
      <c r="R318" s="16">
        <v>0.0</v>
      </c>
      <c r="S318" s="16">
        <v>0.0</v>
      </c>
      <c r="T318" s="16">
        <v>0.0</v>
      </c>
    </row>
    <row r="319">
      <c r="A319" s="126">
        <f>'Monthly Data'!A155</f>
        <v>47757</v>
      </c>
      <c r="B319" s="235">
        <f t="shared" si="214"/>
        <v>2030</v>
      </c>
      <c r="C319" s="127">
        <f>ROUND(C309*(1+$J$6)^(MONTH(A319)/12),0)</f>
        <v>13947</v>
      </c>
      <c r="D319" s="236">
        <f>ROUND(D309*(1+$J$8)^(MONTH(A319)/12),0)</f>
        <v>1500</v>
      </c>
      <c r="E319" s="124">
        <f t="shared" si="200"/>
        <v>20920500</v>
      </c>
      <c r="F319" s="127">
        <f t="shared" si="225"/>
        <v>130</v>
      </c>
      <c r="G319" s="236">
        <f t="shared" si="215"/>
        <v>34150.55385</v>
      </c>
      <c r="H319" s="124">
        <f t="shared" si="219"/>
        <v>4439572</v>
      </c>
      <c r="I319" s="124">
        <f t="shared" si="226"/>
        <v>205882</v>
      </c>
      <c r="J319" s="124">
        <f t="shared" si="203"/>
        <v>205882</v>
      </c>
      <c r="K319" s="124">
        <f t="shared" si="210"/>
        <v>38554454</v>
      </c>
      <c r="L319" s="125">
        <v>0.0</v>
      </c>
      <c r="M319" s="125">
        <v>0.0</v>
      </c>
      <c r="N319" s="124">
        <f t="shared" si="211"/>
        <v>0</v>
      </c>
      <c r="O319" s="234">
        <f t="shared" si="216"/>
        <v>0.918067659</v>
      </c>
      <c r="P319" s="127">
        <f t="shared" si="227"/>
        <v>8659</v>
      </c>
      <c r="Q319" s="124">
        <f t="shared" si="213"/>
        <v>12988500</v>
      </c>
      <c r="R319" s="16">
        <v>0.0</v>
      </c>
      <c r="S319" s="16">
        <v>0.0</v>
      </c>
      <c r="T319" s="16">
        <v>0.0</v>
      </c>
    </row>
    <row r="320">
      <c r="A320" s="126">
        <f>'Monthly Data'!A156</f>
        <v>47788</v>
      </c>
      <c r="B320" s="235">
        <f t="shared" si="214"/>
        <v>2030</v>
      </c>
      <c r="C320" s="127">
        <f>ROUND(C309*(1+$J$6)^(MONTH(A320)/12),0)</f>
        <v>14079</v>
      </c>
      <c r="D320" s="236">
        <f>ROUND(D309*(1+$J$8)^(MONTH(A320)/12),0)</f>
        <v>1500</v>
      </c>
      <c r="E320" s="124">
        <f t="shared" si="200"/>
        <v>21118500</v>
      </c>
      <c r="F320" s="127">
        <f t="shared" si="225"/>
        <v>132</v>
      </c>
      <c r="G320" s="236">
        <f t="shared" si="215"/>
        <v>34676.99242</v>
      </c>
      <c r="H320" s="124">
        <f t="shared" si="219"/>
        <v>4577363</v>
      </c>
      <c r="I320" s="124">
        <f t="shared" si="226"/>
        <v>205882</v>
      </c>
      <c r="J320" s="124">
        <f t="shared" si="203"/>
        <v>205882</v>
      </c>
      <c r="K320" s="124">
        <f t="shared" si="210"/>
        <v>39149745</v>
      </c>
      <c r="L320" s="125">
        <v>0.0</v>
      </c>
      <c r="M320" s="125">
        <v>0.0</v>
      </c>
      <c r="N320" s="124">
        <f t="shared" si="211"/>
        <v>0</v>
      </c>
      <c r="O320" s="234">
        <f t="shared" si="216"/>
        <v>0.9465617257</v>
      </c>
      <c r="P320" s="127">
        <f t="shared" si="227"/>
        <v>8832</v>
      </c>
      <c r="Q320" s="124">
        <f t="shared" si="213"/>
        <v>13248000</v>
      </c>
      <c r="R320" s="16">
        <v>0.0</v>
      </c>
      <c r="S320" s="16">
        <v>0.0</v>
      </c>
      <c r="T320" s="16">
        <v>0.0</v>
      </c>
    </row>
    <row r="321">
      <c r="A321" s="126">
        <f>'Monthly Data'!A157</f>
        <v>47818</v>
      </c>
      <c r="B321" s="235">
        <f t="shared" si="214"/>
        <v>2030</v>
      </c>
      <c r="C321" s="127">
        <f>ROUND(C309*(1+$J$6)^(MONTH(A321)/12),0)</f>
        <v>14213</v>
      </c>
      <c r="D321" s="236">
        <f>ROUND(D309*(1+$J$8)^(MONTH(A321)/12),0)</f>
        <v>1500</v>
      </c>
      <c r="E321" s="124">
        <f t="shared" si="200"/>
        <v>21319500</v>
      </c>
      <c r="F321" s="127">
        <f t="shared" si="225"/>
        <v>134</v>
      </c>
      <c r="G321" s="236">
        <f t="shared" si="215"/>
        <v>35167.12687</v>
      </c>
      <c r="H321" s="124">
        <f t="shared" si="219"/>
        <v>4712395</v>
      </c>
      <c r="I321" s="124">
        <f t="shared" si="226"/>
        <v>1492649</v>
      </c>
      <c r="J321" s="124">
        <f t="shared" si="203"/>
        <v>1492649</v>
      </c>
      <c r="K321" s="124">
        <f t="shared" si="210"/>
        <v>41038044</v>
      </c>
      <c r="L321" s="125">
        <v>0.0</v>
      </c>
      <c r="M321" s="125">
        <v>0.0</v>
      </c>
      <c r="N321" s="124">
        <f t="shared" si="211"/>
        <v>0</v>
      </c>
      <c r="O321" s="234">
        <f t="shared" si="216"/>
        <v>0.9744852535</v>
      </c>
      <c r="P321" s="127">
        <f t="shared" si="227"/>
        <v>9009</v>
      </c>
      <c r="Q321" s="124">
        <f t="shared" si="213"/>
        <v>13513500</v>
      </c>
      <c r="R321" s="16">
        <v>0.0</v>
      </c>
      <c r="S321" s="16">
        <v>0.0</v>
      </c>
      <c r="T321" s="16">
        <v>0.0</v>
      </c>
    </row>
    <row r="322">
      <c r="A322" s="126">
        <f>'Monthly Data'!A158</f>
        <v>47849</v>
      </c>
      <c r="B322" s="235">
        <f t="shared" si="214"/>
        <v>2031</v>
      </c>
      <c r="C322" s="127">
        <f>ROUND(C321*(1+$K$6)^(MONTH(A322)/12),0)</f>
        <v>14326</v>
      </c>
      <c r="D322" s="236">
        <f>ROUND(D321*(1+$K$8)^(MONTH(A322)/12),0)</f>
        <v>1500</v>
      </c>
      <c r="E322" s="124">
        <f t="shared" si="200"/>
        <v>21489000</v>
      </c>
      <c r="F322" s="127">
        <f t="shared" ref="F322:F333" si="228">MAX(0,ROUND(F310+$K$7,0))</f>
        <v>121</v>
      </c>
      <c r="G322" s="236">
        <f t="shared" si="215"/>
        <v>47999.49587</v>
      </c>
      <c r="H322" s="124">
        <f t="shared" si="219"/>
        <v>5807939</v>
      </c>
      <c r="I322" s="124">
        <f t="shared" ref="I322:I333" si="229">ROUND(J310*(1+$K$9),0)</f>
        <v>205882</v>
      </c>
      <c r="J322" s="124">
        <f t="shared" si="203"/>
        <v>205882</v>
      </c>
      <c r="K322" s="124">
        <f t="shared" si="210"/>
        <v>41286321</v>
      </c>
      <c r="L322" s="125">
        <v>0.0</v>
      </c>
      <c r="M322" s="125">
        <v>0.0</v>
      </c>
      <c r="N322" s="124">
        <f t="shared" si="211"/>
        <v>0</v>
      </c>
      <c r="O322" s="234">
        <f t="shared" si="216"/>
        <v>1.127870597</v>
      </c>
      <c r="P322" s="127">
        <f t="shared" ref="P322:P333" si="230">IF(AND($B$5="Assumed approval + launch",A322&gt;=$B$6),IF(P321=0,$B$7,ROUND(P321*(1+$K$10),0)),0)</f>
        <v>9189</v>
      </c>
      <c r="Q322" s="124">
        <f t="shared" si="213"/>
        <v>13783500</v>
      </c>
      <c r="R322" s="16">
        <v>0.0</v>
      </c>
      <c r="S322" s="16">
        <v>0.0</v>
      </c>
      <c r="T322" s="16">
        <v>0.0</v>
      </c>
    </row>
    <row r="323">
      <c r="A323" s="126">
        <f>'Monthly Data'!A159</f>
        <v>47880</v>
      </c>
      <c r="B323" s="235">
        <f t="shared" si="214"/>
        <v>2031</v>
      </c>
      <c r="C323" s="127">
        <f>ROUND(C321*(1+$K$6)^(MONTH(A323)/12),0)</f>
        <v>14441</v>
      </c>
      <c r="D323" s="236">
        <f>ROUND(D321*(1+$K$8)^(MONTH(A323)/12),0)</f>
        <v>1500</v>
      </c>
      <c r="E323" s="124">
        <f t="shared" si="200"/>
        <v>21661500</v>
      </c>
      <c r="F323" s="127">
        <f t="shared" si="228"/>
        <v>123</v>
      </c>
      <c r="G323" s="236">
        <f t="shared" si="215"/>
        <v>47648.13008</v>
      </c>
      <c r="H323" s="124">
        <f t="shared" si="219"/>
        <v>5860720</v>
      </c>
      <c r="I323" s="124">
        <f t="shared" si="229"/>
        <v>205882</v>
      </c>
      <c r="J323" s="124">
        <f t="shared" si="203"/>
        <v>205882</v>
      </c>
      <c r="K323" s="124">
        <f t="shared" si="210"/>
        <v>41787602</v>
      </c>
      <c r="L323" s="125">
        <v>0.0</v>
      </c>
      <c r="M323" s="125">
        <v>0.0</v>
      </c>
      <c r="N323" s="124">
        <f t="shared" si="211"/>
        <v>0</v>
      </c>
      <c r="O323" s="234">
        <f t="shared" si="216"/>
        <v>1.138120384</v>
      </c>
      <c r="P323" s="127">
        <f t="shared" si="230"/>
        <v>9373</v>
      </c>
      <c r="Q323" s="124">
        <f t="shared" si="213"/>
        <v>14059500</v>
      </c>
      <c r="R323" s="16">
        <v>0.0</v>
      </c>
      <c r="S323" s="16">
        <v>0.0</v>
      </c>
      <c r="T323" s="16">
        <v>0.0</v>
      </c>
    </row>
    <row r="324">
      <c r="A324" s="126">
        <f>'Monthly Data'!A160</f>
        <v>47908</v>
      </c>
      <c r="B324" s="235">
        <f t="shared" si="214"/>
        <v>2031</v>
      </c>
      <c r="C324" s="127">
        <f>ROUND(C321*(1+$K$6)^(MONTH(A324)/12),0)</f>
        <v>14556</v>
      </c>
      <c r="D324" s="236">
        <f>ROUND(D321*(1+$K$8)^(MONTH(A324)/12),0)</f>
        <v>1500</v>
      </c>
      <c r="E324" s="124">
        <f t="shared" si="200"/>
        <v>21834000</v>
      </c>
      <c r="F324" s="127">
        <f t="shared" si="228"/>
        <v>126</v>
      </c>
      <c r="G324" s="236">
        <f t="shared" si="215"/>
        <v>44609.92063</v>
      </c>
      <c r="H324" s="124">
        <f t="shared" si="219"/>
        <v>5620850</v>
      </c>
      <c r="I324" s="124">
        <f t="shared" si="229"/>
        <v>1286765</v>
      </c>
      <c r="J324" s="124">
        <f t="shared" si="203"/>
        <v>1286765</v>
      </c>
      <c r="K324" s="124">
        <f t="shared" si="210"/>
        <v>43081615</v>
      </c>
      <c r="L324" s="125">
        <v>0.0</v>
      </c>
      <c r="M324" s="125">
        <v>0.0</v>
      </c>
      <c r="N324" s="124">
        <f t="shared" si="211"/>
        <v>0</v>
      </c>
      <c r="O324" s="234">
        <f t="shared" si="216"/>
        <v>1.091538917</v>
      </c>
      <c r="P324" s="127">
        <f t="shared" si="230"/>
        <v>9560</v>
      </c>
      <c r="Q324" s="124">
        <f t="shared" si="213"/>
        <v>14340000</v>
      </c>
      <c r="R324" s="16">
        <v>0.0</v>
      </c>
      <c r="S324" s="16">
        <v>0.0</v>
      </c>
      <c r="T324" s="16">
        <v>0.0</v>
      </c>
    </row>
    <row r="325">
      <c r="A325" s="126">
        <f>'Monthly Data'!A161</f>
        <v>47939</v>
      </c>
      <c r="B325" s="235">
        <f t="shared" si="214"/>
        <v>2031</v>
      </c>
      <c r="C325" s="127">
        <f>ROUND(C321*(1+$K$6)^(MONTH(A325)/12),0)</f>
        <v>14672</v>
      </c>
      <c r="D325" s="236">
        <f>ROUND(D321*(1+$K$8)^(MONTH(A325)/12),0)</f>
        <v>1500</v>
      </c>
      <c r="E325" s="124">
        <f t="shared" si="200"/>
        <v>22008000</v>
      </c>
      <c r="F325" s="127">
        <f t="shared" si="228"/>
        <v>127</v>
      </c>
      <c r="G325" s="236">
        <f t="shared" si="215"/>
        <v>44136.72441</v>
      </c>
      <c r="H325" s="124">
        <f t="shared" si="219"/>
        <v>5605364</v>
      </c>
      <c r="I325" s="124">
        <f t="shared" si="229"/>
        <v>205882</v>
      </c>
      <c r="J325" s="124">
        <f t="shared" si="203"/>
        <v>205882</v>
      </c>
      <c r="K325" s="124">
        <f t="shared" si="210"/>
        <v>42445746</v>
      </c>
      <c r="L325" s="125">
        <v>0.0</v>
      </c>
      <c r="M325" s="125">
        <v>0.0</v>
      </c>
      <c r="N325" s="124">
        <f t="shared" si="211"/>
        <v>0</v>
      </c>
      <c r="O325" s="234">
        <f t="shared" si="216"/>
        <v>1.088531619</v>
      </c>
      <c r="P325" s="127">
        <f t="shared" si="230"/>
        <v>9751</v>
      </c>
      <c r="Q325" s="124">
        <f t="shared" si="213"/>
        <v>14626500</v>
      </c>
      <c r="R325" s="16">
        <v>0.0</v>
      </c>
      <c r="S325" s="16">
        <v>0.0</v>
      </c>
      <c r="T325" s="16">
        <v>0.0</v>
      </c>
    </row>
    <row r="326">
      <c r="A326" s="126">
        <f>'Monthly Data'!A162</f>
        <v>47969</v>
      </c>
      <c r="B326" s="235">
        <f t="shared" si="214"/>
        <v>2031</v>
      </c>
      <c r="C326" s="127">
        <f>ROUND(C321*(1+$K$6)^(MONTH(A326)/12),0)</f>
        <v>14789</v>
      </c>
      <c r="D326" s="236">
        <f>ROUND(D321*(1+$K$8)^(MONTH(A326)/12),0)</f>
        <v>1500</v>
      </c>
      <c r="E326" s="124">
        <f t="shared" si="200"/>
        <v>22183500</v>
      </c>
      <c r="F326" s="127">
        <f t="shared" si="228"/>
        <v>130</v>
      </c>
      <c r="G326" s="236">
        <f t="shared" si="215"/>
        <v>41142.09231</v>
      </c>
      <c r="H326" s="124">
        <f t="shared" si="219"/>
        <v>5348472</v>
      </c>
      <c r="I326" s="124">
        <f t="shared" si="229"/>
        <v>205882</v>
      </c>
      <c r="J326" s="124">
        <f t="shared" si="203"/>
        <v>205882</v>
      </c>
      <c r="K326" s="124">
        <f t="shared" si="210"/>
        <v>42656854</v>
      </c>
      <c r="L326" s="125">
        <v>0.0</v>
      </c>
      <c r="M326" s="125">
        <v>0.0</v>
      </c>
      <c r="N326" s="124">
        <f t="shared" si="211"/>
        <v>0</v>
      </c>
      <c r="O326" s="234">
        <f t="shared" si="216"/>
        <v>1.038644571</v>
      </c>
      <c r="P326" s="127">
        <f t="shared" si="230"/>
        <v>9946</v>
      </c>
      <c r="Q326" s="124">
        <f t="shared" si="213"/>
        <v>14919000</v>
      </c>
      <c r="R326" s="16">
        <v>0.0</v>
      </c>
      <c r="S326" s="16">
        <v>0.0</v>
      </c>
      <c r="T326" s="16">
        <v>0.0</v>
      </c>
    </row>
    <row r="327">
      <c r="A327" s="126">
        <f>'Monthly Data'!A163</f>
        <v>48000</v>
      </c>
      <c r="B327" s="235">
        <f t="shared" si="214"/>
        <v>2031</v>
      </c>
      <c r="C327" s="127">
        <f>ROUND(C321*(1+$K$6)^(MONTH(A327)/12),0)</f>
        <v>14907</v>
      </c>
      <c r="D327" s="236">
        <f>ROUND(D321*(1+$K$8)^(MONTH(A327)/12),0)</f>
        <v>1500</v>
      </c>
      <c r="E327" s="124">
        <f t="shared" si="200"/>
        <v>22360500</v>
      </c>
      <c r="F327" s="127">
        <f t="shared" si="228"/>
        <v>132</v>
      </c>
      <c r="G327" s="236">
        <f t="shared" si="215"/>
        <v>37013.02273</v>
      </c>
      <c r="H327" s="124">
        <f t="shared" si="219"/>
        <v>4885719</v>
      </c>
      <c r="I327" s="124">
        <f t="shared" si="229"/>
        <v>1286765</v>
      </c>
      <c r="J327" s="124">
        <f t="shared" si="203"/>
        <v>1286765</v>
      </c>
      <c r="K327" s="124">
        <f t="shared" si="210"/>
        <v>43750484</v>
      </c>
      <c r="L327" s="125">
        <v>0.0</v>
      </c>
      <c r="M327" s="125">
        <v>0.0</v>
      </c>
      <c r="N327" s="124">
        <f t="shared" si="211"/>
        <v>0</v>
      </c>
      <c r="O327" s="234">
        <f t="shared" si="216"/>
        <v>0.9487804205</v>
      </c>
      <c r="P327" s="127">
        <f t="shared" si="230"/>
        <v>10145</v>
      </c>
      <c r="Q327" s="124">
        <f t="shared" si="213"/>
        <v>15217500</v>
      </c>
      <c r="R327" s="16">
        <v>0.0</v>
      </c>
      <c r="S327" s="16">
        <v>0.0</v>
      </c>
      <c r="T327" s="16">
        <v>0.0</v>
      </c>
    </row>
    <row r="328">
      <c r="A328" s="126">
        <f>'Monthly Data'!A164</f>
        <v>48030</v>
      </c>
      <c r="B328" s="235">
        <f t="shared" si="214"/>
        <v>2031</v>
      </c>
      <c r="C328" s="127">
        <f>ROUND(C321*(1+$K$6)^(MONTH(A328)/12),0)</f>
        <v>15026</v>
      </c>
      <c r="D328" s="236">
        <f>ROUND(D321*(1+$K$8)^(MONTH(A328)/12),0)</f>
        <v>1500</v>
      </c>
      <c r="E328" s="124">
        <f t="shared" si="200"/>
        <v>22539000</v>
      </c>
      <c r="F328" s="127">
        <f t="shared" si="228"/>
        <v>133</v>
      </c>
      <c r="G328" s="236">
        <f t="shared" si="215"/>
        <v>36000.55639</v>
      </c>
      <c r="H328" s="124">
        <f t="shared" si="219"/>
        <v>4788074</v>
      </c>
      <c r="I328" s="124">
        <f t="shared" si="229"/>
        <v>205882</v>
      </c>
      <c r="J328" s="124">
        <f t="shared" si="203"/>
        <v>205882</v>
      </c>
      <c r="K328" s="124">
        <f t="shared" si="210"/>
        <v>43054956</v>
      </c>
      <c r="L328" s="125">
        <v>0.0</v>
      </c>
      <c r="M328" s="125">
        <v>0.0</v>
      </c>
      <c r="N328" s="124">
        <f t="shared" si="211"/>
        <v>0</v>
      </c>
      <c r="O328" s="234">
        <f t="shared" si="216"/>
        <v>0.9298182853</v>
      </c>
      <c r="P328" s="127">
        <f t="shared" si="230"/>
        <v>10348</v>
      </c>
      <c r="Q328" s="124">
        <f t="shared" si="213"/>
        <v>15522000</v>
      </c>
      <c r="R328" s="16">
        <v>0.0</v>
      </c>
      <c r="S328" s="16">
        <v>0.0</v>
      </c>
      <c r="T328" s="16">
        <v>0.0</v>
      </c>
    </row>
    <row r="329">
      <c r="A329" s="126">
        <f>'Monthly Data'!A165</f>
        <v>48061</v>
      </c>
      <c r="B329" s="235">
        <f t="shared" si="214"/>
        <v>2031</v>
      </c>
      <c r="C329" s="127">
        <f>ROUND(C321*(1+$K$6)^(MONTH(A329)/12),0)</f>
        <v>15145</v>
      </c>
      <c r="D329" s="236">
        <f>ROUND(D321*(1+$K$8)^(MONTH(A329)/12),0)</f>
        <v>1500</v>
      </c>
      <c r="E329" s="124">
        <f t="shared" si="200"/>
        <v>22717500</v>
      </c>
      <c r="F329" s="127">
        <f t="shared" si="228"/>
        <v>136</v>
      </c>
      <c r="G329" s="236">
        <f t="shared" si="215"/>
        <v>34150.58088</v>
      </c>
      <c r="H329" s="124">
        <f t="shared" si="219"/>
        <v>4644479</v>
      </c>
      <c r="I329" s="124">
        <f t="shared" si="229"/>
        <v>205882</v>
      </c>
      <c r="J329" s="124">
        <f t="shared" si="203"/>
        <v>205882</v>
      </c>
      <c r="K329" s="124">
        <f t="shared" si="210"/>
        <v>43400361</v>
      </c>
      <c r="L329" s="125">
        <v>0.0</v>
      </c>
      <c r="M329" s="125">
        <v>0.0</v>
      </c>
      <c r="N329" s="124">
        <f t="shared" si="211"/>
        <v>0</v>
      </c>
      <c r="O329" s="234">
        <f t="shared" si="216"/>
        <v>0.9019329066</v>
      </c>
      <c r="P329" s="127">
        <f t="shared" si="230"/>
        <v>10555</v>
      </c>
      <c r="Q329" s="124">
        <f t="shared" si="213"/>
        <v>15832500</v>
      </c>
      <c r="R329" s="16">
        <v>0.0</v>
      </c>
      <c r="S329" s="16">
        <v>0.0</v>
      </c>
      <c r="T329" s="16">
        <v>0.0</v>
      </c>
    </row>
    <row r="330">
      <c r="A330" s="126">
        <f>'Monthly Data'!A166</f>
        <v>48092</v>
      </c>
      <c r="B330" s="235">
        <f t="shared" si="214"/>
        <v>2031</v>
      </c>
      <c r="C330" s="127">
        <f>ROUND(C321*(1+$K$6)^(MONTH(A330)/12),0)</f>
        <v>15266</v>
      </c>
      <c r="D330" s="236">
        <f>ROUND(D321*(1+$K$8)^(MONTH(A330)/12),0)</f>
        <v>1500</v>
      </c>
      <c r="E330" s="124">
        <f t="shared" si="200"/>
        <v>22899000</v>
      </c>
      <c r="F330" s="127">
        <f t="shared" si="228"/>
        <v>138</v>
      </c>
      <c r="G330" s="236">
        <f t="shared" si="215"/>
        <v>33846.15942</v>
      </c>
      <c r="H330" s="124">
        <f t="shared" si="219"/>
        <v>4670770</v>
      </c>
      <c r="I330" s="124">
        <f t="shared" si="229"/>
        <v>1286765</v>
      </c>
      <c r="J330" s="124">
        <f t="shared" si="203"/>
        <v>1286765</v>
      </c>
      <c r="K330" s="124">
        <f t="shared" si="210"/>
        <v>45005535</v>
      </c>
      <c r="L330" s="125">
        <v>0.0</v>
      </c>
      <c r="M330" s="125">
        <v>0.0</v>
      </c>
      <c r="N330" s="124">
        <f t="shared" si="211"/>
        <v>0</v>
      </c>
      <c r="O330" s="234">
        <f t="shared" si="216"/>
        <v>0.9070384778</v>
      </c>
      <c r="P330" s="127">
        <f t="shared" si="230"/>
        <v>10766</v>
      </c>
      <c r="Q330" s="124">
        <f t="shared" si="213"/>
        <v>16149000</v>
      </c>
      <c r="R330" s="16">
        <v>0.0</v>
      </c>
      <c r="S330" s="16">
        <v>0.0</v>
      </c>
      <c r="T330" s="16">
        <v>0.0</v>
      </c>
    </row>
    <row r="331">
      <c r="A331" s="126">
        <f>'Monthly Data'!A167</f>
        <v>48122</v>
      </c>
      <c r="B331" s="235">
        <f t="shared" si="214"/>
        <v>2031</v>
      </c>
      <c r="C331" s="127">
        <f>ROUND(C321*(1+$K$6)^(MONTH(A331)/12),0)</f>
        <v>15388</v>
      </c>
      <c r="D331" s="236">
        <f>ROUND(D321*(1+$K$8)^(MONTH(A331)/12),0)</f>
        <v>1500</v>
      </c>
      <c r="E331" s="124">
        <f t="shared" si="200"/>
        <v>23082000</v>
      </c>
      <c r="F331" s="127">
        <f t="shared" si="228"/>
        <v>138</v>
      </c>
      <c r="G331" s="236">
        <f t="shared" si="215"/>
        <v>34150.55072</v>
      </c>
      <c r="H331" s="124">
        <f t="shared" si="219"/>
        <v>4712776</v>
      </c>
      <c r="I331" s="124">
        <f t="shared" si="229"/>
        <v>205882</v>
      </c>
      <c r="J331" s="124">
        <f t="shared" si="203"/>
        <v>205882</v>
      </c>
      <c r="K331" s="124">
        <f t="shared" si="210"/>
        <v>44472158</v>
      </c>
      <c r="L331" s="125">
        <v>0.0</v>
      </c>
      <c r="M331" s="125">
        <v>0.0</v>
      </c>
      <c r="N331" s="124">
        <f t="shared" si="211"/>
        <v>0</v>
      </c>
      <c r="O331" s="234">
        <f t="shared" si="216"/>
        <v>0.9151958176</v>
      </c>
      <c r="P331" s="127">
        <f t="shared" si="230"/>
        <v>10981</v>
      </c>
      <c r="Q331" s="124">
        <f t="shared" si="213"/>
        <v>16471500</v>
      </c>
      <c r="R331" s="16">
        <v>0.0</v>
      </c>
      <c r="S331" s="16">
        <v>0.0</v>
      </c>
      <c r="T331" s="16">
        <v>0.0</v>
      </c>
    </row>
    <row r="332">
      <c r="A332" s="126">
        <f>'Monthly Data'!A168</f>
        <v>48153</v>
      </c>
      <c r="B332" s="235">
        <f t="shared" si="214"/>
        <v>2031</v>
      </c>
      <c r="C332" s="127">
        <f>ROUND(C321*(1+$K$6)^(MONTH(A332)/12),0)</f>
        <v>15511</v>
      </c>
      <c r="D332" s="236">
        <f>ROUND(D321*(1+$K$8)^(MONTH(A332)/12),0)</f>
        <v>1500</v>
      </c>
      <c r="E332" s="124">
        <f t="shared" si="200"/>
        <v>23266500</v>
      </c>
      <c r="F332" s="127">
        <f t="shared" si="228"/>
        <v>140</v>
      </c>
      <c r="G332" s="236">
        <f t="shared" si="215"/>
        <v>34676.99286</v>
      </c>
      <c r="H332" s="124">
        <f t="shared" si="219"/>
        <v>4854779</v>
      </c>
      <c r="I332" s="124">
        <f t="shared" si="229"/>
        <v>205882</v>
      </c>
      <c r="J332" s="124">
        <f t="shared" si="203"/>
        <v>205882</v>
      </c>
      <c r="K332" s="124">
        <f t="shared" si="210"/>
        <v>45128661</v>
      </c>
      <c r="L332" s="125">
        <v>0.0</v>
      </c>
      <c r="M332" s="125">
        <v>0.0</v>
      </c>
      <c r="N332" s="124">
        <f t="shared" si="211"/>
        <v>0</v>
      </c>
      <c r="O332" s="234">
        <f t="shared" si="216"/>
        <v>0.9427720384</v>
      </c>
      <c r="P332" s="127">
        <f t="shared" si="230"/>
        <v>11201</v>
      </c>
      <c r="Q332" s="124">
        <f t="shared" si="213"/>
        <v>16801500</v>
      </c>
      <c r="R332" s="16">
        <v>0.0</v>
      </c>
      <c r="S332" s="16">
        <v>0.0</v>
      </c>
      <c r="T332" s="16">
        <v>0.0</v>
      </c>
    </row>
    <row r="333">
      <c r="A333" s="126">
        <f>'Monthly Data'!A169</f>
        <v>48183</v>
      </c>
      <c r="B333" s="235">
        <f t="shared" si="214"/>
        <v>2031</v>
      </c>
      <c r="C333" s="127">
        <f>ROUND(C321*(1+$K$6)^(MONTH(A333)/12),0)</f>
        <v>15634</v>
      </c>
      <c r="D333" s="236">
        <f>ROUND(D321*(1+$K$8)^(MONTH(A333)/12),0)</f>
        <v>1500</v>
      </c>
      <c r="E333" s="124">
        <f t="shared" si="200"/>
        <v>23451000</v>
      </c>
      <c r="F333" s="127">
        <f t="shared" si="228"/>
        <v>142</v>
      </c>
      <c r="G333" s="236">
        <f t="shared" si="215"/>
        <v>35167.12676</v>
      </c>
      <c r="H333" s="124">
        <f t="shared" si="219"/>
        <v>4993732</v>
      </c>
      <c r="I333" s="124">
        <f t="shared" si="229"/>
        <v>1492649</v>
      </c>
      <c r="J333" s="124">
        <f t="shared" si="203"/>
        <v>1492649</v>
      </c>
      <c r="K333" s="124">
        <f t="shared" si="210"/>
        <v>47074881</v>
      </c>
      <c r="L333" s="125">
        <v>0.0</v>
      </c>
      <c r="M333" s="125">
        <v>0.0</v>
      </c>
      <c r="N333" s="124">
        <f t="shared" si="211"/>
        <v>0</v>
      </c>
      <c r="O333" s="234">
        <f t="shared" si="216"/>
        <v>0.9697559656</v>
      </c>
      <c r="P333" s="127">
        <f t="shared" si="230"/>
        <v>11425</v>
      </c>
      <c r="Q333" s="124">
        <f t="shared" si="213"/>
        <v>17137500</v>
      </c>
      <c r="R333" s="16">
        <v>0.0</v>
      </c>
      <c r="S333" s="16">
        <v>0.0</v>
      </c>
      <c r="T333" s="16">
        <v>0.0</v>
      </c>
    </row>
    <row r="334">
      <c r="A334" s="126">
        <f>'Monthly Data'!A170</f>
        <v>48214</v>
      </c>
      <c r="B334" s="235">
        <f t="shared" si="214"/>
        <v>2032</v>
      </c>
      <c r="C334" s="127">
        <f>ROUND(C333*(1+$L$6)^(MONTH(A334)/12),0)</f>
        <v>15735</v>
      </c>
      <c r="D334" s="236">
        <f>ROUND(D333*(1+$L$8)^(MONTH(A334)/12),0)</f>
        <v>1500</v>
      </c>
      <c r="E334" s="124">
        <f t="shared" si="200"/>
        <v>23602500</v>
      </c>
      <c r="F334" s="127">
        <f t="shared" ref="F334:F345" si="231">MAX(0,ROUND(F322+$L$7,0))</f>
        <v>127</v>
      </c>
      <c r="G334" s="236">
        <f t="shared" si="215"/>
        <v>47999.49606</v>
      </c>
      <c r="H334" s="124">
        <f t="shared" si="219"/>
        <v>6095936</v>
      </c>
      <c r="I334" s="124">
        <f t="shared" ref="I334:I345" si="232">ROUND(J322*(1+$L$9),0)</f>
        <v>205882</v>
      </c>
      <c r="J334" s="124">
        <f t="shared" si="203"/>
        <v>205882</v>
      </c>
      <c r="K334" s="124">
        <f t="shared" si="210"/>
        <v>47385318</v>
      </c>
      <c r="L334" s="125">
        <v>0.0</v>
      </c>
      <c r="M334" s="125">
        <v>0.0</v>
      </c>
      <c r="N334" s="124">
        <f t="shared" si="211"/>
        <v>0</v>
      </c>
      <c r="O334" s="234">
        <f t="shared" si="216"/>
        <v>1.132075465</v>
      </c>
      <c r="P334" s="127">
        <f t="shared" ref="P334:P345" si="233">IF(AND($B$5="Assumed approval + launch",A334&gt;=$B$6),IF(P333=0,$B$7,ROUND(P333*(1+$L$10),0)),0)</f>
        <v>11654</v>
      </c>
      <c r="Q334" s="124">
        <f t="shared" si="213"/>
        <v>17481000</v>
      </c>
      <c r="R334" s="16">
        <v>0.0</v>
      </c>
      <c r="S334" s="16">
        <v>0.0</v>
      </c>
      <c r="T334" s="16">
        <v>0.0</v>
      </c>
    </row>
    <row r="335">
      <c r="A335" s="126">
        <f>'Monthly Data'!A171</f>
        <v>48245</v>
      </c>
      <c r="B335" s="235">
        <f t="shared" si="214"/>
        <v>2032</v>
      </c>
      <c r="C335" s="127">
        <f>ROUND(C333*(1+$L$6)^(MONTH(A335)/12),0)</f>
        <v>15836</v>
      </c>
      <c r="D335" s="236">
        <f>ROUND(D333*(1+$L$8)^(MONTH(A335)/12),0)</f>
        <v>1500</v>
      </c>
      <c r="E335" s="124">
        <f t="shared" si="200"/>
        <v>23754000</v>
      </c>
      <c r="F335" s="127">
        <f t="shared" si="231"/>
        <v>129</v>
      </c>
      <c r="G335" s="236">
        <f t="shared" si="215"/>
        <v>47648.13178</v>
      </c>
      <c r="H335" s="124">
        <f t="shared" si="219"/>
        <v>6146609</v>
      </c>
      <c r="I335" s="124">
        <f t="shared" si="232"/>
        <v>205882</v>
      </c>
      <c r="J335" s="124">
        <f t="shared" si="203"/>
        <v>205882</v>
      </c>
      <c r="K335" s="124">
        <f t="shared" si="210"/>
        <v>47936991</v>
      </c>
      <c r="L335" s="125">
        <v>0.0</v>
      </c>
      <c r="M335" s="125">
        <v>0.0</v>
      </c>
      <c r="N335" s="124">
        <f t="shared" si="211"/>
        <v>0</v>
      </c>
      <c r="O335" s="234">
        <f t="shared" si="216"/>
        <v>1.141485941</v>
      </c>
      <c r="P335" s="127">
        <f t="shared" si="233"/>
        <v>11887</v>
      </c>
      <c r="Q335" s="124">
        <f t="shared" si="213"/>
        <v>17830500</v>
      </c>
      <c r="R335" s="16">
        <v>0.0</v>
      </c>
      <c r="S335" s="16">
        <v>0.0</v>
      </c>
      <c r="T335" s="16">
        <v>0.0</v>
      </c>
    </row>
    <row r="336">
      <c r="A336" s="126">
        <f>'Monthly Data'!A172</f>
        <v>48274</v>
      </c>
      <c r="B336" s="235">
        <f t="shared" si="214"/>
        <v>2032</v>
      </c>
      <c r="C336" s="127">
        <f>ROUND(C333*(1+$L$6)^(MONTH(A336)/12),0)</f>
        <v>15938</v>
      </c>
      <c r="D336" s="236">
        <f>ROUND(D333*(1+$L$8)^(MONTH(A336)/12),0)</f>
        <v>1500</v>
      </c>
      <c r="E336" s="124">
        <f t="shared" si="200"/>
        <v>23907000</v>
      </c>
      <c r="F336" s="127">
        <f t="shared" si="231"/>
        <v>132</v>
      </c>
      <c r="G336" s="236">
        <f t="shared" si="215"/>
        <v>44609.92424</v>
      </c>
      <c r="H336" s="124">
        <f t="shared" si="219"/>
        <v>5888510</v>
      </c>
      <c r="I336" s="124">
        <f t="shared" si="232"/>
        <v>1286765</v>
      </c>
      <c r="J336" s="124">
        <f t="shared" si="203"/>
        <v>1286765</v>
      </c>
      <c r="K336" s="124">
        <f t="shared" si="210"/>
        <v>49269775</v>
      </c>
      <c r="L336" s="125">
        <v>0.0</v>
      </c>
      <c r="M336" s="125">
        <v>0.0</v>
      </c>
      <c r="N336" s="124">
        <f t="shared" si="211"/>
        <v>0</v>
      </c>
      <c r="O336" s="234">
        <f t="shared" si="216"/>
        <v>1.09355441</v>
      </c>
      <c r="P336" s="127">
        <f t="shared" si="233"/>
        <v>12125</v>
      </c>
      <c r="Q336" s="124">
        <f t="shared" si="213"/>
        <v>18187500</v>
      </c>
      <c r="R336" s="16">
        <v>0.0</v>
      </c>
      <c r="S336" s="16">
        <v>0.0</v>
      </c>
      <c r="T336" s="16">
        <v>0.0</v>
      </c>
    </row>
    <row r="337">
      <c r="A337" s="126">
        <f>'Monthly Data'!A173</f>
        <v>48305</v>
      </c>
      <c r="B337" s="235">
        <f t="shared" si="214"/>
        <v>2032</v>
      </c>
      <c r="C337" s="127">
        <f>ROUND(C333*(1+$L$6)^(MONTH(A337)/12),0)</f>
        <v>16040</v>
      </c>
      <c r="D337" s="236">
        <f>ROUND(D333*(1+$L$8)^(MONTH(A337)/12),0)</f>
        <v>1500</v>
      </c>
      <c r="E337" s="124">
        <f t="shared" si="200"/>
        <v>24060000</v>
      </c>
      <c r="F337" s="127">
        <f t="shared" si="231"/>
        <v>133</v>
      </c>
      <c r="G337" s="236">
        <f t="shared" si="215"/>
        <v>44136.7218</v>
      </c>
      <c r="H337" s="124">
        <f t="shared" si="219"/>
        <v>5870184</v>
      </c>
      <c r="I337" s="124">
        <f t="shared" si="232"/>
        <v>205882</v>
      </c>
      <c r="J337" s="124">
        <f t="shared" si="203"/>
        <v>205882</v>
      </c>
      <c r="K337" s="124">
        <f t="shared" si="210"/>
        <v>48688066</v>
      </c>
      <c r="L337" s="125">
        <v>0.0</v>
      </c>
      <c r="M337" s="125">
        <v>0.0</v>
      </c>
      <c r="N337" s="124">
        <f t="shared" si="211"/>
        <v>0</v>
      </c>
      <c r="O337" s="234">
        <f t="shared" si="216"/>
        <v>1.090151091</v>
      </c>
      <c r="P337" s="127">
        <f t="shared" si="233"/>
        <v>12368</v>
      </c>
      <c r="Q337" s="124">
        <f t="shared" si="213"/>
        <v>18552000</v>
      </c>
      <c r="R337" s="16">
        <v>0.0</v>
      </c>
      <c r="S337" s="16">
        <v>0.0</v>
      </c>
      <c r="T337" s="16">
        <v>0.0</v>
      </c>
    </row>
    <row r="338">
      <c r="A338" s="126">
        <f>'Monthly Data'!A174</f>
        <v>48335</v>
      </c>
      <c r="B338" s="235">
        <f t="shared" si="214"/>
        <v>2032</v>
      </c>
      <c r="C338" s="127">
        <f>ROUND(C333*(1+$L$6)^(MONTH(A338)/12),0)</f>
        <v>16143</v>
      </c>
      <c r="D338" s="236">
        <f>ROUND(D333*(1+$L$8)^(MONTH(A338)/12),0)</f>
        <v>1500</v>
      </c>
      <c r="E338" s="124">
        <f t="shared" si="200"/>
        <v>24214500</v>
      </c>
      <c r="F338" s="127">
        <f t="shared" si="231"/>
        <v>136</v>
      </c>
      <c r="G338" s="236">
        <f t="shared" si="215"/>
        <v>41142.09559</v>
      </c>
      <c r="H338" s="124">
        <f t="shared" si="219"/>
        <v>5595325</v>
      </c>
      <c r="I338" s="124">
        <f t="shared" si="232"/>
        <v>205882</v>
      </c>
      <c r="J338" s="124">
        <f t="shared" si="203"/>
        <v>205882</v>
      </c>
      <c r="K338" s="124">
        <f t="shared" si="210"/>
        <v>48938207</v>
      </c>
      <c r="L338" s="125">
        <v>0.0</v>
      </c>
      <c r="M338" s="125">
        <v>0.0</v>
      </c>
      <c r="N338" s="124">
        <f t="shared" si="211"/>
        <v>0</v>
      </c>
      <c r="O338" s="234">
        <f t="shared" si="216"/>
        <v>1.039107062</v>
      </c>
      <c r="P338" s="127">
        <f t="shared" si="233"/>
        <v>12615</v>
      </c>
      <c r="Q338" s="124">
        <f t="shared" si="213"/>
        <v>18922500</v>
      </c>
      <c r="R338" s="16">
        <v>0.0</v>
      </c>
      <c r="S338" s="16">
        <v>0.0</v>
      </c>
      <c r="T338" s="16">
        <v>0.0</v>
      </c>
    </row>
    <row r="339">
      <c r="A339" s="126">
        <f>'Monthly Data'!A175</f>
        <v>48366</v>
      </c>
      <c r="B339" s="235">
        <f t="shared" si="214"/>
        <v>2032</v>
      </c>
      <c r="C339" s="127">
        <f>ROUND(C333*(1+$L$6)^(MONTH(A339)/12),0)</f>
        <v>16247</v>
      </c>
      <c r="D339" s="236">
        <f>ROUND(D333*(1+$L$8)^(MONTH(A339)/12),0)</f>
        <v>1500</v>
      </c>
      <c r="E339" s="124">
        <f t="shared" si="200"/>
        <v>24370500</v>
      </c>
      <c r="F339" s="127">
        <f t="shared" si="231"/>
        <v>138</v>
      </c>
      <c r="G339" s="236">
        <f t="shared" si="215"/>
        <v>37013.02174</v>
      </c>
      <c r="H339" s="124">
        <f t="shared" si="219"/>
        <v>5107797</v>
      </c>
      <c r="I339" s="124">
        <f t="shared" si="232"/>
        <v>1286765</v>
      </c>
      <c r="J339" s="124">
        <f t="shared" si="203"/>
        <v>1286765</v>
      </c>
      <c r="K339" s="124">
        <f t="shared" si="210"/>
        <v>50065562</v>
      </c>
      <c r="L339" s="125">
        <v>0.0</v>
      </c>
      <c r="M339" s="125">
        <v>0.0</v>
      </c>
      <c r="N339" s="124">
        <f t="shared" si="211"/>
        <v>0</v>
      </c>
      <c r="O339" s="234">
        <f t="shared" si="216"/>
        <v>0.9485683023</v>
      </c>
      <c r="P339" s="127">
        <f t="shared" si="233"/>
        <v>12867</v>
      </c>
      <c r="Q339" s="124">
        <f t="shared" si="213"/>
        <v>19300500</v>
      </c>
      <c r="R339" s="16">
        <v>0.0</v>
      </c>
      <c r="S339" s="16">
        <v>0.0</v>
      </c>
      <c r="T339" s="16">
        <v>0.0</v>
      </c>
    </row>
    <row r="340">
      <c r="A340" s="126">
        <f>'Monthly Data'!A176</f>
        <v>48396</v>
      </c>
      <c r="B340" s="235">
        <f t="shared" si="214"/>
        <v>2032</v>
      </c>
      <c r="C340" s="127">
        <f>ROUND(C333*(1+$L$6)^(MONTH(A340)/12),0)</f>
        <v>16352</v>
      </c>
      <c r="D340" s="236">
        <f>ROUND(D333*(1+$L$8)^(MONTH(A340)/12),0)</f>
        <v>1500</v>
      </c>
      <c r="E340" s="124">
        <f t="shared" si="200"/>
        <v>24528000</v>
      </c>
      <c r="F340" s="127">
        <f t="shared" si="231"/>
        <v>139</v>
      </c>
      <c r="G340" s="236">
        <f t="shared" si="215"/>
        <v>36000.55396</v>
      </c>
      <c r="H340" s="124">
        <f t="shared" si="219"/>
        <v>5004077</v>
      </c>
      <c r="I340" s="124">
        <f t="shared" si="232"/>
        <v>205882</v>
      </c>
      <c r="J340" s="124">
        <f t="shared" si="203"/>
        <v>205882</v>
      </c>
      <c r="K340" s="124">
        <f t="shared" si="210"/>
        <v>49423959</v>
      </c>
      <c r="L340" s="125">
        <v>0.0</v>
      </c>
      <c r="M340" s="125">
        <v>0.0</v>
      </c>
      <c r="N340" s="124">
        <f t="shared" si="211"/>
        <v>0</v>
      </c>
      <c r="O340" s="234">
        <f t="shared" si="216"/>
        <v>0.9293064749</v>
      </c>
      <c r="P340" s="127">
        <f t="shared" si="233"/>
        <v>13124</v>
      </c>
      <c r="Q340" s="124">
        <f t="shared" si="213"/>
        <v>19686000</v>
      </c>
      <c r="R340" s="16">
        <v>0.0</v>
      </c>
      <c r="S340" s="16">
        <v>0.0</v>
      </c>
      <c r="T340" s="16">
        <v>0.0</v>
      </c>
    </row>
    <row r="341">
      <c r="A341" s="126">
        <f>'Monthly Data'!A177</f>
        <v>48427</v>
      </c>
      <c r="B341" s="235">
        <f t="shared" si="214"/>
        <v>2032</v>
      </c>
      <c r="C341" s="127">
        <f>ROUND(C333*(1+$L$6)^(MONTH(A341)/12),0)</f>
        <v>16457</v>
      </c>
      <c r="D341" s="236">
        <f>ROUND(D333*(1+$L$8)^(MONTH(A341)/12),0)</f>
        <v>1500</v>
      </c>
      <c r="E341" s="124">
        <f t="shared" si="200"/>
        <v>24685500</v>
      </c>
      <c r="F341" s="127">
        <f t="shared" si="231"/>
        <v>142</v>
      </c>
      <c r="G341" s="236">
        <f t="shared" si="215"/>
        <v>34150.57746</v>
      </c>
      <c r="H341" s="124">
        <f t="shared" si="219"/>
        <v>4849382</v>
      </c>
      <c r="I341" s="124">
        <f t="shared" si="232"/>
        <v>205882</v>
      </c>
      <c r="J341" s="124">
        <f t="shared" si="203"/>
        <v>205882</v>
      </c>
      <c r="K341" s="124">
        <f t="shared" si="210"/>
        <v>49819764</v>
      </c>
      <c r="L341" s="125">
        <v>0.0</v>
      </c>
      <c r="M341" s="125">
        <v>0.0</v>
      </c>
      <c r="N341" s="124">
        <f t="shared" si="211"/>
        <v>0</v>
      </c>
      <c r="O341" s="234">
        <f t="shared" si="216"/>
        <v>0.900578087</v>
      </c>
      <c r="P341" s="127">
        <f t="shared" si="233"/>
        <v>13386</v>
      </c>
      <c r="Q341" s="124">
        <f t="shared" si="213"/>
        <v>20079000</v>
      </c>
      <c r="R341" s="16">
        <v>0.0</v>
      </c>
      <c r="S341" s="16">
        <v>0.0</v>
      </c>
      <c r="T341" s="16">
        <v>0.0</v>
      </c>
    </row>
    <row r="342">
      <c r="A342" s="126">
        <f>'Monthly Data'!A178</f>
        <v>48458</v>
      </c>
      <c r="B342" s="235">
        <f t="shared" si="214"/>
        <v>2032</v>
      </c>
      <c r="C342" s="127">
        <f>ROUND(C333*(1+$L$6)^(MONTH(A342)/12),0)</f>
        <v>16563</v>
      </c>
      <c r="D342" s="236">
        <f>ROUND(D333*(1+$L$8)^(MONTH(A342)/12),0)</f>
        <v>1500</v>
      </c>
      <c r="E342" s="124">
        <f t="shared" si="200"/>
        <v>24844500</v>
      </c>
      <c r="F342" s="127">
        <f t="shared" si="231"/>
        <v>144</v>
      </c>
      <c r="G342" s="236">
        <f t="shared" si="215"/>
        <v>33846.15972</v>
      </c>
      <c r="H342" s="124">
        <f t="shared" si="219"/>
        <v>4873847</v>
      </c>
      <c r="I342" s="124">
        <f t="shared" si="232"/>
        <v>1286765</v>
      </c>
      <c r="J342" s="124">
        <f t="shared" si="203"/>
        <v>1286765</v>
      </c>
      <c r="K342" s="124">
        <f t="shared" si="210"/>
        <v>51486112</v>
      </c>
      <c r="L342" s="125">
        <v>0.0</v>
      </c>
      <c r="M342" s="125">
        <v>0.0</v>
      </c>
      <c r="N342" s="124">
        <f t="shared" si="211"/>
        <v>0</v>
      </c>
      <c r="O342" s="234">
        <f t="shared" si="216"/>
        <v>0.9051214789</v>
      </c>
      <c r="P342" s="127">
        <f t="shared" si="233"/>
        <v>13654</v>
      </c>
      <c r="Q342" s="124">
        <f t="shared" si="213"/>
        <v>20481000</v>
      </c>
      <c r="R342" s="16">
        <v>0.0</v>
      </c>
      <c r="S342" s="16">
        <v>0.0</v>
      </c>
      <c r="T342" s="16">
        <v>0.0</v>
      </c>
    </row>
    <row r="343">
      <c r="A343" s="126">
        <f>'Monthly Data'!A179</f>
        <v>48488</v>
      </c>
      <c r="B343" s="235">
        <f t="shared" si="214"/>
        <v>2032</v>
      </c>
      <c r="C343" s="127">
        <f>ROUND(C333*(1+$L$6)^(MONTH(A343)/12),0)</f>
        <v>16670</v>
      </c>
      <c r="D343" s="236">
        <f>ROUND(D333*(1+$L$8)^(MONTH(A343)/12),0)</f>
        <v>1500</v>
      </c>
      <c r="E343" s="124">
        <f t="shared" si="200"/>
        <v>25005000</v>
      </c>
      <c r="F343" s="127">
        <f t="shared" si="231"/>
        <v>144</v>
      </c>
      <c r="G343" s="236">
        <f t="shared" si="215"/>
        <v>34150.54861</v>
      </c>
      <c r="H343" s="124">
        <f t="shared" si="219"/>
        <v>4917679</v>
      </c>
      <c r="I343" s="124">
        <f t="shared" si="232"/>
        <v>205882</v>
      </c>
      <c r="J343" s="124">
        <f t="shared" si="203"/>
        <v>205882</v>
      </c>
      <c r="K343" s="124">
        <f t="shared" si="210"/>
        <v>51019061</v>
      </c>
      <c r="L343" s="125">
        <v>0.0</v>
      </c>
      <c r="M343" s="125">
        <v>0.0</v>
      </c>
      <c r="N343" s="124">
        <f t="shared" si="211"/>
        <v>0</v>
      </c>
      <c r="O343" s="234">
        <f t="shared" si="216"/>
        <v>0.9132615138</v>
      </c>
      <c r="P343" s="127">
        <f t="shared" si="233"/>
        <v>13927</v>
      </c>
      <c r="Q343" s="124">
        <f t="shared" si="213"/>
        <v>20890500</v>
      </c>
      <c r="R343" s="16">
        <v>0.0</v>
      </c>
      <c r="S343" s="16">
        <v>0.0</v>
      </c>
      <c r="T343" s="16">
        <v>0.0</v>
      </c>
    </row>
    <row r="344">
      <c r="A344" s="126">
        <f>'Monthly Data'!A180</f>
        <v>48519</v>
      </c>
      <c r="B344" s="235">
        <f t="shared" si="214"/>
        <v>2032</v>
      </c>
      <c r="C344" s="127">
        <f>ROUND(C333*(1+$L$6)^(MONTH(A344)/12),0)</f>
        <v>16777</v>
      </c>
      <c r="D344" s="236">
        <f>ROUND(D333*(1+$L$8)^(MONTH(A344)/12),0)</f>
        <v>1500</v>
      </c>
      <c r="E344" s="124">
        <f t="shared" si="200"/>
        <v>25165500</v>
      </c>
      <c r="F344" s="127">
        <f t="shared" si="231"/>
        <v>146</v>
      </c>
      <c r="G344" s="236">
        <f t="shared" si="215"/>
        <v>34676.99315</v>
      </c>
      <c r="H344" s="124">
        <f t="shared" si="219"/>
        <v>5062841</v>
      </c>
      <c r="I344" s="124">
        <f t="shared" si="232"/>
        <v>205882</v>
      </c>
      <c r="J344" s="124">
        <f t="shared" si="203"/>
        <v>205882</v>
      </c>
      <c r="K344" s="124">
        <f t="shared" si="210"/>
        <v>51743223</v>
      </c>
      <c r="L344" s="125">
        <v>0.0</v>
      </c>
      <c r="M344" s="125">
        <v>0.0</v>
      </c>
      <c r="N344" s="124">
        <f t="shared" si="211"/>
        <v>0</v>
      </c>
      <c r="O344" s="234">
        <f t="shared" si="216"/>
        <v>0.9402195295</v>
      </c>
      <c r="P344" s="127">
        <f t="shared" si="233"/>
        <v>14206</v>
      </c>
      <c r="Q344" s="124">
        <f t="shared" si="213"/>
        <v>21309000</v>
      </c>
      <c r="R344" s="16">
        <v>0.0</v>
      </c>
      <c r="S344" s="16">
        <v>0.0</v>
      </c>
      <c r="T344" s="16">
        <v>0.0</v>
      </c>
    </row>
    <row r="345">
      <c r="A345" s="126">
        <f>'Monthly Data'!A181</f>
        <v>48549</v>
      </c>
      <c r="B345" s="235">
        <f t="shared" si="214"/>
        <v>2032</v>
      </c>
      <c r="C345" s="127">
        <f>ROUND(C333*(1+$L$6)^(MONTH(A345)/12),0)</f>
        <v>16885</v>
      </c>
      <c r="D345" s="236">
        <f>ROUND(D333*(1+$L$8)^(MONTH(A345)/12),0)</f>
        <v>1500</v>
      </c>
      <c r="E345" s="124">
        <f t="shared" si="200"/>
        <v>25327500</v>
      </c>
      <c r="F345" s="127">
        <f t="shared" si="231"/>
        <v>148</v>
      </c>
      <c r="G345" s="236">
        <f t="shared" si="215"/>
        <v>35167.12838</v>
      </c>
      <c r="H345" s="124">
        <f t="shared" si="219"/>
        <v>5204735</v>
      </c>
      <c r="I345" s="124">
        <f t="shared" si="232"/>
        <v>1492649</v>
      </c>
      <c r="J345" s="124">
        <f t="shared" si="203"/>
        <v>1492649</v>
      </c>
      <c r="K345" s="124">
        <f t="shared" si="210"/>
        <v>53759884</v>
      </c>
      <c r="L345" s="125">
        <v>0.0</v>
      </c>
      <c r="M345" s="125">
        <v>0.0</v>
      </c>
      <c r="N345" s="124">
        <f t="shared" si="211"/>
        <v>0</v>
      </c>
      <c r="O345" s="234">
        <f t="shared" si="216"/>
        <v>0.9665706454</v>
      </c>
      <c r="P345" s="127">
        <f t="shared" si="233"/>
        <v>14490</v>
      </c>
      <c r="Q345" s="124">
        <f t="shared" si="213"/>
        <v>21735000</v>
      </c>
      <c r="R345" s="16">
        <v>0.0</v>
      </c>
      <c r="S345" s="16">
        <v>0.0</v>
      </c>
      <c r="T345" s="16">
        <v>0.0</v>
      </c>
    </row>
  </sheetData>
  <mergeCells count="15">
    <mergeCell ref="D11:G11"/>
    <mergeCell ref="D12:G12"/>
    <mergeCell ref="D13:G13"/>
    <mergeCell ref="A26:M26"/>
    <mergeCell ref="A113:M113"/>
    <mergeCell ref="A114:M114"/>
    <mergeCell ref="A116:M116"/>
    <mergeCell ref="A117:M117"/>
    <mergeCell ref="A2:M2"/>
    <mergeCell ref="D5:E5"/>
    <mergeCell ref="D6:E6"/>
    <mergeCell ref="D7:E7"/>
    <mergeCell ref="D8:E8"/>
    <mergeCell ref="D9:E9"/>
    <mergeCell ref="D10:E10"/>
  </mergeCells>
  <dataValidations>
    <dataValidation type="list" allowBlank="1" showErrorMessage="1" sqref="B5">
      <formula1>"Assumed approval + launch,No launch"</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49C7"/>
    <outlinePr summaryBelow="0" summaryRight="0"/>
  </sheetPr>
  <sheetViews>
    <sheetView showGridLines="0" workbookViewId="0"/>
  </sheetViews>
  <sheetFormatPr customHeight="1" defaultColWidth="12.63" defaultRowHeight="15.75"/>
  <cols>
    <col customWidth="1" min="1" max="1" width="18.63"/>
    <col customWidth="1" min="2" max="2" width="22.88"/>
    <col customWidth="1" min="3" max="3" width="22.13"/>
    <col customWidth="1" min="4" max="4" width="29.38"/>
    <col customWidth="1" min="5" max="5" width="23.63"/>
    <col customWidth="1" min="6" max="7" width="20.13"/>
    <col customWidth="1" min="8" max="8" width="68.88"/>
    <col customWidth="1" min="9" max="11" width="20.13"/>
    <col customWidth="1" min="13" max="13" width="31.38"/>
    <col customWidth="1" min="14" max="16" width="23.25"/>
  </cols>
  <sheetData>
    <row r="1" ht="32.25" customHeight="1">
      <c r="A1" s="168" t="s">
        <v>469</v>
      </c>
      <c r="B1" s="168"/>
      <c r="C1" s="168"/>
      <c r="D1" s="168"/>
      <c r="E1" s="168"/>
      <c r="F1" s="168"/>
      <c r="G1" s="168"/>
      <c r="H1" s="168"/>
      <c r="I1" s="168"/>
      <c r="J1" s="168"/>
      <c r="K1" s="168"/>
      <c r="L1" s="168"/>
      <c r="M1" s="168"/>
      <c r="N1" s="168"/>
    </row>
    <row r="2" ht="22.5" hidden="1" customHeight="1">
      <c r="A2" s="6" t="s">
        <v>470</v>
      </c>
    </row>
    <row r="3" ht="27.0" customHeight="1">
      <c r="A3" s="169" t="s">
        <v>471</v>
      </c>
      <c r="F3" s="170" t="s">
        <v>37</v>
      </c>
      <c r="G3" s="170" t="s">
        <v>38</v>
      </c>
      <c r="H3" s="170" t="s">
        <v>40</v>
      </c>
      <c r="I3" s="170" t="s">
        <v>41</v>
      </c>
      <c r="J3" s="170" t="s">
        <v>42</v>
      </c>
      <c r="K3" s="170" t="s">
        <v>43</v>
      </c>
      <c r="M3" s="171" t="s">
        <v>472</v>
      </c>
    </row>
    <row r="4" ht="24.0" customHeight="1">
      <c r="A4" s="172" t="s">
        <v>473</v>
      </c>
      <c r="B4" s="173">
        <v>1.55E8</v>
      </c>
      <c r="C4" s="172" t="s">
        <v>474</v>
      </c>
      <c r="D4" s="172" t="s">
        <v>475</v>
      </c>
      <c r="E4" s="174">
        <v>1.55E8</v>
      </c>
      <c r="F4" s="175">
        <v>2.0E8</v>
      </c>
      <c r="G4" s="175">
        <v>2.25E8</v>
      </c>
      <c r="H4" s="175">
        <v>0.0</v>
      </c>
      <c r="I4" s="175">
        <v>0.0</v>
      </c>
      <c r="J4" s="175">
        <v>0.0</v>
      </c>
      <c r="K4" s="175">
        <v>0.0</v>
      </c>
      <c r="M4" s="176" t="s">
        <v>476</v>
      </c>
      <c r="N4" s="177" t="s">
        <v>477</v>
      </c>
    </row>
    <row r="5" ht="24.0" customHeight="1">
      <c r="A5" s="178"/>
      <c r="B5" s="179"/>
      <c r="C5" s="176" t="s">
        <v>474</v>
      </c>
      <c r="D5" s="172" t="s">
        <v>478</v>
      </c>
      <c r="E5" s="32">
        <f>E4</f>
        <v>155000000</v>
      </c>
      <c r="F5" s="180">
        <v>2.0E8</v>
      </c>
      <c r="G5" s="180">
        <v>2.25E8</v>
      </c>
      <c r="H5" s="180">
        <v>0.0</v>
      </c>
      <c r="I5" s="180">
        <v>0.0</v>
      </c>
      <c r="J5" s="180">
        <v>0.0</v>
      </c>
      <c r="K5" s="180">
        <v>0.0</v>
      </c>
      <c r="M5" s="176" t="s">
        <v>479</v>
      </c>
      <c r="N5" s="175">
        <v>3.5E8</v>
      </c>
    </row>
    <row r="6" ht="24.0" customHeight="1">
      <c r="A6" s="172" t="s">
        <v>480</v>
      </c>
      <c r="B6" s="181">
        <v>0.1</v>
      </c>
      <c r="C6" s="172" t="s">
        <v>474</v>
      </c>
      <c r="D6" s="182" t="s">
        <v>481</v>
      </c>
      <c r="E6" s="183">
        <f>B4-E5</f>
        <v>0</v>
      </c>
      <c r="F6" s="184">
        <f t="shared" ref="F6:K6" si="1">F4-F5</f>
        <v>0</v>
      </c>
      <c r="G6" s="184">
        <f t="shared" si="1"/>
        <v>0</v>
      </c>
      <c r="H6" s="184">
        <f t="shared" si="1"/>
        <v>0</v>
      </c>
      <c r="I6" s="184">
        <f t="shared" si="1"/>
        <v>0</v>
      </c>
      <c r="J6" s="184">
        <f t="shared" si="1"/>
        <v>0</v>
      </c>
      <c r="K6" s="184">
        <f t="shared" si="1"/>
        <v>0</v>
      </c>
      <c r="M6" s="176" t="s">
        <v>482</v>
      </c>
      <c r="N6" s="175">
        <v>4.0E8</v>
      </c>
    </row>
    <row r="7" ht="22.5" customHeight="1">
      <c r="A7" s="185" t="s">
        <v>483</v>
      </c>
      <c r="B7" s="186" t="str">
        <f>IF(MIN('Monthly Data'!$AF$98:$AF$181)&lt;0,"CASH SHORTFALL","FUNDED")</f>
        <v>CASH SHORTFALL</v>
      </c>
      <c r="C7" s="16" t="s">
        <v>474</v>
      </c>
      <c r="D7" s="185" t="s">
        <v>484</v>
      </c>
      <c r="E7" s="187">
        <f>'Balance Sheet'!J8</f>
        <v>68427360</v>
      </c>
      <c r="F7" s="184">
        <f>'Balance Sheet'!K8</f>
        <v>137537685</v>
      </c>
      <c r="G7" s="184">
        <f>'Balance Sheet'!L8</f>
        <v>287736765</v>
      </c>
      <c r="H7" s="184">
        <f>'Balance Sheet'!M8</f>
        <v>207611781</v>
      </c>
      <c r="I7" s="184">
        <f>'Balance Sheet'!N8</f>
        <v>113739586</v>
      </c>
      <c r="J7" s="184">
        <f>'Balance Sheet'!O8</f>
        <v>-4125061</v>
      </c>
      <c r="K7" s="184">
        <f>'Balance Sheet'!P8</f>
        <v>-159344730</v>
      </c>
      <c r="M7" s="176" t="s">
        <v>485</v>
      </c>
      <c r="N7" s="188">
        <v>0.06</v>
      </c>
    </row>
    <row r="8" ht="24.0" customHeight="1">
      <c r="A8" s="189" t="s">
        <v>486</v>
      </c>
      <c r="F8" s="190"/>
      <c r="G8" s="190"/>
      <c r="H8" s="190"/>
      <c r="I8" s="190"/>
      <c r="J8" s="190"/>
      <c r="K8" s="190"/>
      <c r="M8" s="176" t="s">
        <v>487</v>
      </c>
      <c r="N8" s="191">
        <v>6.0</v>
      </c>
    </row>
    <row r="9" ht="23.25" customHeight="1">
      <c r="D9" s="16" t="s">
        <v>488</v>
      </c>
      <c r="F9" s="192">
        <v>1.5E7</v>
      </c>
      <c r="G9" s="192">
        <v>1.5E7</v>
      </c>
      <c r="H9" s="192">
        <v>1.5E7</v>
      </c>
      <c r="I9" s="192">
        <v>1.5E7</v>
      </c>
      <c r="J9" s="192">
        <v>1.5E7</v>
      </c>
      <c r="K9" s="192">
        <v>1.5E7</v>
      </c>
      <c r="M9" s="176" t="s">
        <v>489</v>
      </c>
      <c r="N9" s="184">
        <f>IF(N4="IPO in 2028",ROUND(N5*(1-N7),0),IF(N4="IPO in 2029",ROUND(N6*(1-N7),0),0))</f>
        <v>0</v>
      </c>
    </row>
    <row r="10">
      <c r="D10" s="16" t="s">
        <v>490</v>
      </c>
      <c r="F10" s="184">
        <f>F4</f>
        <v>200000000</v>
      </c>
      <c r="G10" s="184">
        <f>IF($N$4="IPO in 2028",ROUND($N$5*(1-$N$7),0),G4)</f>
        <v>225000000</v>
      </c>
      <c r="H10" s="184">
        <f>IF($N$4="IPO in 2029",ROUND($N$6*(1-$N$7),0),IF($N$4="IPO in 2028",ROUND(H4*(1-$N$7),0),H4))</f>
        <v>0</v>
      </c>
      <c r="I10" s="184">
        <f t="shared" ref="I10:K10" si="2">I4</f>
        <v>0</v>
      </c>
      <c r="J10" s="184">
        <f t="shared" si="2"/>
        <v>0</v>
      </c>
      <c r="K10" s="184">
        <f t="shared" si="2"/>
        <v>0</v>
      </c>
      <c r="M10" s="176" t="s">
        <v>491</v>
      </c>
      <c r="N10" s="184">
        <f>'Balance Sheet'!L8</f>
        <v>287736765</v>
      </c>
    </row>
    <row r="11" ht="22.5" customHeight="1">
      <c r="D11" s="16" t="s">
        <v>492</v>
      </c>
      <c r="F11" s="193" t="str">
        <f>"Private Series E"</f>
        <v>Private Series E</v>
      </c>
      <c r="G11" s="193" t="str">
        <f>IF($N$4="IPO in 2028","IPO (net)","Private growth")</f>
        <v>Private growth</v>
      </c>
      <c r="H11" s="193" t="str">
        <f>IF($N$4="IPO in 2029","IPO (net)",IF(H10=0,"No 2029 raise",IF($N$4="IPO in 2028","Public follow-on","Private growth")))</f>
        <v>No 2029 raise</v>
      </c>
      <c r="I11" s="193" t="str">
        <f t="shared" ref="I11:K11" si="3">IF(I10=0,"No raise planned","Private growth")</f>
        <v>No raise planned</v>
      </c>
      <c r="J11" s="193" t="str">
        <f t="shared" si="3"/>
        <v>No raise planned</v>
      </c>
      <c r="K11" s="193" t="str">
        <f t="shared" si="3"/>
        <v>No raise planned</v>
      </c>
      <c r="M11" s="176" t="s">
        <v>493</v>
      </c>
      <c r="N11" s="184">
        <f>'Balance Sheet'!M8</f>
        <v>207611781</v>
      </c>
    </row>
    <row r="12" ht="19.5" customHeight="1">
      <c r="A12" s="194" t="s">
        <v>494</v>
      </c>
      <c r="B12" s="194"/>
      <c r="C12" s="194"/>
      <c r="D12" s="194"/>
      <c r="E12" s="194"/>
      <c r="F12" s="194"/>
      <c r="G12" s="194"/>
      <c r="H12" s="194"/>
      <c r="I12" s="194"/>
      <c r="J12" s="194"/>
      <c r="K12" s="194"/>
      <c r="M12" s="176" t="s">
        <v>495</v>
      </c>
      <c r="N12" s="184">
        <f>MIN('Monthly Data'!$AF$98:$AF$181)</f>
        <v>-159344730</v>
      </c>
    </row>
    <row r="13">
      <c r="M13" s="176" t="s">
        <v>496</v>
      </c>
      <c r="N13" s="195" t="str">
        <f>IF(N12&lt;0,"CASH BRIDGE NEEDED","NO CASH GAP")</f>
        <v>CASH BRIDGE NEEDED</v>
      </c>
    </row>
    <row r="14" ht="28.5" customHeight="1">
      <c r="A14" s="196" t="s">
        <v>69</v>
      </c>
      <c r="B14" s="196" t="s">
        <v>497</v>
      </c>
      <c r="C14" s="197" t="s">
        <v>498</v>
      </c>
      <c r="D14" s="196" t="s">
        <v>499</v>
      </c>
      <c r="M14" s="16" t="s">
        <v>500</v>
      </c>
      <c r="N14" s="28">
        <f>'Balance Sheet'!P8</f>
        <v>-159344730</v>
      </c>
    </row>
    <row r="15">
      <c r="A15" s="16">
        <v>2018.0</v>
      </c>
      <c r="B15" s="16" t="s">
        <v>501</v>
      </c>
      <c r="C15" s="198">
        <f>SUMIF('Monthly Data'!$B$2:$B1004,A15,'Monthly Data'!$U$2:$U1004)</f>
        <v>6000000</v>
      </c>
      <c r="D15" s="72" t="s">
        <v>502</v>
      </c>
    </row>
    <row r="16">
      <c r="A16" s="16">
        <v>2020.0</v>
      </c>
      <c r="B16" s="16" t="s">
        <v>503</v>
      </c>
      <c r="C16" s="198">
        <f>SUMIF('Monthly Data'!$B$2:$B1004,A16,'Monthly Data'!$U$2:$U1004)</f>
        <v>24000000</v>
      </c>
      <c r="D16" s="72" t="s">
        <v>502</v>
      </c>
      <c r="M16" s="16" t="s">
        <v>504</v>
      </c>
      <c r="N16" s="27" t="str">
        <f>IF(AND(COUNT('Monthly Data'!A2:A181)=180,MAX('Monthly Data'!B2:B181)=2032,'Income Statement'!P4=2032,'Balance Sheet'!P5=2032,'Cash Flow'!P5=2032),"PASS — 2032","FAIL — CHECK HORIZON")</f>
        <v>PASS — 2032</v>
      </c>
    </row>
    <row r="17">
      <c r="A17" s="16">
        <v>2022.0</v>
      </c>
      <c r="B17" s="16" t="s">
        <v>505</v>
      </c>
      <c r="C17" s="198">
        <f>SUMIF('Monthly Data'!$B$2:$B1004,A17,'Monthly Data'!$U$2:$U1004)</f>
        <v>60000000</v>
      </c>
      <c r="D17" s="72" t="s">
        <v>502</v>
      </c>
      <c r="M17" s="16" t="s">
        <v>506</v>
      </c>
      <c r="N17" s="27">
        <f>COUNT('Monthly Data'!A2:A181)</f>
        <v>180</v>
      </c>
    </row>
    <row r="18">
      <c r="A18" s="16">
        <v>2024.0</v>
      </c>
      <c r="B18" s="16" t="s">
        <v>507</v>
      </c>
      <c r="C18" s="198">
        <f>SUMIF('Monthly Data'!$B$2:$B1004,A18,'Monthly Data'!$U$2:$U1004)</f>
        <v>110000000</v>
      </c>
      <c r="D18" s="72" t="s">
        <v>502</v>
      </c>
      <c r="M18" s="16" t="s">
        <v>508</v>
      </c>
      <c r="N18" s="27" t="str">
        <f>TEXT(MAX('Monthly Data'!A2:A181),"mmm yyyy")</f>
        <v>Dec 2032</v>
      </c>
    </row>
    <row r="19">
      <c r="A19" s="16">
        <v>2026.0</v>
      </c>
      <c r="B19" s="16" t="s">
        <v>509</v>
      </c>
      <c r="C19" s="198">
        <f>SUMIF('Monthly Data'!$B$2:$B1004,A19,'Monthly Data'!$U$2:$U1004)</f>
        <v>155000000</v>
      </c>
      <c r="D19" s="72" t="s">
        <v>502</v>
      </c>
      <c r="M19" s="16" t="s">
        <v>510</v>
      </c>
      <c r="N19" s="27" t="str">
        <f>IF(ROUND(SUMPRODUCT(ABS('Historical Baseline'!C2:AE97-'Monthly Data'!C2:AE97))+SUMPRODUCT(ABS('Historical Baseline'!AH2:AJ97-'Monthly Data'!AH2:AJ97)),5)=0,"PASS — 96 MONTHS","FAIL — HISTORICAL DRIFT")</f>
        <v>PASS — 96 MONTHS</v>
      </c>
    </row>
    <row r="20" ht="17.25" customHeight="1">
      <c r="A20" s="199">
        <v>2027.0</v>
      </c>
      <c r="B20" s="199" t="s">
        <v>511</v>
      </c>
      <c r="C20" s="184">
        <f>SUMIF('Monthly Data'!$B$2:$B1004,A20,'Monthly Data'!$U$2:$U1004)</f>
        <v>200000000</v>
      </c>
      <c r="D20" s="199" t="s">
        <v>512</v>
      </c>
      <c r="M20" s="16" t="s">
        <v>513</v>
      </c>
      <c r="N20" s="27" t="str">
        <f>IF(ROUND(SUMPRODUCT(ABS('Historical Baseline'!AF2:AF97-'Monthly Data'!AF2:AF97)),5)=0,"PASS — HISTORICAL CASH","FAIL — CASH DRIFT")</f>
        <v>PASS — HISTORICAL CASH</v>
      </c>
    </row>
    <row r="21" ht="17.25" customHeight="1">
      <c r="A21" s="199">
        <v>2028.0</v>
      </c>
      <c r="B21" s="199" t="str">
        <f>IF($N$4="IPO in 2028","IPO","Growth equity")</f>
        <v>Growth equity</v>
      </c>
      <c r="C21" s="184">
        <f>SUMIF('Monthly Data'!$B$2:$B1004,A21,'Monthly Data'!$U$2:$U1004)</f>
        <v>225000000</v>
      </c>
      <c r="D21" s="199" t="str">
        <f>IF($N$4="IPO in 2028","Public offering (net)","Private scenario")</f>
        <v>Private scenario</v>
      </c>
      <c r="M21" s="16" t="s">
        <v>514</v>
      </c>
      <c r="N21" s="27" t="str">
        <f>IF(ROUND(SUMPRODUCT(ABS('Balance Sheet'!B31:P31))+SUMPRODUCT(ABS('Cash Flow'!B34:P34)),5)=0,"PASS — ALL 15 YEARS","FAIL — RECONCILIATION")</f>
        <v>PASS — ALL 15 YEARS</v>
      </c>
    </row>
    <row r="22" ht="17.25" customHeight="1">
      <c r="A22" s="199">
        <v>2029.0</v>
      </c>
      <c r="B22" s="199" t="str">
        <f>IF($N$4="IPO in 2029","IPO",IF(H10=0,"No financing",IF($N$4="IPO in 2028","Public follow-on","Growth equity")))</f>
        <v>No financing</v>
      </c>
      <c r="C22" s="184">
        <f>SUMIF('Monthly Data'!$B$2:$B1004,A22,'Monthly Data'!$U$2:$U1004)</f>
        <v>0</v>
      </c>
      <c r="D22" s="199" t="str">
        <f>IF($N$4="IPO in 2029","Public offering (net)",IF(H10=0,"No raise planned",IF($N$4="IPO in 2028","Public follow-on (net)","Private scenario")))</f>
        <v>No raise planned</v>
      </c>
      <c r="M22" s="16" t="s">
        <v>515</v>
      </c>
    </row>
    <row r="23" ht="17.25" customHeight="1">
      <c r="A23" s="199">
        <v>2030.0</v>
      </c>
      <c r="B23" s="199" t="s">
        <v>516</v>
      </c>
      <c r="C23" s="184">
        <f>SUMIF('Monthly Data'!$B$2:$B1004,A23,'Monthly Data'!$U$2:$U1004)</f>
        <v>0</v>
      </c>
      <c r="D23" s="199" t="s">
        <v>517</v>
      </c>
    </row>
    <row r="24" ht="17.25" customHeight="1">
      <c r="A24" s="199">
        <v>2031.0</v>
      </c>
      <c r="B24" s="199" t="s">
        <v>516</v>
      </c>
      <c r="C24" s="184">
        <f>SUMIF('Monthly Data'!$B$2:$B1004,A24,'Monthly Data'!$U$2:$U1004)</f>
        <v>0</v>
      </c>
      <c r="D24" s="199" t="s">
        <v>517</v>
      </c>
      <c r="M24" s="16" t="s">
        <v>518</v>
      </c>
    </row>
    <row r="25" ht="17.25" customHeight="1">
      <c r="A25" s="199">
        <v>2032.0</v>
      </c>
      <c r="B25" s="199" t="s">
        <v>516</v>
      </c>
      <c r="C25" s="184">
        <f>SUMIF('Monthly Data'!$B$2:$B1004,A25,'Monthly Data'!$U$2:$U1004)</f>
        <v>0</v>
      </c>
      <c r="D25" s="199" t="s">
        <v>517</v>
      </c>
      <c r="M25" s="200" t="s">
        <v>519</v>
      </c>
      <c r="N25" s="200" t="s">
        <v>520</v>
      </c>
      <c r="O25" s="200" t="s">
        <v>521</v>
      </c>
      <c r="P25" s="200" t="s">
        <v>522</v>
      </c>
    </row>
    <row r="26" ht="17.25" customHeight="1">
      <c r="A26" s="201"/>
      <c r="B26" s="38" t="s">
        <v>523</v>
      </c>
      <c r="C26" s="202">
        <f>SUM(C15:C25)</f>
        <v>780000000</v>
      </c>
      <c r="D26" s="201"/>
      <c r="M26" s="16" t="s">
        <v>524</v>
      </c>
      <c r="N26" s="84">
        <f>SUM('Monthly Data'!E98:G106)+SUM('Monthly Data'!AI98:AI106)</f>
        <v>105272579</v>
      </c>
      <c r="O26" s="84">
        <f>SUM('Monthly Data'!E107:G109)+SUM('Monthly Data'!AI107:AI109)</f>
        <v>40805529</v>
      </c>
      <c r="P26" s="84">
        <f t="shared" ref="P26:P34" si="4">SUM(N26:O26)</f>
        <v>146078108</v>
      </c>
    </row>
    <row r="27">
      <c r="M27" s="16" t="s">
        <v>525</v>
      </c>
      <c r="N27" s="84">
        <f>SUM('Monthly Data'!H98:K106)+SUM('Monthly Data'!AJ98:AJ106)</f>
        <v>35313254</v>
      </c>
      <c r="O27" s="84">
        <f>SUM('Monthly Data'!H107:K109)+SUM('Monthly Data'!AJ107:AJ109)</f>
        <v>12693251</v>
      </c>
      <c r="P27" s="84">
        <f t="shared" si="4"/>
        <v>48006505</v>
      </c>
    </row>
    <row r="28">
      <c r="M28" s="16" t="s">
        <v>167</v>
      </c>
      <c r="N28" s="84">
        <f>SUM('Monthly Data'!L98:M106)</f>
        <v>93826451</v>
      </c>
      <c r="O28" s="84">
        <f>SUM('Monthly Data'!L107:M109)</f>
        <v>30523500</v>
      </c>
      <c r="P28" s="84">
        <f t="shared" si="4"/>
        <v>124349951</v>
      </c>
    </row>
    <row r="29" ht="19.5" customHeight="1">
      <c r="A29" s="194" t="s">
        <v>526</v>
      </c>
      <c r="B29" s="194"/>
      <c r="C29" s="194"/>
      <c r="M29" s="16" t="s">
        <v>169</v>
      </c>
      <c r="N29" s="84">
        <f>SUM('Monthly Data'!N98:N106)</f>
        <v>34914210</v>
      </c>
      <c r="O29" s="84">
        <f>SUM('Monthly Data'!N107:N109)</f>
        <v>11640000</v>
      </c>
      <c r="P29" s="84">
        <f t="shared" si="4"/>
        <v>46554210</v>
      </c>
    </row>
    <row r="30">
      <c r="M30" s="16" t="s">
        <v>527</v>
      </c>
      <c r="N30" s="84">
        <f>SUM('Monthly Data'!O98:O106)</f>
        <v>32496318</v>
      </c>
      <c r="O30" s="84">
        <f>SUM('Monthly Data'!O107:O109)</f>
        <v>10758000</v>
      </c>
      <c r="P30" s="84">
        <f t="shared" si="4"/>
        <v>43254318</v>
      </c>
    </row>
    <row r="31" ht="24.75" customHeight="1">
      <c r="A31" s="196" t="s">
        <v>528</v>
      </c>
      <c r="B31" s="197" t="s">
        <v>529</v>
      </c>
      <c r="C31" s="196" t="s">
        <v>530</v>
      </c>
      <c r="M31" s="16" t="s">
        <v>531</v>
      </c>
      <c r="N31" s="84">
        <f>SUM('Monthly Data'!P98:Q106)</f>
        <v>16324116</v>
      </c>
      <c r="O31" s="84">
        <f>SUM('Monthly Data'!P107:Q109)</f>
        <v>5756418</v>
      </c>
      <c r="P31" s="84">
        <f t="shared" si="4"/>
        <v>22080534</v>
      </c>
    </row>
    <row r="32">
      <c r="A32" s="16" t="s">
        <v>532</v>
      </c>
      <c r="B32" s="203">
        <v>2.2E7</v>
      </c>
      <c r="C32" s="204">
        <f t="shared" ref="C32:C35" si="6">B32/SUM($B$32:$B$35)</f>
        <v>0.22</v>
      </c>
      <c r="M32" s="16" t="s">
        <v>533</v>
      </c>
      <c r="N32" s="84">
        <f t="shared" ref="N32:O32" si="5">N26-SUM(N27:N31)</f>
        <v>-107601770</v>
      </c>
      <c r="O32" s="84">
        <f t="shared" si="5"/>
        <v>-30565640</v>
      </c>
      <c r="P32" s="84">
        <f t="shared" si="4"/>
        <v>-138167410</v>
      </c>
    </row>
    <row r="33">
      <c r="A33" s="16" t="s">
        <v>534</v>
      </c>
      <c r="B33" s="203">
        <v>5.2E7</v>
      </c>
      <c r="C33" s="204">
        <f t="shared" si="6"/>
        <v>0.52</v>
      </c>
      <c r="M33" s="16" t="s">
        <v>535</v>
      </c>
      <c r="N33" s="84">
        <f>N32-SUM('Monthly Data'!R98:S106)</f>
        <v>-113785517</v>
      </c>
      <c r="O33" s="84">
        <f>O32-SUM('Monthly Data'!R107:S109)</f>
        <v>-32626889</v>
      </c>
      <c r="P33" s="84">
        <f t="shared" si="4"/>
        <v>-146412406</v>
      </c>
    </row>
    <row r="34">
      <c r="A34" s="16" t="s">
        <v>536</v>
      </c>
      <c r="B34" s="203">
        <v>1.4E7</v>
      </c>
      <c r="C34" s="204">
        <f t="shared" si="6"/>
        <v>0.14</v>
      </c>
      <c r="M34" s="16" t="s">
        <v>537</v>
      </c>
      <c r="N34" s="84">
        <f>SUM('Monthly Data'!U98:U106)</f>
        <v>155000000</v>
      </c>
      <c r="O34" s="84">
        <f>SUM('Monthly Data'!U107:U109)</f>
        <v>0</v>
      </c>
      <c r="P34" s="84">
        <f t="shared" si="4"/>
        <v>155000000</v>
      </c>
    </row>
    <row r="35">
      <c r="A35" s="16" t="s">
        <v>538</v>
      </c>
      <c r="B35" s="203">
        <v>1.2E7</v>
      </c>
      <c r="C35" s="204">
        <f t="shared" si="6"/>
        <v>0.12</v>
      </c>
      <c r="M35" s="16" t="s">
        <v>539</v>
      </c>
      <c r="N35" s="84">
        <f>'Monthly Data'!AF106</f>
        <v>101995973</v>
      </c>
      <c r="O35" s="84">
        <f>'Monthly Data'!AF109</f>
        <v>68427360</v>
      </c>
      <c r="P35" s="84">
        <f>O35</f>
        <v>68427360</v>
      </c>
    </row>
    <row r="36" ht="17.25" customHeight="1">
      <c r="A36" s="38" t="s">
        <v>540</v>
      </c>
      <c r="B36" s="205">
        <f t="shared" ref="B36:C36" si="7">SUM(B32:B35)</f>
        <v>100000000</v>
      </c>
      <c r="C36" s="206">
        <f t="shared" si="7"/>
        <v>1</v>
      </c>
      <c r="M36" s="16" t="s">
        <v>541</v>
      </c>
      <c r="N36" s="16">
        <v>9.0</v>
      </c>
      <c r="O36" s="16">
        <v>3.0</v>
      </c>
      <c r="P36" s="16">
        <v>12.0</v>
      </c>
    </row>
    <row r="38">
      <c r="M38" s="16" t="s">
        <v>542</v>
      </c>
      <c r="N38" s="207" t="s">
        <v>543</v>
      </c>
    </row>
    <row r="39">
      <c r="A39" s="208" t="s">
        <v>544</v>
      </c>
      <c r="B39" s="208" t="s">
        <v>474</v>
      </c>
      <c r="M39" s="16" t="s">
        <v>545</v>
      </c>
      <c r="N39" s="27">
        <f>COUNTIFS('Monthly Data'!$A$98:$A$109,"&gt;="&amp;DATE(2026,1,1),'Monthly Data'!$A$98:$A$109,"&lt;="&amp;DATE(2026,9,30))</f>
        <v>9</v>
      </c>
    </row>
    <row r="40">
      <c r="A40" s="16" t="s">
        <v>546</v>
      </c>
      <c r="B40" s="209">
        <f>'Workforce &amp; Expenses'!B7</f>
        <v>480</v>
      </c>
      <c r="M40" s="16" t="s">
        <v>547</v>
      </c>
      <c r="N40" s="27">
        <f>COUNTIFS('Monthly Data'!$A$98:$A$109,"&gt;"&amp;DATE(2026,9,30),'Monthly Data'!$A$98:$A$109,"&lt;="&amp;DATE(2026,12,31))</f>
        <v>3</v>
      </c>
    </row>
    <row r="41">
      <c r="A41" s="16" t="s">
        <v>548</v>
      </c>
      <c r="B41" s="209">
        <f>'Workforce &amp; Expenses'!B9</f>
        <v>835</v>
      </c>
      <c r="M41" s="16" t="s">
        <v>549</v>
      </c>
      <c r="N41" s="27" t="str">
        <f>IF(AND(N39=9,N40=3),"PASS — 9A / 3F","FAIL — PERIOD MIX")</f>
        <v>PASS — 9A / 3F</v>
      </c>
    </row>
    <row r="42">
      <c r="A42" s="16" t="s">
        <v>550</v>
      </c>
      <c r="B42" s="210">
        <f>'Workforce &amp; Expenses'!B8</f>
        <v>88606008</v>
      </c>
      <c r="M42" s="16" t="s">
        <v>551</v>
      </c>
    </row>
    <row r="43">
      <c r="A43" s="16" t="s">
        <v>552</v>
      </c>
      <c r="B43" s="210">
        <f>'Workforce &amp; Expenses'!B10</f>
        <v>176058677</v>
      </c>
    </row>
    <row r="44">
      <c r="A44" s="16" t="s">
        <v>553</v>
      </c>
      <c r="B44" s="16" t="s">
        <v>474</v>
      </c>
    </row>
    <row r="45">
      <c r="A45" s="16" t="s">
        <v>554</v>
      </c>
      <c r="B45" s="16" t="s">
        <v>474</v>
      </c>
    </row>
    <row r="46" hidden="1"/>
    <row r="47" hidden="1"/>
    <row r="48" hidden="1">
      <c r="A48" s="16" t="s">
        <v>555</v>
      </c>
    </row>
    <row r="49" hidden="1">
      <c r="A49" s="16" t="s">
        <v>556</v>
      </c>
    </row>
    <row r="50" hidden="1">
      <c r="A50" s="16" t="s">
        <v>2</v>
      </c>
      <c r="B50" s="16" t="s">
        <v>557</v>
      </c>
      <c r="C50" s="16" t="s">
        <v>558</v>
      </c>
      <c r="D50" s="16" t="s">
        <v>559</v>
      </c>
      <c r="E50" s="16" t="s">
        <v>560</v>
      </c>
      <c r="F50" s="16" t="s">
        <v>561</v>
      </c>
      <c r="G50" s="16" t="s">
        <v>562</v>
      </c>
      <c r="H50" s="16" t="s">
        <v>563</v>
      </c>
    </row>
    <row r="51" hidden="1">
      <c r="A51" s="16">
        <v>43101.0</v>
      </c>
      <c r="B51" s="27" t="str">
        <f t="shared" ref="B51:B58" si="8">IF(C51&gt;0,"Equity raise",IF(D51&gt;0,"Debt draw",IF(E51&gt;0,"Debt repayment","—")))</f>
        <v>Equity raise</v>
      </c>
      <c r="C51" s="16">
        <v>6000000.0</v>
      </c>
      <c r="D51" s="16">
        <v>0.0</v>
      </c>
      <c r="E51" s="16">
        <v>0.0</v>
      </c>
      <c r="F51" s="16">
        <v>0.0</v>
      </c>
      <c r="G51" s="16">
        <v>0.0</v>
      </c>
      <c r="H51" s="27">
        <f t="shared" ref="H51:H58" si="9">SUM($D$51:D51)-SUM($E$51:E51)</f>
        <v>0</v>
      </c>
    </row>
    <row r="52" hidden="1">
      <c r="A52" s="16">
        <v>43132.0</v>
      </c>
      <c r="B52" s="27" t="str">
        <f t="shared" si="8"/>
        <v>—</v>
      </c>
      <c r="C52" s="16">
        <v>0.0</v>
      </c>
      <c r="D52" s="16">
        <v>0.0</v>
      </c>
      <c r="E52" s="16">
        <v>0.0</v>
      </c>
      <c r="F52" s="16">
        <v>0.0</v>
      </c>
      <c r="G52" s="16">
        <v>0.0</v>
      </c>
      <c r="H52" s="27">
        <f t="shared" si="9"/>
        <v>0</v>
      </c>
    </row>
    <row r="53" hidden="1">
      <c r="A53" s="16">
        <v>43160.0</v>
      </c>
      <c r="B53" s="27" t="str">
        <f t="shared" si="8"/>
        <v>—</v>
      </c>
      <c r="C53" s="16">
        <v>0.0</v>
      </c>
      <c r="D53" s="16">
        <v>0.0</v>
      </c>
      <c r="E53" s="16">
        <v>0.0</v>
      </c>
      <c r="F53" s="16">
        <v>0.0</v>
      </c>
      <c r="G53" s="16">
        <v>0.0</v>
      </c>
      <c r="H53" s="27">
        <f t="shared" si="9"/>
        <v>0</v>
      </c>
    </row>
    <row r="54" hidden="1">
      <c r="A54" s="16">
        <v>43191.0</v>
      </c>
      <c r="B54" s="27" t="str">
        <f t="shared" si="8"/>
        <v>—</v>
      </c>
      <c r="C54" s="16">
        <v>0.0</v>
      </c>
      <c r="D54" s="16">
        <v>0.0</v>
      </c>
      <c r="E54" s="16">
        <v>0.0</v>
      </c>
      <c r="F54" s="16">
        <v>0.0</v>
      </c>
      <c r="G54" s="16">
        <v>0.0</v>
      </c>
      <c r="H54" s="27">
        <f t="shared" si="9"/>
        <v>0</v>
      </c>
    </row>
    <row r="55" hidden="1">
      <c r="A55" s="16">
        <v>43221.0</v>
      </c>
      <c r="B55" s="27" t="str">
        <f t="shared" si="8"/>
        <v>—</v>
      </c>
      <c r="C55" s="16">
        <v>0.0</v>
      </c>
      <c r="D55" s="16">
        <v>0.0</v>
      </c>
      <c r="E55" s="16">
        <v>0.0</v>
      </c>
      <c r="F55" s="16">
        <v>0.0</v>
      </c>
      <c r="G55" s="16">
        <v>0.0</v>
      </c>
      <c r="H55" s="27">
        <f t="shared" si="9"/>
        <v>0</v>
      </c>
    </row>
    <row r="56" hidden="1">
      <c r="A56" s="16">
        <v>43252.0</v>
      </c>
      <c r="B56" s="27" t="str">
        <f t="shared" si="8"/>
        <v>—</v>
      </c>
      <c r="C56" s="16">
        <v>0.0</v>
      </c>
      <c r="D56" s="16">
        <v>0.0</v>
      </c>
      <c r="E56" s="16">
        <v>0.0</v>
      </c>
      <c r="F56" s="16">
        <v>0.0</v>
      </c>
      <c r="G56" s="16">
        <v>0.0</v>
      </c>
      <c r="H56" s="27">
        <f t="shared" si="9"/>
        <v>0</v>
      </c>
    </row>
    <row r="57" hidden="1">
      <c r="A57" s="16">
        <v>43282.0</v>
      </c>
      <c r="B57" s="27" t="str">
        <f t="shared" si="8"/>
        <v>—</v>
      </c>
      <c r="C57" s="16">
        <v>0.0</v>
      </c>
      <c r="D57" s="16">
        <v>0.0</v>
      </c>
      <c r="E57" s="16">
        <v>0.0</v>
      </c>
      <c r="F57" s="16">
        <v>0.0</v>
      </c>
      <c r="G57" s="16">
        <v>0.0</v>
      </c>
      <c r="H57" s="27">
        <f t="shared" si="9"/>
        <v>0</v>
      </c>
    </row>
    <row r="58" hidden="1">
      <c r="A58" s="16">
        <v>43313.0</v>
      </c>
      <c r="B58" s="27" t="str">
        <f t="shared" si="8"/>
        <v>—</v>
      </c>
      <c r="C58" s="16">
        <v>0.0</v>
      </c>
      <c r="D58" s="16">
        <v>0.0</v>
      </c>
      <c r="E58" s="16">
        <v>0.0</v>
      </c>
      <c r="F58" s="16">
        <v>0.0</v>
      </c>
      <c r="G58" s="16">
        <v>0.0</v>
      </c>
      <c r="H58" s="27">
        <f t="shared" si="9"/>
        <v>0</v>
      </c>
    </row>
    <row r="59">
      <c r="A59" s="211" t="s">
        <v>564</v>
      </c>
      <c r="C59" s="212"/>
      <c r="E59" s="213"/>
      <c r="F59" s="213"/>
      <c r="G59" s="213"/>
      <c r="H59" s="87"/>
      <c r="I59" s="87"/>
      <c r="J59" s="87"/>
      <c r="K59" s="87"/>
      <c r="L59" s="87"/>
      <c r="M59" s="87"/>
      <c r="N59" s="87"/>
      <c r="O59" s="87"/>
      <c r="P59" s="87"/>
      <c r="Q59" s="87"/>
      <c r="R59" s="87"/>
      <c r="S59" s="87"/>
      <c r="T59" s="87"/>
      <c r="U59" s="87"/>
      <c r="V59" s="87"/>
    </row>
    <row r="60" ht="36.0" customHeight="1">
      <c r="A60" s="89" t="s">
        <v>2</v>
      </c>
      <c r="B60" s="89" t="s">
        <v>565</v>
      </c>
      <c r="C60" s="89" t="s">
        <v>566</v>
      </c>
      <c r="D60" s="89" t="s">
        <v>567</v>
      </c>
      <c r="E60" s="89" t="s">
        <v>568</v>
      </c>
      <c r="F60" s="89" t="s">
        <v>390</v>
      </c>
      <c r="G60" s="89" t="s">
        <v>569</v>
      </c>
      <c r="H60" s="89" t="s">
        <v>570</v>
      </c>
      <c r="I60" s="89" t="s">
        <v>571</v>
      </c>
      <c r="J60" s="89" t="s">
        <v>572</v>
      </c>
      <c r="K60" s="89" t="s">
        <v>573</v>
      </c>
      <c r="L60" s="89" t="s">
        <v>574</v>
      </c>
      <c r="M60" s="89" t="s">
        <v>575</v>
      </c>
      <c r="N60" s="89" t="s">
        <v>576</v>
      </c>
      <c r="O60" s="89" t="s">
        <v>577</v>
      </c>
      <c r="P60" s="89" t="s">
        <v>578</v>
      </c>
      <c r="Q60" s="89" t="s">
        <v>579</v>
      </c>
      <c r="R60" s="89" t="s">
        <v>580</v>
      </c>
      <c r="S60" s="89" t="s">
        <v>581</v>
      </c>
      <c r="T60" s="89" t="s">
        <v>582</v>
      </c>
      <c r="U60" s="89" t="s">
        <v>583</v>
      </c>
      <c r="V60" s="89" t="s">
        <v>584</v>
      </c>
    </row>
    <row r="61">
      <c r="A61" s="214">
        <f t="shared" ref="A61:A156" si="10">DATE(2018+INT((ROW()-61)/12),MOD(ROW()-61,12)+1,1)</f>
        <v>43101</v>
      </c>
      <c r="B61" s="91">
        <v>6000000.0</v>
      </c>
      <c r="C61" s="91">
        <v>0.0</v>
      </c>
      <c r="D61" s="91">
        <v>0.0</v>
      </c>
      <c r="E61" s="91">
        <v>22183.0</v>
      </c>
      <c r="F61" s="91">
        <v>3009.0</v>
      </c>
      <c r="G61" s="91">
        <v>2500.0</v>
      </c>
      <c r="H61" s="91">
        <v>0.0</v>
      </c>
      <c r="I61" s="91">
        <v>0.0</v>
      </c>
      <c r="J61" s="91">
        <v>0.0</v>
      </c>
      <c r="K61" s="91">
        <v>0.0</v>
      </c>
      <c r="L61" s="91">
        <v>0.0</v>
      </c>
      <c r="M61" s="91">
        <v>873.0</v>
      </c>
      <c r="N61" s="91">
        <v>8541.0</v>
      </c>
      <c r="O61" s="91">
        <v>0.0</v>
      </c>
      <c r="P61" s="91">
        <f>'Monthly Data'!AD2</f>
        <v>0</v>
      </c>
      <c r="Q61" s="215">
        <f>C61-D61</f>
        <v>0</v>
      </c>
      <c r="R61" s="215">
        <f t="shared" ref="R61:R165" si="11">ROUND(E61*0.6,0)</f>
        <v>13310</v>
      </c>
      <c r="S61" s="215">
        <f t="shared" ref="S61:S165" si="12">E61-R61</f>
        <v>8873</v>
      </c>
      <c r="T61" s="215">
        <f t="shared" ref="T61:T165" si="13">R61+S61</f>
        <v>22183</v>
      </c>
      <c r="U61" s="216">
        <v>0.0</v>
      </c>
      <c r="V61" s="215">
        <f t="shared" ref="V61:V165" si="14">Q61-U61</f>
        <v>0</v>
      </c>
    </row>
    <row r="62">
      <c r="A62" s="214">
        <f t="shared" si="10"/>
        <v>43132</v>
      </c>
      <c r="B62" s="91">
        <v>0.0</v>
      </c>
      <c r="C62" s="91">
        <v>0.0</v>
      </c>
      <c r="D62" s="91">
        <v>0.0</v>
      </c>
      <c r="E62" s="91">
        <v>22457.0</v>
      </c>
      <c r="F62" s="91">
        <v>3068.0</v>
      </c>
      <c r="G62" s="91">
        <v>2500.0</v>
      </c>
      <c r="H62" s="91">
        <v>0.0</v>
      </c>
      <c r="I62" s="91">
        <v>0.0</v>
      </c>
      <c r="J62" s="91">
        <v>0.0</v>
      </c>
      <c r="K62" s="91">
        <v>0.0</v>
      </c>
      <c r="L62" s="91">
        <v>0.0</v>
      </c>
      <c r="M62" s="91">
        <v>1723.0</v>
      </c>
      <c r="N62" s="91">
        <v>16859.0</v>
      </c>
      <c r="O62" s="91">
        <v>0.0</v>
      </c>
      <c r="P62" s="91">
        <f>'Monthly Data'!AD3</f>
        <v>0</v>
      </c>
      <c r="Q62" s="215">
        <f t="shared" ref="Q62:Q165" si="15">Q61+C62-D62</f>
        <v>0</v>
      </c>
      <c r="R62" s="215">
        <f t="shared" si="11"/>
        <v>13474</v>
      </c>
      <c r="S62" s="215">
        <f t="shared" si="12"/>
        <v>8983</v>
      </c>
      <c r="T62" s="215">
        <f t="shared" si="13"/>
        <v>22457</v>
      </c>
      <c r="U62" s="216">
        <v>0.0</v>
      </c>
      <c r="V62" s="215">
        <f t="shared" si="14"/>
        <v>0</v>
      </c>
    </row>
    <row r="63">
      <c r="A63" s="214">
        <f t="shared" si="10"/>
        <v>43160</v>
      </c>
      <c r="B63" s="91">
        <v>0.0</v>
      </c>
      <c r="C63" s="91">
        <v>0.0</v>
      </c>
      <c r="D63" s="91">
        <v>0.0</v>
      </c>
      <c r="E63" s="91">
        <v>55595.0</v>
      </c>
      <c r="F63" s="91">
        <v>3127.0</v>
      </c>
      <c r="G63" s="91">
        <v>2500.0</v>
      </c>
      <c r="H63" s="91">
        <v>0.0</v>
      </c>
      <c r="I63" s="91">
        <v>0.0</v>
      </c>
      <c r="J63" s="91">
        <v>0.0</v>
      </c>
      <c r="K63" s="91">
        <v>0.0</v>
      </c>
      <c r="L63" s="91">
        <v>0.0</v>
      </c>
      <c r="M63" s="91">
        <v>2533.0</v>
      </c>
      <c r="N63" s="91">
        <v>24790.0</v>
      </c>
      <c r="O63" s="91">
        <v>0.0</v>
      </c>
      <c r="P63" s="91">
        <f>'Monthly Data'!AD4</f>
        <v>0</v>
      </c>
      <c r="Q63" s="215">
        <f t="shared" si="15"/>
        <v>0</v>
      </c>
      <c r="R63" s="215">
        <f t="shared" si="11"/>
        <v>33357</v>
      </c>
      <c r="S63" s="215">
        <f t="shared" si="12"/>
        <v>22238</v>
      </c>
      <c r="T63" s="215">
        <f t="shared" si="13"/>
        <v>55595</v>
      </c>
      <c r="U63" s="216">
        <v>0.0</v>
      </c>
      <c r="V63" s="215">
        <f t="shared" si="14"/>
        <v>0</v>
      </c>
    </row>
    <row r="64">
      <c r="A64" s="214">
        <f t="shared" si="10"/>
        <v>43191</v>
      </c>
      <c r="B64" s="91">
        <v>0.0</v>
      </c>
      <c r="C64" s="91">
        <v>0.0</v>
      </c>
      <c r="D64" s="91">
        <v>0.0</v>
      </c>
      <c r="E64" s="91">
        <v>23005.0</v>
      </c>
      <c r="F64" s="91">
        <v>3186.0</v>
      </c>
      <c r="G64" s="91">
        <v>2500.0</v>
      </c>
      <c r="H64" s="91">
        <v>0.0</v>
      </c>
      <c r="I64" s="91">
        <v>0.0</v>
      </c>
      <c r="J64" s="91">
        <v>0.0</v>
      </c>
      <c r="K64" s="91">
        <v>0.0</v>
      </c>
      <c r="L64" s="91">
        <v>0.0</v>
      </c>
      <c r="M64" s="91">
        <v>3298.0</v>
      </c>
      <c r="N64" s="91">
        <v>32275.0</v>
      </c>
      <c r="O64" s="91">
        <v>0.0</v>
      </c>
      <c r="P64" s="91">
        <f>'Monthly Data'!AD5</f>
        <v>0</v>
      </c>
      <c r="Q64" s="215">
        <f t="shared" si="15"/>
        <v>0</v>
      </c>
      <c r="R64" s="215">
        <f t="shared" si="11"/>
        <v>13803</v>
      </c>
      <c r="S64" s="215">
        <f t="shared" si="12"/>
        <v>9202</v>
      </c>
      <c r="T64" s="215">
        <f t="shared" si="13"/>
        <v>23005</v>
      </c>
      <c r="U64" s="216">
        <v>0.0</v>
      </c>
      <c r="V64" s="215">
        <f t="shared" si="14"/>
        <v>0</v>
      </c>
    </row>
    <row r="65">
      <c r="A65" s="214">
        <f t="shared" si="10"/>
        <v>43221</v>
      </c>
      <c r="B65" s="91">
        <v>0.0</v>
      </c>
      <c r="C65" s="91">
        <v>0.0</v>
      </c>
      <c r="D65" s="91">
        <v>0.0</v>
      </c>
      <c r="E65" s="91">
        <v>23279.0</v>
      </c>
      <c r="F65" s="91">
        <v>3245.0</v>
      </c>
      <c r="G65" s="91">
        <v>2500.0</v>
      </c>
      <c r="H65" s="91">
        <v>0.0</v>
      </c>
      <c r="I65" s="91">
        <v>0.0</v>
      </c>
      <c r="J65" s="91">
        <v>0.0</v>
      </c>
      <c r="K65" s="91">
        <v>0.0</v>
      </c>
      <c r="L65" s="91">
        <v>0.0</v>
      </c>
      <c r="M65" s="91">
        <v>4023.0</v>
      </c>
      <c r="N65" s="91">
        <v>39374.0</v>
      </c>
      <c r="O65" s="91">
        <v>0.0</v>
      </c>
      <c r="P65" s="91">
        <f>'Monthly Data'!AD6</f>
        <v>0</v>
      </c>
      <c r="Q65" s="215">
        <f t="shared" si="15"/>
        <v>0</v>
      </c>
      <c r="R65" s="215">
        <f t="shared" si="11"/>
        <v>13967</v>
      </c>
      <c r="S65" s="215">
        <f t="shared" si="12"/>
        <v>9312</v>
      </c>
      <c r="T65" s="215">
        <f t="shared" si="13"/>
        <v>23279</v>
      </c>
      <c r="U65" s="216">
        <v>0.0</v>
      </c>
      <c r="V65" s="215">
        <f t="shared" si="14"/>
        <v>0</v>
      </c>
    </row>
    <row r="66">
      <c r="A66" s="214">
        <f t="shared" si="10"/>
        <v>43252</v>
      </c>
      <c r="B66" s="91">
        <v>0.0</v>
      </c>
      <c r="C66" s="91">
        <v>0.0</v>
      </c>
      <c r="D66" s="91">
        <v>0.0</v>
      </c>
      <c r="E66" s="91">
        <v>23552.0</v>
      </c>
      <c r="F66" s="91">
        <v>3304.0</v>
      </c>
      <c r="G66" s="91">
        <v>2500.0</v>
      </c>
      <c r="H66" s="91">
        <v>0.0</v>
      </c>
      <c r="I66" s="91">
        <v>0.0</v>
      </c>
      <c r="J66" s="91">
        <v>0.0</v>
      </c>
      <c r="K66" s="91">
        <v>0.0</v>
      </c>
      <c r="L66" s="91">
        <v>0.0</v>
      </c>
      <c r="M66" s="91">
        <v>4726.0</v>
      </c>
      <c r="N66" s="91">
        <v>46250.0</v>
      </c>
      <c r="O66" s="91">
        <v>0.0</v>
      </c>
      <c r="P66" s="91">
        <f>'Monthly Data'!AD7</f>
        <v>0</v>
      </c>
      <c r="Q66" s="215">
        <f t="shared" si="15"/>
        <v>0</v>
      </c>
      <c r="R66" s="215">
        <f t="shared" si="11"/>
        <v>14131</v>
      </c>
      <c r="S66" s="215">
        <f t="shared" si="12"/>
        <v>9421</v>
      </c>
      <c r="T66" s="215">
        <f t="shared" si="13"/>
        <v>23552</v>
      </c>
      <c r="U66" s="216">
        <v>0.0</v>
      </c>
      <c r="V66" s="215">
        <f t="shared" si="14"/>
        <v>0</v>
      </c>
    </row>
    <row r="67">
      <c r="A67" s="214">
        <f t="shared" si="10"/>
        <v>43282</v>
      </c>
      <c r="B67" s="91">
        <v>0.0</v>
      </c>
      <c r="C67" s="91">
        <v>0.0</v>
      </c>
      <c r="D67" s="91">
        <v>0.0</v>
      </c>
      <c r="E67" s="91">
        <v>23826.0</v>
      </c>
      <c r="F67" s="91">
        <v>3363.0</v>
      </c>
      <c r="G67" s="91">
        <v>2500.0</v>
      </c>
      <c r="H67" s="91">
        <v>0.0</v>
      </c>
      <c r="I67" s="91">
        <v>0.0</v>
      </c>
      <c r="J67" s="91">
        <v>0.0</v>
      </c>
      <c r="K67" s="91">
        <v>0.0</v>
      </c>
      <c r="L67" s="91">
        <v>0.0</v>
      </c>
      <c r="M67" s="91">
        <v>5429.0</v>
      </c>
      <c r="N67" s="91">
        <v>53126.0</v>
      </c>
      <c r="O67" s="91">
        <v>0.0</v>
      </c>
      <c r="P67" s="91">
        <f>'Monthly Data'!AD8</f>
        <v>0</v>
      </c>
      <c r="Q67" s="215">
        <f t="shared" si="15"/>
        <v>0</v>
      </c>
      <c r="R67" s="215">
        <f t="shared" si="11"/>
        <v>14296</v>
      </c>
      <c r="S67" s="215">
        <f t="shared" si="12"/>
        <v>9530</v>
      </c>
      <c r="T67" s="215">
        <f t="shared" si="13"/>
        <v>23826</v>
      </c>
      <c r="U67" s="216">
        <v>0.0</v>
      </c>
      <c r="V67" s="215">
        <f t="shared" si="14"/>
        <v>0</v>
      </c>
    </row>
    <row r="68">
      <c r="A68" s="214">
        <f t="shared" si="10"/>
        <v>43313</v>
      </c>
      <c r="B68" s="91">
        <v>0.0</v>
      </c>
      <c r="C68" s="91">
        <v>0.0</v>
      </c>
      <c r="D68" s="91">
        <v>0.0</v>
      </c>
      <c r="E68" s="91">
        <v>24100.0</v>
      </c>
      <c r="F68" s="91">
        <v>3422.0</v>
      </c>
      <c r="G68" s="91">
        <v>2500.0</v>
      </c>
      <c r="H68" s="91">
        <v>0.0</v>
      </c>
      <c r="I68" s="91">
        <v>0.0</v>
      </c>
      <c r="J68" s="91">
        <v>0.0</v>
      </c>
      <c r="K68" s="91">
        <v>0.0</v>
      </c>
      <c r="L68" s="91">
        <v>0.0</v>
      </c>
      <c r="M68" s="91">
        <v>6154.0</v>
      </c>
      <c r="N68" s="91">
        <v>60225.0</v>
      </c>
      <c r="O68" s="91">
        <v>0.0</v>
      </c>
      <c r="P68" s="91">
        <f>'Monthly Data'!AD9</f>
        <v>0</v>
      </c>
      <c r="Q68" s="215">
        <f t="shared" si="15"/>
        <v>0</v>
      </c>
      <c r="R68" s="215">
        <f t="shared" si="11"/>
        <v>14460</v>
      </c>
      <c r="S68" s="215">
        <f t="shared" si="12"/>
        <v>9640</v>
      </c>
      <c r="T68" s="215">
        <f t="shared" si="13"/>
        <v>24100</v>
      </c>
      <c r="U68" s="216">
        <v>0.0</v>
      </c>
      <c r="V68" s="215">
        <f t="shared" si="14"/>
        <v>0</v>
      </c>
    </row>
    <row r="69">
      <c r="A69" s="214">
        <f t="shared" si="10"/>
        <v>43344</v>
      </c>
      <c r="B69" s="91">
        <v>0.0</v>
      </c>
      <c r="C69" s="91">
        <v>0.0</v>
      </c>
      <c r="D69" s="91">
        <v>0.0</v>
      </c>
      <c r="E69" s="91">
        <v>57238.0</v>
      </c>
      <c r="F69" s="91">
        <v>3481.0</v>
      </c>
      <c r="G69" s="91">
        <v>2500.0</v>
      </c>
      <c r="H69" s="91">
        <v>0.0</v>
      </c>
      <c r="I69" s="91">
        <v>0.0</v>
      </c>
      <c r="J69" s="91">
        <v>0.0</v>
      </c>
      <c r="K69" s="91">
        <v>0.0</v>
      </c>
      <c r="L69" s="91">
        <v>0.0</v>
      </c>
      <c r="M69" s="91">
        <v>6919.0</v>
      </c>
      <c r="N69" s="91">
        <v>67710.0</v>
      </c>
      <c r="O69" s="91">
        <v>0.0</v>
      </c>
      <c r="P69" s="91">
        <f>'Monthly Data'!AD10</f>
        <v>0</v>
      </c>
      <c r="Q69" s="215">
        <f t="shared" si="15"/>
        <v>0</v>
      </c>
      <c r="R69" s="215">
        <f t="shared" si="11"/>
        <v>34343</v>
      </c>
      <c r="S69" s="215">
        <f t="shared" si="12"/>
        <v>22895</v>
      </c>
      <c r="T69" s="215">
        <f t="shared" si="13"/>
        <v>57238</v>
      </c>
      <c r="U69" s="216">
        <v>0.0</v>
      </c>
      <c r="V69" s="215">
        <f t="shared" si="14"/>
        <v>0</v>
      </c>
    </row>
    <row r="70">
      <c r="A70" s="214">
        <f t="shared" si="10"/>
        <v>43374</v>
      </c>
      <c r="B70" s="91">
        <v>0.0</v>
      </c>
      <c r="C70" s="91">
        <v>0.0</v>
      </c>
      <c r="D70" s="91">
        <v>0.0</v>
      </c>
      <c r="E70" s="91">
        <v>24648.0</v>
      </c>
      <c r="F70" s="91">
        <v>3540.0</v>
      </c>
      <c r="G70" s="91">
        <v>2500.0</v>
      </c>
      <c r="H70" s="91">
        <v>0.0</v>
      </c>
      <c r="I70" s="91">
        <v>0.0</v>
      </c>
      <c r="J70" s="91">
        <v>0.0</v>
      </c>
      <c r="K70" s="91">
        <v>0.0</v>
      </c>
      <c r="L70" s="91">
        <v>0.0</v>
      </c>
      <c r="M70" s="91">
        <v>7729.0</v>
      </c>
      <c r="N70" s="91">
        <v>75641.0</v>
      </c>
      <c r="O70" s="91">
        <v>0.0</v>
      </c>
      <c r="P70" s="91">
        <f>'Monthly Data'!AD11</f>
        <v>0</v>
      </c>
      <c r="Q70" s="215">
        <f t="shared" si="15"/>
        <v>0</v>
      </c>
      <c r="R70" s="215">
        <f t="shared" si="11"/>
        <v>14789</v>
      </c>
      <c r="S70" s="215">
        <f t="shared" si="12"/>
        <v>9859</v>
      </c>
      <c r="T70" s="215">
        <f t="shared" si="13"/>
        <v>24648</v>
      </c>
      <c r="U70" s="216">
        <v>0.0</v>
      </c>
      <c r="V70" s="215">
        <f t="shared" si="14"/>
        <v>0</v>
      </c>
    </row>
    <row r="71">
      <c r="A71" s="214">
        <f t="shared" si="10"/>
        <v>43405</v>
      </c>
      <c r="B71" s="91">
        <v>0.0</v>
      </c>
      <c r="C71" s="91">
        <v>0.0</v>
      </c>
      <c r="D71" s="91">
        <v>0.0</v>
      </c>
      <c r="E71" s="91">
        <v>24922.0</v>
      </c>
      <c r="F71" s="91">
        <v>3599.0</v>
      </c>
      <c r="G71" s="91">
        <v>2500.0</v>
      </c>
      <c r="H71" s="91">
        <v>0.0</v>
      </c>
      <c r="I71" s="91">
        <v>0.0</v>
      </c>
      <c r="J71" s="91">
        <v>0.0</v>
      </c>
      <c r="K71" s="91">
        <v>0.0</v>
      </c>
      <c r="L71" s="91">
        <v>0.0</v>
      </c>
      <c r="M71" s="91">
        <v>8579.0</v>
      </c>
      <c r="N71" s="91">
        <v>83959.0</v>
      </c>
      <c r="O71" s="91">
        <v>0.0</v>
      </c>
      <c r="P71" s="91">
        <f>'Monthly Data'!AD12</f>
        <v>0</v>
      </c>
      <c r="Q71" s="215">
        <f t="shared" si="15"/>
        <v>0</v>
      </c>
      <c r="R71" s="215">
        <f t="shared" si="11"/>
        <v>14953</v>
      </c>
      <c r="S71" s="215">
        <f t="shared" si="12"/>
        <v>9969</v>
      </c>
      <c r="T71" s="215">
        <f t="shared" si="13"/>
        <v>24922</v>
      </c>
      <c r="U71" s="216">
        <v>0.0</v>
      </c>
      <c r="V71" s="215">
        <f t="shared" si="14"/>
        <v>0</v>
      </c>
    </row>
    <row r="72">
      <c r="A72" s="214">
        <f t="shared" si="10"/>
        <v>43435</v>
      </c>
      <c r="B72" s="91">
        <v>0.0</v>
      </c>
      <c r="C72" s="91">
        <v>0.0</v>
      </c>
      <c r="D72" s="91">
        <v>0.0</v>
      </c>
      <c r="E72" s="91">
        <v>25195.0</v>
      </c>
      <c r="F72" s="91">
        <v>3656.0</v>
      </c>
      <c r="G72" s="91">
        <v>2500.0</v>
      </c>
      <c r="H72" s="91">
        <v>0.0</v>
      </c>
      <c r="I72" s="91">
        <v>0.0</v>
      </c>
      <c r="J72" s="91">
        <v>0.0</v>
      </c>
      <c r="K72" s="91">
        <v>0.0</v>
      </c>
      <c r="L72" s="91">
        <v>0.0</v>
      </c>
      <c r="M72" s="91">
        <v>9452.0</v>
      </c>
      <c r="N72" s="91">
        <v>92500.0</v>
      </c>
      <c r="O72" s="91">
        <v>0.0</v>
      </c>
      <c r="P72" s="91">
        <f>'Monthly Data'!AD13</f>
        <v>0</v>
      </c>
      <c r="Q72" s="215">
        <f t="shared" si="15"/>
        <v>0</v>
      </c>
      <c r="R72" s="215">
        <f t="shared" si="11"/>
        <v>15117</v>
      </c>
      <c r="S72" s="215">
        <f t="shared" si="12"/>
        <v>10078</v>
      </c>
      <c r="T72" s="215">
        <f t="shared" si="13"/>
        <v>25195</v>
      </c>
      <c r="U72" s="216">
        <v>0.0</v>
      </c>
      <c r="V72" s="215">
        <f t="shared" si="14"/>
        <v>0</v>
      </c>
    </row>
    <row r="73">
      <c r="A73" s="214">
        <f t="shared" si="10"/>
        <v>43466</v>
      </c>
      <c r="B73" s="91">
        <v>0.0</v>
      </c>
      <c r="C73" s="91">
        <v>0.0</v>
      </c>
      <c r="D73" s="91">
        <v>0.0</v>
      </c>
      <c r="E73" s="91">
        <v>47535.0</v>
      </c>
      <c r="F73" s="91">
        <v>7522.0</v>
      </c>
      <c r="G73" s="91">
        <v>10000.0</v>
      </c>
      <c r="H73" s="91">
        <v>0.0</v>
      </c>
      <c r="I73" s="91">
        <v>0.0</v>
      </c>
      <c r="J73" s="91">
        <v>4047.0</v>
      </c>
      <c r="K73" s="91">
        <v>0.0</v>
      </c>
      <c r="L73" s="91">
        <v>1847.0</v>
      </c>
      <c r="M73" s="91">
        <v>12007.0</v>
      </c>
      <c r="N73" s="91">
        <v>99750.0</v>
      </c>
      <c r="O73" s="91">
        <v>3693.0</v>
      </c>
      <c r="P73" s="91">
        <f>'Monthly Data'!AD14</f>
        <v>0</v>
      </c>
      <c r="Q73" s="215">
        <f t="shared" si="15"/>
        <v>0</v>
      </c>
      <c r="R73" s="215">
        <f t="shared" si="11"/>
        <v>28521</v>
      </c>
      <c r="S73" s="215">
        <f t="shared" si="12"/>
        <v>19014</v>
      </c>
      <c r="T73" s="215">
        <f t="shared" si="13"/>
        <v>47535</v>
      </c>
      <c r="U73" s="216">
        <v>0.0</v>
      </c>
      <c r="V73" s="215">
        <f t="shared" si="14"/>
        <v>0</v>
      </c>
    </row>
    <row r="74">
      <c r="A74" s="214">
        <f t="shared" si="10"/>
        <v>43497</v>
      </c>
      <c r="B74" s="91">
        <v>0.0</v>
      </c>
      <c r="C74" s="91">
        <v>0.0</v>
      </c>
      <c r="D74" s="91">
        <v>0.0</v>
      </c>
      <c r="E74" s="91">
        <v>48122.0</v>
      </c>
      <c r="F74" s="91">
        <v>7670.0</v>
      </c>
      <c r="G74" s="91">
        <v>10000.0</v>
      </c>
      <c r="H74" s="91">
        <v>0.0</v>
      </c>
      <c r="I74" s="91">
        <v>0.0</v>
      </c>
      <c r="J74" s="91">
        <v>7989.0</v>
      </c>
      <c r="K74" s="91">
        <v>0.0</v>
      </c>
      <c r="L74" s="91">
        <v>3645.0</v>
      </c>
      <c r="M74" s="91">
        <v>14474.0</v>
      </c>
      <c r="N74" s="91">
        <v>106609.0</v>
      </c>
      <c r="O74" s="91">
        <v>7290.0</v>
      </c>
      <c r="P74" s="91">
        <f>'Monthly Data'!AD15</f>
        <v>0</v>
      </c>
      <c r="Q74" s="215">
        <f t="shared" si="15"/>
        <v>0</v>
      </c>
      <c r="R74" s="215">
        <f t="shared" si="11"/>
        <v>28873</v>
      </c>
      <c r="S74" s="215">
        <f t="shared" si="12"/>
        <v>19249</v>
      </c>
      <c r="T74" s="215">
        <f t="shared" si="13"/>
        <v>48122</v>
      </c>
      <c r="U74" s="216">
        <v>0.0</v>
      </c>
      <c r="V74" s="215">
        <f t="shared" si="14"/>
        <v>0</v>
      </c>
    </row>
    <row r="75">
      <c r="A75" s="214">
        <f t="shared" si="10"/>
        <v>43525</v>
      </c>
      <c r="B75" s="91">
        <v>0.0</v>
      </c>
      <c r="C75" s="91">
        <v>0.0</v>
      </c>
      <c r="D75" s="91">
        <v>0.0</v>
      </c>
      <c r="E75" s="91">
        <v>119131.0</v>
      </c>
      <c r="F75" s="91">
        <v>7817.0</v>
      </c>
      <c r="G75" s="91">
        <v>10000.0</v>
      </c>
      <c r="H75" s="91">
        <v>0.0</v>
      </c>
      <c r="I75" s="91">
        <v>0.0</v>
      </c>
      <c r="J75" s="91">
        <v>11748.0</v>
      </c>
      <c r="K75" s="91">
        <v>0.0</v>
      </c>
      <c r="L75" s="91">
        <v>5360.0</v>
      </c>
      <c r="M75" s="91">
        <v>16790.0</v>
      </c>
      <c r="N75" s="91">
        <v>112791.0</v>
      </c>
      <c r="O75" s="91">
        <v>10720.0</v>
      </c>
      <c r="P75" s="91">
        <f>'Monthly Data'!AD16</f>
        <v>0</v>
      </c>
      <c r="Q75" s="215">
        <f t="shared" si="15"/>
        <v>0</v>
      </c>
      <c r="R75" s="215">
        <f t="shared" si="11"/>
        <v>71479</v>
      </c>
      <c r="S75" s="215">
        <f t="shared" si="12"/>
        <v>47652</v>
      </c>
      <c r="T75" s="215">
        <f t="shared" si="13"/>
        <v>119131</v>
      </c>
      <c r="U75" s="216">
        <v>0.0</v>
      </c>
      <c r="V75" s="215">
        <f t="shared" si="14"/>
        <v>0</v>
      </c>
    </row>
    <row r="76">
      <c r="A76" s="214">
        <f t="shared" si="10"/>
        <v>43556</v>
      </c>
      <c r="B76" s="91">
        <v>0.0</v>
      </c>
      <c r="C76" s="91">
        <v>0.0</v>
      </c>
      <c r="D76" s="91">
        <v>0.0</v>
      </c>
      <c r="E76" s="91">
        <v>49296.0</v>
      </c>
      <c r="F76" s="91">
        <v>7965.0</v>
      </c>
      <c r="G76" s="91">
        <v>10000.0</v>
      </c>
      <c r="H76" s="91">
        <v>0.0</v>
      </c>
      <c r="I76" s="91">
        <v>0.0</v>
      </c>
      <c r="J76" s="91">
        <v>15295.0</v>
      </c>
      <c r="K76" s="91">
        <v>0.0</v>
      </c>
      <c r="L76" s="91">
        <v>6978.0</v>
      </c>
      <c r="M76" s="91">
        <v>18932.0</v>
      </c>
      <c r="N76" s="91">
        <v>118192.0</v>
      </c>
      <c r="O76" s="91">
        <v>13957.0</v>
      </c>
      <c r="P76" s="91">
        <f>'Monthly Data'!AD17</f>
        <v>0</v>
      </c>
      <c r="Q76" s="215">
        <f t="shared" si="15"/>
        <v>0</v>
      </c>
      <c r="R76" s="215">
        <f t="shared" si="11"/>
        <v>29578</v>
      </c>
      <c r="S76" s="215">
        <f t="shared" si="12"/>
        <v>19718</v>
      </c>
      <c r="T76" s="215">
        <f t="shared" si="13"/>
        <v>49296</v>
      </c>
      <c r="U76" s="216">
        <v>0.0</v>
      </c>
      <c r="V76" s="215">
        <f t="shared" si="14"/>
        <v>0</v>
      </c>
    </row>
    <row r="77">
      <c r="A77" s="214">
        <f t="shared" si="10"/>
        <v>43586</v>
      </c>
      <c r="B77" s="91">
        <v>0.0</v>
      </c>
      <c r="C77" s="91">
        <v>0.0</v>
      </c>
      <c r="D77" s="91">
        <v>0.0</v>
      </c>
      <c r="E77" s="91">
        <v>49883.0</v>
      </c>
      <c r="F77" s="91">
        <v>8112.0</v>
      </c>
      <c r="G77" s="91">
        <v>10000.0</v>
      </c>
      <c r="H77" s="91">
        <v>0.0</v>
      </c>
      <c r="I77" s="91">
        <v>0.0</v>
      </c>
      <c r="J77" s="91">
        <v>18659.0</v>
      </c>
      <c r="K77" s="91">
        <v>0.0</v>
      </c>
      <c r="L77" s="91">
        <v>8513.0</v>
      </c>
      <c r="M77" s="91">
        <v>20922.0</v>
      </c>
      <c r="N77" s="91">
        <v>122916.0</v>
      </c>
      <c r="O77" s="91">
        <v>17027.0</v>
      </c>
      <c r="P77" s="91">
        <f>'Monthly Data'!AD18</f>
        <v>0</v>
      </c>
      <c r="Q77" s="215">
        <f t="shared" si="15"/>
        <v>0</v>
      </c>
      <c r="R77" s="215">
        <f t="shared" si="11"/>
        <v>29930</v>
      </c>
      <c r="S77" s="215">
        <f t="shared" si="12"/>
        <v>19953</v>
      </c>
      <c r="T77" s="215">
        <f t="shared" si="13"/>
        <v>49883</v>
      </c>
      <c r="U77" s="216">
        <v>0.0</v>
      </c>
      <c r="V77" s="215">
        <f t="shared" si="14"/>
        <v>0</v>
      </c>
    </row>
    <row r="78">
      <c r="A78" s="214">
        <f t="shared" si="10"/>
        <v>43617</v>
      </c>
      <c r="B78" s="91">
        <v>0.0</v>
      </c>
      <c r="C78" s="91">
        <v>0.0</v>
      </c>
      <c r="D78" s="91">
        <v>0.0</v>
      </c>
      <c r="E78" s="91">
        <v>50469.0</v>
      </c>
      <c r="F78" s="91">
        <v>8260.0</v>
      </c>
      <c r="G78" s="91">
        <v>10000.0</v>
      </c>
      <c r="H78" s="91">
        <v>0.0</v>
      </c>
      <c r="I78" s="91">
        <v>0.0</v>
      </c>
      <c r="J78" s="91">
        <v>21918.0</v>
      </c>
      <c r="K78" s="91">
        <v>0.0</v>
      </c>
      <c r="L78" s="91">
        <v>10000.0</v>
      </c>
      <c r="M78" s="91">
        <v>22825.0</v>
      </c>
      <c r="N78" s="91">
        <v>127250.0</v>
      </c>
      <c r="O78" s="91">
        <v>20000.0</v>
      </c>
      <c r="P78" s="91">
        <f>'Monthly Data'!AD19</f>
        <v>0</v>
      </c>
      <c r="Q78" s="215">
        <f t="shared" si="15"/>
        <v>0</v>
      </c>
      <c r="R78" s="215">
        <f t="shared" si="11"/>
        <v>30281</v>
      </c>
      <c r="S78" s="215">
        <f t="shared" si="12"/>
        <v>20188</v>
      </c>
      <c r="T78" s="215">
        <f t="shared" si="13"/>
        <v>50469</v>
      </c>
      <c r="U78" s="216">
        <v>0.0</v>
      </c>
      <c r="V78" s="215">
        <f t="shared" si="14"/>
        <v>0</v>
      </c>
    </row>
    <row r="79">
      <c r="A79" s="214">
        <f t="shared" si="10"/>
        <v>43647</v>
      </c>
      <c r="B79" s="91">
        <v>0.0</v>
      </c>
      <c r="C79" s="91">
        <v>0.0</v>
      </c>
      <c r="D79" s="91">
        <v>0.0</v>
      </c>
      <c r="E79" s="91">
        <v>51056.0</v>
      </c>
      <c r="F79" s="91">
        <v>8407.0</v>
      </c>
      <c r="G79" s="91">
        <v>10000.0</v>
      </c>
      <c r="H79" s="91">
        <v>0.0</v>
      </c>
      <c r="I79" s="91">
        <v>0.0</v>
      </c>
      <c r="J79" s="91">
        <v>25176.0</v>
      </c>
      <c r="K79" s="91">
        <v>0.0</v>
      </c>
      <c r="L79" s="91">
        <v>11487.0</v>
      </c>
      <c r="M79" s="91">
        <v>24728.0</v>
      </c>
      <c r="N79" s="91">
        <v>131584.0</v>
      </c>
      <c r="O79" s="91">
        <v>22973.0</v>
      </c>
      <c r="P79" s="91">
        <f>'Monthly Data'!AD20</f>
        <v>0</v>
      </c>
      <c r="Q79" s="215">
        <f t="shared" si="15"/>
        <v>0</v>
      </c>
      <c r="R79" s="215">
        <f t="shared" si="11"/>
        <v>30634</v>
      </c>
      <c r="S79" s="215">
        <f t="shared" si="12"/>
        <v>20422</v>
      </c>
      <c r="T79" s="215">
        <f t="shared" si="13"/>
        <v>51056</v>
      </c>
      <c r="U79" s="216">
        <v>0.0</v>
      </c>
      <c r="V79" s="215">
        <f t="shared" si="14"/>
        <v>0</v>
      </c>
    </row>
    <row r="80">
      <c r="A80" s="214">
        <f t="shared" si="10"/>
        <v>43678</v>
      </c>
      <c r="B80" s="91">
        <v>0.0</v>
      </c>
      <c r="C80" s="91">
        <v>0.0</v>
      </c>
      <c r="D80" s="91">
        <v>0.0</v>
      </c>
      <c r="E80" s="91">
        <v>51643.0</v>
      </c>
      <c r="F80" s="91">
        <v>8555.0</v>
      </c>
      <c r="G80" s="91">
        <v>10000.0</v>
      </c>
      <c r="H80" s="91">
        <v>0.0</v>
      </c>
      <c r="I80" s="91">
        <v>0.0</v>
      </c>
      <c r="J80" s="91">
        <v>28540.0</v>
      </c>
      <c r="K80" s="91">
        <v>0.0</v>
      </c>
      <c r="L80" s="91">
        <v>13022.0</v>
      </c>
      <c r="M80" s="91">
        <v>26719.0</v>
      </c>
      <c r="N80" s="91">
        <v>136308.0</v>
      </c>
      <c r="O80" s="91">
        <v>26043.0</v>
      </c>
      <c r="P80" s="91">
        <f>'Monthly Data'!AD21</f>
        <v>0</v>
      </c>
      <c r="Q80" s="215">
        <f t="shared" si="15"/>
        <v>0</v>
      </c>
      <c r="R80" s="215">
        <f t="shared" si="11"/>
        <v>30986</v>
      </c>
      <c r="S80" s="215">
        <f t="shared" si="12"/>
        <v>20657</v>
      </c>
      <c r="T80" s="215">
        <f t="shared" si="13"/>
        <v>51643</v>
      </c>
      <c r="U80" s="216">
        <v>0.0</v>
      </c>
      <c r="V80" s="215">
        <f t="shared" si="14"/>
        <v>0</v>
      </c>
    </row>
    <row r="81">
      <c r="A81" s="214">
        <f t="shared" si="10"/>
        <v>43709</v>
      </c>
      <c r="B81" s="91">
        <v>0.0</v>
      </c>
      <c r="C81" s="91">
        <v>0.0</v>
      </c>
      <c r="D81" s="91">
        <v>0.0</v>
      </c>
      <c r="E81" s="91">
        <v>122653.0</v>
      </c>
      <c r="F81" s="91">
        <v>8702.0</v>
      </c>
      <c r="G81" s="91">
        <v>10000.0</v>
      </c>
      <c r="H81" s="91">
        <v>0.0</v>
      </c>
      <c r="I81" s="91">
        <v>0.0</v>
      </c>
      <c r="J81" s="91">
        <v>32088.0</v>
      </c>
      <c r="K81" s="91">
        <v>0.0</v>
      </c>
      <c r="L81" s="91">
        <v>14640.0</v>
      </c>
      <c r="M81" s="91">
        <v>28860.0</v>
      </c>
      <c r="N81" s="91">
        <v>141709.0</v>
      </c>
      <c r="O81" s="91">
        <v>29280.0</v>
      </c>
      <c r="P81" s="91">
        <f>'Monthly Data'!AD22</f>
        <v>0</v>
      </c>
      <c r="Q81" s="215">
        <f t="shared" si="15"/>
        <v>0</v>
      </c>
      <c r="R81" s="215">
        <f t="shared" si="11"/>
        <v>73592</v>
      </c>
      <c r="S81" s="215">
        <f t="shared" si="12"/>
        <v>49061</v>
      </c>
      <c r="T81" s="215">
        <f t="shared" si="13"/>
        <v>122653</v>
      </c>
      <c r="U81" s="216">
        <v>0.0</v>
      </c>
      <c r="V81" s="215">
        <f t="shared" si="14"/>
        <v>0</v>
      </c>
    </row>
    <row r="82">
      <c r="A82" s="214">
        <f t="shared" si="10"/>
        <v>43739</v>
      </c>
      <c r="B82" s="91">
        <v>0.0</v>
      </c>
      <c r="C82" s="91">
        <v>0.0</v>
      </c>
      <c r="D82" s="91">
        <v>0.0</v>
      </c>
      <c r="E82" s="91">
        <v>52817.0</v>
      </c>
      <c r="F82" s="91">
        <v>8850.0</v>
      </c>
      <c r="G82" s="91">
        <v>10000.0</v>
      </c>
      <c r="H82" s="91">
        <v>0.0</v>
      </c>
      <c r="I82" s="91">
        <v>0.0</v>
      </c>
      <c r="J82" s="91">
        <v>35846.0</v>
      </c>
      <c r="K82" s="91">
        <v>0.0</v>
      </c>
      <c r="L82" s="91">
        <v>16355.0</v>
      </c>
      <c r="M82" s="91">
        <v>31177.0</v>
      </c>
      <c r="N82" s="91">
        <v>147891.0</v>
      </c>
      <c r="O82" s="91">
        <v>32710.0</v>
      </c>
      <c r="P82" s="91">
        <f>'Monthly Data'!AD23</f>
        <v>0</v>
      </c>
      <c r="Q82" s="215">
        <f t="shared" si="15"/>
        <v>0</v>
      </c>
      <c r="R82" s="215">
        <f t="shared" si="11"/>
        <v>31690</v>
      </c>
      <c r="S82" s="215">
        <f t="shared" si="12"/>
        <v>21127</v>
      </c>
      <c r="T82" s="215">
        <f t="shared" si="13"/>
        <v>52817</v>
      </c>
      <c r="U82" s="216">
        <v>0.0</v>
      </c>
      <c r="V82" s="215">
        <f t="shared" si="14"/>
        <v>0</v>
      </c>
    </row>
    <row r="83">
      <c r="A83" s="214">
        <f t="shared" si="10"/>
        <v>43770</v>
      </c>
      <c r="B83" s="91">
        <v>0.0</v>
      </c>
      <c r="C83" s="91">
        <v>0.0</v>
      </c>
      <c r="D83" s="91">
        <v>0.0</v>
      </c>
      <c r="E83" s="91">
        <v>53404.0</v>
      </c>
      <c r="F83" s="91">
        <v>8997.0</v>
      </c>
      <c r="G83" s="91">
        <v>10000.0</v>
      </c>
      <c r="H83" s="91">
        <v>0.0</v>
      </c>
      <c r="I83" s="91">
        <v>0.0</v>
      </c>
      <c r="J83" s="91">
        <v>39788.0</v>
      </c>
      <c r="K83" s="91">
        <v>0.0</v>
      </c>
      <c r="L83" s="91">
        <v>18153.0</v>
      </c>
      <c r="M83" s="91">
        <v>33644.0</v>
      </c>
      <c r="N83" s="91">
        <v>154750.0</v>
      </c>
      <c r="O83" s="91">
        <v>36307.0</v>
      </c>
      <c r="P83" s="91">
        <f>'Monthly Data'!AD24</f>
        <v>0</v>
      </c>
      <c r="Q83" s="215">
        <f t="shared" si="15"/>
        <v>0</v>
      </c>
      <c r="R83" s="215">
        <f t="shared" si="11"/>
        <v>32042</v>
      </c>
      <c r="S83" s="215">
        <f t="shared" si="12"/>
        <v>21362</v>
      </c>
      <c r="T83" s="215">
        <f t="shared" si="13"/>
        <v>53404</v>
      </c>
      <c r="U83" s="216">
        <v>0.0</v>
      </c>
      <c r="V83" s="215">
        <f t="shared" si="14"/>
        <v>0</v>
      </c>
    </row>
    <row r="84">
      <c r="A84" s="214">
        <f t="shared" si="10"/>
        <v>43800</v>
      </c>
      <c r="B84" s="91">
        <v>0.0</v>
      </c>
      <c r="C84" s="91">
        <v>0.0</v>
      </c>
      <c r="D84" s="91">
        <v>0.0</v>
      </c>
      <c r="E84" s="91">
        <v>53991.0</v>
      </c>
      <c r="F84" s="91">
        <v>9143.0</v>
      </c>
      <c r="G84" s="91">
        <v>10000.0</v>
      </c>
      <c r="H84" s="91">
        <v>0.0</v>
      </c>
      <c r="I84" s="91">
        <v>0.0</v>
      </c>
      <c r="J84" s="91">
        <v>43836.0</v>
      </c>
      <c r="K84" s="91">
        <v>0.0</v>
      </c>
      <c r="L84" s="91">
        <v>20000.0</v>
      </c>
      <c r="M84" s="91">
        <v>36199.0</v>
      </c>
      <c r="N84" s="91">
        <v>162000.0</v>
      </c>
      <c r="O84" s="91">
        <v>40000.0</v>
      </c>
      <c r="P84" s="91">
        <f>'Monthly Data'!AD25</f>
        <v>0</v>
      </c>
      <c r="Q84" s="215">
        <f t="shared" si="15"/>
        <v>0</v>
      </c>
      <c r="R84" s="215">
        <f t="shared" si="11"/>
        <v>32395</v>
      </c>
      <c r="S84" s="215">
        <f t="shared" si="12"/>
        <v>21596</v>
      </c>
      <c r="T84" s="215">
        <f t="shared" si="13"/>
        <v>53991</v>
      </c>
      <c r="U84" s="216">
        <v>0.0</v>
      </c>
      <c r="V84" s="215">
        <f t="shared" si="14"/>
        <v>0</v>
      </c>
    </row>
    <row r="85">
      <c r="A85" s="214">
        <f t="shared" si="10"/>
        <v>43831</v>
      </c>
      <c r="B85" s="91">
        <v>0.0</v>
      </c>
      <c r="C85" s="91">
        <v>0.0</v>
      </c>
      <c r="D85" s="91">
        <v>0.0</v>
      </c>
      <c r="E85" s="91">
        <v>79225.0</v>
      </c>
      <c r="F85" s="91">
        <v>18053.0</v>
      </c>
      <c r="G85" s="91">
        <v>20000.0</v>
      </c>
      <c r="H85" s="91">
        <v>0.0</v>
      </c>
      <c r="I85" s="91">
        <v>0.0</v>
      </c>
      <c r="J85" s="91">
        <v>53337.0</v>
      </c>
      <c r="K85" s="91">
        <v>0.0</v>
      </c>
      <c r="L85" s="91">
        <v>24335.0</v>
      </c>
      <c r="M85" s="91">
        <v>43503.0</v>
      </c>
      <c r="N85" s="91">
        <v>178555.0</v>
      </c>
      <c r="O85" s="91">
        <v>51071.0</v>
      </c>
      <c r="P85" s="91">
        <f>'Monthly Data'!AD26</f>
        <v>0</v>
      </c>
      <c r="Q85" s="215">
        <f t="shared" si="15"/>
        <v>0</v>
      </c>
      <c r="R85" s="215">
        <f t="shared" si="11"/>
        <v>47535</v>
      </c>
      <c r="S85" s="215">
        <f t="shared" si="12"/>
        <v>31690</v>
      </c>
      <c r="T85" s="215">
        <f t="shared" si="13"/>
        <v>79225</v>
      </c>
      <c r="U85" s="216">
        <v>0.0</v>
      </c>
      <c r="V85" s="215">
        <f t="shared" si="14"/>
        <v>0</v>
      </c>
    </row>
    <row r="86">
      <c r="A86" s="214">
        <f t="shared" si="10"/>
        <v>43862</v>
      </c>
      <c r="B86" s="91">
        <v>0.0</v>
      </c>
      <c r="C86" s="91">
        <v>0.0</v>
      </c>
      <c r="D86" s="91">
        <v>0.0</v>
      </c>
      <c r="E86" s="91">
        <v>80203.0</v>
      </c>
      <c r="F86" s="91">
        <v>18407.0</v>
      </c>
      <c r="G86" s="91">
        <v>20000.0</v>
      </c>
      <c r="H86" s="91">
        <v>0.0</v>
      </c>
      <c r="I86" s="91">
        <v>0.0</v>
      </c>
      <c r="J86" s="91">
        <v>62495.0</v>
      </c>
      <c r="K86" s="91">
        <v>0.0</v>
      </c>
      <c r="L86" s="91">
        <v>28513.0</v>
      </c>
      <c r="M86" s="91">
        <v>50538.0</v>
      </c>
      <c r="N86" s="91">
        <v>194324.0</v>
      </c>
      <c r="O86" s="91">
        <v>61765.0</v>
      </c>
      <c r="P86" s="91">
        <f>'Monthly Data'!AD27</f>
        <v>0</v>
      </c>
      <c r="Q86" s="215">
        <f t="shared" si="15"/>
        <v>0</v>
      </c>
      <c r="R86" s="215">
        <f t="shared" si="11"/>
        <v>48122</v>
      </c>
      <c r="S86" s="215">
        <f t="shared" si="12"/>
        <v>32081</v>
      </c>
      <c r="T86" s="215">
        <f t="shared" si="13"/>
        <v>80203</v>
      </c>
      <c r="U86" s="216">
        <v>0.0</v>
      </c>
      <c r="V86" s="215">
        <f t="shared" si="14"/>
        <v>0</v>
      </c>
    </row>
    <row r="87">
      <c r="A87" s="214">
        <f t="shared" si="10"/>
        <v>43891</v>
      </c>
      <c r="B87" s="91">
        <v>2.4E7</v>
      </c>
      <c r="C87" s="91">
        <v>0.0</v>
      </c>
      <c r="D87" s="91">
        <v>0.0</v>
      </c>
      <c r="E87" s="91">
        <v>198552.0</v>
      </c>
      <c r="F87" s="91">
        <v>18761.0</v>
      </c>
      <c r="G87" s="91">
        <v>20000.0</v>
      </c>
      <c r="H87" s="91">
        <v>0.0</v>
      </c>
      <c r="I87" s="91">
        <v>0.0</v>
      </c>
      <c r="J87" s="91">
        <v>71058.0</v>
      </c>
      <c r="K87" s="91">
        <v>0.0</v>
      </c>
      <c r="L87" s="91">
        <v>32420.0</v>
      </c>
      <c r="M87" s="91">
        <v>57106.0</v>
      </c>
      <c r="N87" s="91">
        <v>208734.0</v>
      </c>
      <c r="O87" s="91">
        <v>71808.0</v>
      </c>
      <c r="P87" s="91">
        <f>'Monthly Data'!AD28</f>
        <v>0</v>
      </c>
      <c r="Q87" s="215">
        <f t="shared" si="15"/>
        <v>0</v>
      </c>
      <c r="R87" s="215">
        <f t="shared" si="11"/>
        <v>119131</v>
      </c>
      <c r="S87" s="215">
        <f t="shared" si="12"/>
        <v>79421</v>
      </c>
      <c r="T87" s="215">
        <f t="shared" si="13"/>
        <v>198552</v>
      </c>
      <c r="U87" s="216">
        <v>0.0</v>
      </c>
      <c r="V87" s="215">
        <f t="shared" si="14"/>
        <v>0</v>
      </c>
    </row>
    <row r="88">
      <c r="A88" s="214">
        <f t="shared" si="10"/>
        <v>43922</v>
      </c>
      <c r="B88" s="91">
        <v>0.0</v>
      </c>
      <c r="C88" s="91">
        <v>0.0</v>
      </c>
      <c r="D88" s="91">
        <v>0.0</v>
      </c>
      <c r="E88" s="91">
        <v>82160.0</v>
      </c>
      <c r="F88" s="91">
        <v>19115.0</v>
      </c>
      <c r="G88" s="91">
        <v>20000.0</v>
      </c>
      <c r="H88" s="91">
        <v>0.0</v>
      </c>
      <c r="I88" s="91">
        <v>0.0</v>
      </c>
      <c r="J88" s="91">
        <v>78933.0</v>
      </c>
      <c r="K88" s="91">
        <v>0.0</v>
      </c>
      <c r="L88" s="91">
        <v>36013.0</v>
      </c>
      <c r="M88" s="91">
        <v>63135.0</v>
      </c>
      <c r="N88" s="91">
        <v>221574.0</v>
      </c>
      <c r="O88" s="91">
        <v>81098.0</v>
      </c>
      <c r="P88" s="91">
        <f>'Monthly Data'!AD29</f>
        <v>0</v>
      </c>
      <c r="Q88" s="215">
        <f t="shared" si="15"/>
        <v>0</v>
      </c>
      <c r="R88" s="215">
        <f t="shared" si="11"/>
        <v>49296</v>
      </c>
      <c r="S88" s="215">
        <f t="shared" si="12"/>
        <v>32864</v>
      </c>
      <c r="T88" s="215">
        <f t="shared" si="13"/>
        <v>82160</v>
      </c>
      <c r="U88" s="216">
        <v>0.0</v>
      </c>
      <c r="V88" s="215">
        <f t="shared" si="14"/>
        <v>0</v>
      </c>
    </row>
    <row r="89">
      <c r="A89" s="214">
        <f t="shared" si="10"/>
        <v>43952</v>
      </c>
      <c r="B89" s="91">
        <v>0.0</v>
      </c>
      <c r="C89" s="91">
        <v>0.0</v>
      </c>
      <c r="D89" s="91">
        <v>0.0</v>
      </c>
      <c r="E89" s="91">
        <v>83138.0</v>
      </c>
      <c r="F89" s="91">
        <v>19469.0</v>
      </c>
      <c r="G89" s="91">
        <v>20000.0</v>
      </c>
      <c r="H89" s="91">
        <v>0.0</v>
      </c>
      <c r="I89" s="91">
        <v>0.0</v>
      </c>
      <c r="J89" s="91">
        <v>86214.0</v>
      </c>
      <c r="K89" s="91">
        <v>0.0</v>
      </c>
      <c r="L89" s="91">
        <v>39335.0</v>
      </c>
      <c r="M89" s="91">
        <v>68697.0</v>
      </c>
      <c r="N89" s="91">
        <v>233055.0</v>
      </c>
      <c r="O89" s="91">
        <v>89737.0</v>
      </c>
      <c r="P89" s="91">
        <f>'Monthly Data'!AD30</f>
        <v>0</v>
      </c>
      <c r="Q89" s="215">
        <f t="shared" si="15"/>
        <v>0</v>
      </c>
      <c r="R89" s="215">
        <f t="shared" si="11"/>
        <v>49883</v>
      </c>
      <c r="S89" s="215">
        <f t="shared" si="12"/>
        <v>33255</v>
      </c>
      <c r="T89" s="215">
        <f t="shared" si="13"/>
        <v>83138</v>
      </c>
      <c r="U89" s="216">
        <v>0.0</v>
      </c>
      <c r="V89" s="215">
        <f t="shared" si="14"/>
        <v>0</v>
      </c>
    </row>
    <row r="90">
      <c r="A90" s="214">
        <f t="shared" si="10"/>
        <v>43983</v>
      </c>
      <c r="B90" s="91">
        <v>0.0</v>
      </c>
      <c r="C90" s="91">
        <v>0.0</v>
      </c>
      <c r="D90" s="91">
        <v>0.0</v>
      </c>
      <c r="E90" s="91">
        <v>84116.0</v>
      </c>
      <c r="F90" s="91">
        <v>19823.0</v>
      </c>
      <c r="G90" s="91">
        <v>20000.0</v>
      </c>
      <c r="H90" s="91">
        <v>0.0</v>
      </c>
      <c r="I90" s="91">
        <v>0.0</v>
      </c>
      <c r="J90" s="91">
        <v>93151.0</v>
      </c>
      <c r="K90" s="91">
        <v>0.0</v>
      </c>
      <c r="L90" s="91">
        <v>42500.0</v>
      </c>
      <c r="M90" s="91">
        <v>73990.0</v>
      </c>
      <c r="N90" s="91">
        <v>243750.0</v>
      </c>
      <c r="O90" s="91">
        <v>98000.0</v>
      </c>
      <c r="P90" s="91">
        <f>'Monthly Data'!AD31</f>
        <v>0</v>
      </c>
      <c r="Q90" s="215">
        <f t="shared" si="15"/>
        <v>0</v>
      </c>
      <c r="R90" s="215">
        <f t="shared" si="11"/>
        <v>50470</v>
      </c>
      <c r="S90" s="215">
        <f t="shared" si="12"/>
        <v>33646</v>
      </c>
      <c r="T90" s="215">
        <f t="shared" si="13"/>
        <v>84116</v>
      </c>
      <c r="U90" s="216">
        <v>0.0</v>
      </c>
      <c r="V90" s="215">
        <f t="shared" si="14"/>
        <v>0</v>
      </c>
    </row>
    <row r="91">
      <c r="A91" s="214">
        <f t="shared" si="10"/>
        <v>44013</v>
      </c>
      <c r="B91" s="91">
        <v>0.0</v>
      </c>
      <c r="C91" s="91">
        <v>0.0</v>
      </c>
      <c r="D91" s="91">
        <v>0.0</v>
      </c>
      <c r="E91" s="91">
        <v>85094.0</v>
      </c>
      <c r="F91" s="91">
        <v>20177.0</v>
      </c>
      <c r="G91" s="91">
        <v>20000.0</v>
      </c>
      <c r="H91" s="91">
        <v>0.0</v>
      </c>
      <c r="I91" s="91">
        <v>0.0</v>
      </c>
      <c r="J91" s="91">
        <v>100088.0</v>
      </c>
      <c r="K91" s="91">
        <v>0.0</v>
      </c>
      <c r="L91" s="91">
        <v>45665.0</v>
      </c>
      <c r="M91" s="91">
        <v>79282.0</v>
      </c>
      <c r="N91" s="91">
        <v>254446.0</v>
      </c>
      <c r="O91" s="91">
        <v>106263.0</v>
      </c>
      <c r="P91" s="91">
        <f>'Monthly Data'!AD32</f>
        <v>0</v>
      </c>
      <c r="Q91" s="215">
        <f t="shared" si="15"/>
        <v>0</v>
      </c>
      <c r="R91" s="215">
        <f t="shared" si="11"/>
        <v>51056</v>
      </c>
      <c r="S91" s="215">
        <f t="shared" si="12"/>
        <v>34038</v>
      </c>
      <c r="T91" s="215">
        <f t="shared" si="13"/>
        <v>85094</v>
      </c>
      <c r="U91" s="216">
        <v>0.0</v>
      </c>
      <c r="V91" s="215">
        <f t="shared" si="14"/>
        <v>0</v>
      </c>
    </row>
    <row r="92">
      <c r="A92" s="214">
        <f t="shared" si="10"/>
        <v>44044</v>
      </c>
      <c r="B92" s="91">
        <v>0.0</v>
      </c>
      <c r="C92" s="91">
        <v>0.0</v>
      </c>
      <c r="D92" s="91">
        <v>0.0</v>
      </c>
      <c r="E92" s="91">
        <v>86072.0</v>
      </c>
      <c r="F92" s="91">
        <v>20531.0</v>
      </c>
      <c r="G92" s="91">
        <v>20000.0</v>
      </c>
      <c r="H92" s="91">
        <v>0.0</v>
      </c>
      <c r="I92" s="91">
        <v>0.0</v>
      </c>
      <c r="J92" s="91">
        <v>107368.0</v>
      </c>
      <c r="K92" s="91">
        <v>0.0</v>
      </c>
      <c r="L92" s="91">
        <v>48987.0</v>
      </c>
      <c r="M92" s="91">
        <v>84844.0</v>
      </c>
      <c r="N92" s="91">
        <v>265926.0</v>
      </c>
      <c r="O92" s="91">
        <v>114902.0</v>
      </c>
      <c r="P92" s="91">
        <f>'Monthly Data'!AD33</f>
        <v>0</v>
      </c>
      <c r="Q92" s="215">
        <f t="shared" si="15"/>
        <v>0</v>
      </c>
      <c r="R92" s="215">
        <f t="shared" si="11"/>
        <v>51643</v>
      </c>
      <c r="S92" s="215">
        <f t="shared" si="12"/>
        <v>34429</v>
      </c>
      <c r="T92" s="215">
        <f t="shared" si="13"/>
        <v>86072</v>
      </c>
      <c r="U92" s="216">
        <v>0.0</v>
      </c>
      <c r="V92" s="215">
        <f t="shared" si="14"/>
        <v>0</v>
      </c>
    </row>
    <row r="93">
      <c r="A93" s="214">
        <f t="shared" si="10"/>
        <v>44075</v>
      </c>
      <c r="B93" s="91">
        <v>0.0</v>
      </c>
      <c r="C93" s="91">
        <v>0.0</v>
      </c>
      <c r="D93" s="91">
        <v>0.0</v>
      </c>
      <c r="E93" s="91">
        <v>204421.0</v>
      </c>
      <c r="F93" s="91">
        <v>20885.0</v>
      </c>
      <c r="G93" s="91">
        <v>20000.0</v>
      </c>
      <c r="H93" s="91">
        <v>0.0</v>
      </c>
      <c r="I93" s="91">
        <v>0.0</v>
      </c>
      <c r="J93" s="91">
        <v>115244.0</v>
      </c>
      <c r="K93" s="91">
        <v>0.0</v>
      </c>
      <c r="L93" s="91">
        <v>52580.0</v>
      </c>
      <c r="M93" s="91">
        <v>90873.0</v>
      </c>
      <c r="N93" s="91">
        <v>278766.0</v>
      </c>
      <c r="O93" s="91">
        <v>124192.0</v>
      </c>
      <c r="P93" s="91">
        <f>'Monthly Data'!AD34</f>
        <v>0</v>
      </c>
      <c r="Q93" s="215">
        <f t="shared" si="15"/>
        <v>0</v>
      </c>
      <c r="R93" s="215">
        <f t="shared" si="11"/>
        <v>122653</v>
      </c>
      <c r="S93" s="215">
        <f t="shared" si="12"/>
        <v>81768</v>
      </c>
      <c r="T93" s="215">
        <f t="shared" si="13"/>
        <v>204421</v>
      </c>
      <c r="U93" s="216">
        <v>0.0</v>
      </c>
      <c r="V93" s="215">
        <f t="shared" si="14"/>
        <v>0</v>
      </c>
    </row>
    <row r="94">
      <c r="A94" s="214">
        <f t="shared" si="10"/>
        <v>44105</v>
      </c>
      <c r="B94" s="91">
        <v>0.0</v>
      </c>
      <c r="C94" s="91">
        <v>0.0</v>
      </c>
      <c r="D94" s="91">
        <v>0.0</v>
      </c>
      <c r="E94" s="91">
        <v>88028.0</v>
      </c>
      <c r="F94" s="91">
        <v>21239.0</v>
      </c>
      <c r="G94" s="91">
        <v>20000.0</v>
      </c>
      <c r="H94" s="91">
        <v>0.0</v>
      </c>
      <c r="I94" s="91">
        <v>0.0</v>
      </c>
      <c r="J94" s="91">
        <v>123807.0</v>
      </c>
      <c r="K94" s="91">
        <v>0.0</v>
      </c>
      <c r="L94" s="91">
        <v>56487.0</v>
      </c>
      <c r="M94" s="91">
        <v>97441.0</v>
      </c>
      <c r="N94" s="91">
        <v>293176.0</v>
      </c>
      <c r="O94" s="91">
        <v>134235.0</v>
      </c>
      <c r="P94" s="91">
        <f>'Monthly Data'!AD35</f>
        <v>0</v>
      </c>
      <c r="Q94" s="215">
        <f t="shared" si="15"/>
        <v>0</v>
      </c>
      <c r="R94" s="215">
        <f t="shared" si="11"/>
        <v>52817</v>
      </c>
      <c r="S94" s="215">
        <f t="shared" si="12"/>
        <v>35211</v>
      </c>
      <c r="T94" s="215">
        <f t="shared" si="13"/>
        <v>88028</v>
      </c>
      <c r="U94" s="216">
        <v>0.0</v>
      </c>
      <c r="V94" s="215">
        <f t="shared" si="14"/>
        <v>0</v>
      </c>
    </row>
    <row r="95">
      <c r="A95" s="214">
        <f t="shared" si="10"/>
        <v>44136</v>
      </c>
      <c r="B95" s="91">
        <v>0.0</v>
      </c>
      <c r="C95" s="91">
        <v>0.0</v>
      </c>
      <c r="D95" s="91">
        <v>0.0</v>
      </c>
      <c r="E95" s="91">
        <v>89006.0</v>
      </c>
      <c r="F95" s="91">
        <v>21593.0</v>
      </c>
      <c r="G95" s="91">
        <v>20000.0</v>
      </c>
      <c r="H95" s="91">
        <v>0.0</v>
      </c>
      <c r="I95" s="91">
        <v>0.0</v>
      </c>
      <c r="J95" s="91">
        <v>132964.0</v>
      </c>
      <c r="K95" s="91">
        <v>0.0</v>
      </c>
      <c r="L95" s="91">
        <v>60665.0</v>
      </c>
      <c r="M95" s="91">
        <v>104476.0</v>
      </c>
      <c r="N95" s="91">
        <v>308946.0</v>
      </c>
      <c r="O95" s="91">
        <v>144929.0</v>
      </c>
      <c r="P95" s="91">
        <f>'Monthly Data'!AD36</f>
        <v>0</v>
      </c>
      <c r="Q95" s="215">
        <f t="shared" si="15"/>
        <v>0</v>
      </c>
      <c r="R95" s="215">
        <f t="shared" si="11"/>
        <v>53404</v>
      </c>
      <c r="S95" s="215">
        <f t="shared" si="12"/>
        <v>35602</v>
      </c>
      <c r="T95" s="215">
        <f t="shared" si="13"/>
        <v>89006</v>
      </c>
      <c r="U95" s="216">
        <v>0.0</v>
      </c>
      <c r="V95" s="215">
        <f t="shared" si="14"/>
        <v>0</v>
      </c>
    </row>
    <row r="96">
      <c r="A96" s="214">
        <f t="shared" si="10"/>
        <v>44166</v>
      </c>
      <c r="B96" s="91">
        <v>0.0</v>
      </c>
      <c r="C96" s="91">
        <v>0.0</v>
      </c>
      <c r="D96" s="91">
        <v>0.0</v>
      </c>
      <c r="E96" s="91">
        <v>89985.0</v>
      </c>
      <c r="F96" s="91">
        <v>21947.0</v>
      </c>
      <c r="G96" s="91">
        <v>20000.0</v>
      </c>
      <c r="H96" s="91">
        <v>0.0</v>
      </c>
      <c r="I96" s="91">
        <v>0.0</v>
      </c>
      <c r="J96" s="91">
        <v>142466.0</v>
      </c>
      <c r="K96" s="91">
        <v>0.0</v>
      </c>
      <c r="L96" s="91">
        <v>65000.0</v>
      </c>
      <c r="M96" s="91">
        <v>111781.0</v>
      </c>
      <c r="N96" s="91">
        <v>325500.0</v>
      </c>
      <c r="O96" s="91">
        <v>156000.0</v>
      </c>
      <c r="P96" s="91">
        <f>'Monthly Data'!AD37</f>
        <v>0</v>
      </c>
      <c r="Q96" s="215">
        <f t="shared" si="15"/>
        <v>0</v>
      </c>
      <c r="R96" s="215">
        <f t="shared" si="11"/>
        <v>53991</v>
      </c>
      <c r="S96" s="215">
        <f t="shared" si="12"/>
        <v>35994</v>
      </c>
      <c r="T96" s="215">
        <f t="shared" si="13"/>
        <v>89985</v>
      </c>
      <c r="U96" s="216">
        <v>0.0</v>
      </c>
      <c r="V96" s="215">
        <f t="shared" si="14"/>
        <v>0</v>
      </c>
    </row>
    <row r="97">
      <c r="A97" s="214">
        <f t="shared" si="10"/>
        <v>44197</v>
      </c>
      <c r="B97" s="91">
        <v>0.0</v>
      </c>
      <c r="C97" s="91">
        <v>0.0</v>
      </c>
      <c r="D97" s="91">
        <v>0.0</v>
      </c>
      <c r="E97" s="91">
        <v>158451.0</v>
      </c>
      <c r="F97" s="91">
        <v>33850.0</v>
      </c>
      <c r="G97" s="91">
        <v>37500.0</v>
      </c>
      <c r="H97" s="91">
        <v>0.0</v>
      </c>
      <c r="I97" s="91">
        <v>0.0</v>
      </c>
      <c r="J97" s="91">
        <v>162468.0</v>
      </c>
      <c r="K97" s="91">
        <v>0.0</v>
      </c>
      <c r="L97" s="91">
        <v>73433.0</v>
      </c>
      <c r="M97" s="91">
        <v>121873.0</v>
      </c>
      <c r="N97" s="91">
        <v>347866.0</v>
      </c>
      <c r="O97" s="91">
        <v>187320.0</v>
      </c>
      <c r="P97" s="91">
        <f>'Monthly Data'!AD38</f>
        <v>0</v>
      </c>
      <c r="Q97" s="215">
        <f t="shared" si="15"/>
        <v>0</v>
      </c>
      <c r="R97" s="215">
        <f t="shared" si="11"/>
        <v>95071</v>
      </c>
      <c r="S97" s="215">
        <f t="shared" si="12"/>
        <v>63380</v>
      </c>
      <c r="T97" s="215">
        <f t="shared" si="13"/>
        <v>158451</v>
      </c>
      <c r="U97" s="216">
        <v>0.0</v>
      </c>
      <c r="V97" s="215">
        <f t="shared" si="14"/>
        <v>0</v>
      </c>
    </row>
    <row r="98">
      <c r="A98" s="214">
        <f t="shared" si="10"/>
        <v>44228</v>
      </c>
      <c r="B98" s="91">
        <v>0.0</v>
      </c>
      <c r="C98" s="91">
        <v>0.0</v>
      </c>
      <c r="D98" s="91">
        <v>0.0</v>
      </c>
      <c r="E98" s="91">
        <v>160407.0</v>
      </c>
      <c r="F98" s="91">
        <v>34513.0</v>
      </c>
      <c r="G98" s="91">
        <v>37500.0</v>
      </c>
      <c r="H98" s="91">
        <v>0.0</v>
      </c>
      <c r="I98" s="91">
        <v>0.0</v>
      </c>
      <c r="J98" s="91">
        <v>181637.0</v>
      </c>
      <c r="K98" s="91">
        <v>0.0</v>
      </c>
      <c r="L98" s="91">
        <v>81505.0</v>
      </c>
      <c r="M98" s="91">
        <v>131459.0</v>
      </c>
      <c r="N98" s="91">
        <v>368939.0</v>
      </c>
      <c r="O98" s="91">
        <v>217482.0</v>
      </c>
      <c r="P98" s="91">
        <f>'Monthly Data'!AD39</f>
        <v>0</v>
      </c>
      <c r="Q98" s="215">
        <f t="shared" si="15"/>
        <v>0</v>
      </c>
      <c r="R98" s="215">
        <f t="shared" si="11"/>
        <v>96244</v>
      </c>
      <c r="S98" s="215">
        <f t="shared" si="12"/>
        <v>64163</v>
      </c>
      <c r="T98" s="215">
        <f t="shared" si="13"/>
        <v>160407</v>
      </c>
      <c r="U98" s="216">
        <v>0.0</v>
      </c>
      <c r="V98" s="215">
        <f t="shared" si="14"/>
        <v>0</v>
      </c>
    </row>
    <row r="99">
      <c r="A99" s="214">
        <f t="shared" si="10"/>
        <v>44256</v>
      </c>
      <c r="B99" s="91">
        <v>0.0</v>
      </c>
      <c r="C99" s="91">
        <v>0.0</v>
      </c>
      <c r="D99" s="91">
        <v>0.0</v>
      </c>
      <c r="E99" s="91">
        <v>397105.0</v>
      </c>
      <c r="F99" s="91">
        <v>35177.0</v>
      </c>
      <c r="G99" s="91">
        <v>37500.0</v>
      </c>
      <c r="H99" s="91">
        <v>0.0</v>
      </c>
      <c r="I99" s="91">
        <v>0.0</v>
      </c>
      <c r="J99" s="91">
        <v>199364.0</v>
      </c>
      <c r="K99" s="91">
        <v>0.0</v>
      </c>
      <c r="L99" s="91">
        <v>88950.0</v>
      </c>
      <c r="M99" s="91">
        <v>140167.0</v>
      </c>
      <c r="N99" s="91">
        <v>387773.0</v>
      </c>
      <c r="O99" s="91">
        <v>245640.0</v>
      </c>
      <c r="P99" s="91">
        <f>'Monthly Data'!AD40</f>
        <v>0</v>
      </c>
      <c r="Q99" s="215">
        <f t="shared" si="15"/>
        <v>0</v>
      </c>
      <c r="R99" s="215">
        <f t="shared" si="11"/>
        <v>238263</v>
      </c>
      <c r="S99" s="215">
        <f t="shared" si="12"/>
        <v>158842</v>
      </c>
      <c r="T99" s="215">
        <f t="shared" si="13"/>
        <v>397105</v>
      </c>
      <c r="U99" s="216">
        <v>0.0</v>
      </c>
      <c r="V99" s="215">
        <f t="shared" si="14"/>
        <v>0</v>
      </c>
    </row>
    <row r="100">
      <c r="A100" s="214">
        <f t="shared" si="10"/>
        <v>44287</v>
      </c>
      <c r="B100" s="91">
        <v>0.0</v>
      </c>
      <c r="C100" s="91">
        <v>0.0</v>
      </c>
      <c r="D100" s="91">
        <v>0.0</v>
      </c>
      <c r="E100" s="91">
        <v>164319.0</v>
      </c>
      <c r="F100" s="91">
        <v>35841.0</v>
      </c>
      <c r="G100" s="91">
        <v>37500.0</v>
      </c>
      <c r="H100" s="91">
        <v>0.0</v>
      </c>
      <c r="I100" s="91">
        <v>0.0</v>
      </c>
      <c r="J100" s="91">
        <v>215427.0</v>
      </c>
      <c r="K100" s="91">
        <v>0.0</v>
      </c>
      <c r="L100" s="91">
        <v>95672.0</v>
      </c>
      <c r="M100" s="91">
        <v>147861.0</v>
      </c>
      <c r="N100" s="91">
        <v>404022.0</v>
      </c>
      <c r="O100" s="91">
        <v>271482.0</v>
      </c>
      <c r="P100" s="91">
        <f>'Monthly Data'!AD41</f>
        <v>0</v>
      </c>
      <c r="Q100" s="215">
        <f t="shared" si="15"/>
        <v>0</v>
      </c>
      <c r="R100" s="215">
        <f t="shared" si="11"/>
        <v>98591</v>
      </c>
      <c r="S100" s="215">
        <f t="shared" si="12"/>
        <v>65728</v>
      </c>
      <c r="T100" s="215">
        <f t="shared" si="13"/>
        <v>164319</v>
      </c>
      <c r="U100" s="216">
        <v>0.0</v>
      </c>
      <c r="V100" s="215">
        <f t="shared" si="14"/>
        <v>0</v>
      </c>
    </row>
    <row r="101">
      <c r="A101" s="214">
        <f t="shared" si="10"/>
        <v>44317</v>
      </c>
      <c r="B101" s="91">
        <v>0.0</v>
      </c>
      <c r="C101" s="91">
        <v>0.0</v>
      </c>
      <c r="D101" s="91">
        <v>0.0</v>
      </c>
      <c r="E101" s="91">
        <v>166275.0</v>
      </c>
      <c r="F101" s="91">
        <v>36504.0</v>
      </c>
      <c r="G101" s="91">
        <v>37500.0</v>
      </c>
      <c r="H101" s="91">
        <v>0.0</v>
      </c>
      <c r="I101" s="91">
        <v>0.0</v>
      </c>
      <c r="J101" s="91">
        <v>230047.0</v>
      </c>
      <c r="K101" s="91">
        <v>0.0</v>
      </c>
      <c r="L101" s="91">
        <v>101767.0</v>
      </c>
      <c r="M101" s="91">
        <v>154677.0</v>
      </c>
      <c r="N101" s="91">
        <v>418032.0</v>
      </c>
      <c r="O101" s="91">
        <v>295320.0</v>
      </c>
      <c r="P101" s="91">
        <f>'Monthly Data'!AD42</f>
        <v>0</v>
      </c>
      <c r="Q101" s="215">
        <f t="shared" si="15"/>
        <v>0</v>
      </c>
      <c r="R101" s="215">
        <f t="shared" si="11"/>
        <v>99765</v>
      </c>
      <c r="S101" s="215">
        <f t="shared" si="12"/>
        <v>66510</v>
      </c>
      <c r="T101" s="215">
        <f t="shared" si="13"/>
        <v>166275</v>
      </c>
      <c r="U101" s="216">
        <v>0.0</v>
      </c>
      <c r="V101" s="215">
        <f t="shared" si="14"/>
        <v>0</v>
      </c>
    </row>
    <row r="102">
      <c r="A102" s="214">
        <f t="shared" si="10"/>
        <v>44348</v>
      </c>
      <c r="B102" s="91">
        <v>0.0</v>
      </c>
      <c r="C102" s="91">
        <v>0.0</v>
      </c>
      <c r="D102" s="91">
        <v>0.0</v>
      </c>
      <c r="E102" s="91">
        <v>168232.0</v>
      </c>
      <c r="F102" s="91">
        <v>37168.0</v>
      </c>
      <c r="G102" s="91">
        <v>37500.0</v>
      </c>
      <c r="H102" s="91">
        <v>0.0</v>
      </c>
      <c r="I102" s="91">
        <v>0.0</v>
      </c>
      <c r="J102" s="91">
        <v>243836.0</v>
      </c>
      <c r="K102" s="91">
        <v>0.0</v>
      </c>
      <c r="L102" s="91">
        <v>107500.0</v>
      </c>
      <c r="M102" s="91">
        <v>160986.0</v>
      </c>
      <c r="N102" s="91">
        <v>430750.0</v>
      </c>
      <c r="O102" s="91">
        <v>318000.0</v>
      </c>
      <c r="P102" s="91">
        <f>'Monthly Data'!AD43</f>
        <v>0</v>
      </c>
      <c r="Q102" s="215">
        <f t="shared" si="15"/>
        <v>0</v>
      </c>
      <c r="R102" s="215">
        <f t="shared" si="11"/>
        <v>100939</v>
      </c>
      <c r="S102" s="215">
        <f t="shared" si="12"/>
        <v>67293</v>
      </c>
      <c r="T102" s="215">
        <f t="shared" si="13"/>
        <v>168232</v>
      </c>
      <c r="U102" s="216">
        <v>0.0</v>
      </c>
      <c r="V102" s="215">
        <f t="shared" si="14"/>
        <v>0</v>
      </c>
    </row>
    <row r="103">
      <c r="A103" s="214">
        <f t="shared" si="10"/>
        <v>44378</v>
      </c>
      <c r="B103" s="91">
        <v>0.0</v>
      </c>
      <c r="C103" s="91">
        <v>0.0</v>
      </c>
      <c r="D103" s="91">
        <v>0.0</v>
      </c>
      <c r="E103" s="91">
        <v>170188.0</v>
      </c>
      <c r="F103" s="91">
        <v>37832.0</v>
      </c>
      <c r="G103" s="91">
        <v>37500.0</v>
      </c>
      <c r="H103" s="91">
        <v>0.0</v>
      </c>
      <c r="I103" s="91">
        <v>0.0</v>
      </c>
      <c r="J103" s="91">
        <v>257624.0</v>
      </c>
      <c r="K103" s="91">
        <v>0.0</v>
      </c>
      <c r="L103" s="91">
        <v>113233.0</v>
      </c>
      <c r="M103" s="91">
        <v>167295.0</v>
      </c>
      <c r="N103" s="91">
        <v>443468.0</v>
      </c>
      <c r="O103" s="91">
        <v>340680.0</v>
      </c>
      <c r="P103" s="91">
        <f>'Monthly Data'!AD44</f>
        <v>0</v>
      </c>
      <c r="Q103" s="215">
        <f t="shared" si="15"/>
        <v>0</v>
      </c>
      <c r="R103" s="215">
        <f t="shared" si="11"/>
        <v>102113</v>
      </c>
      <c r="S103" s="215">
        <f t="shared" si="12"/>
        <v>68075</v>
      </c>
      <c r="T103" s="215">
        <f t="shared" si="13"/>
        <v>170188</v>
      </c>
      <c r="U103" s="216">
        <v>0.0</v>
      </c>
      <c r="V103" s="215">
        <f t="shared" si="14"/>
        <v>0</v>
      </c>
    </row>
    <row r="104">
      <c r="A104" s="214">
        <f t="shared" si="10"/>
        <v>44409</v>
      </c>
      <c r="B104" s="91">
        <v>0.0</v>
      </c>
      <c r="C104" s="91">
        <v>0.0</v>
      </c>
      <c r="D104" s="91">
        <v>0.0</v>
      </c>
      <c r="E104" s="91">
        <v>172144.0</v>
      </c>
      <c r="F104" s="91">
        <v>38496.0</v>
      </c>
      <c r="G104" s="91">
        <v>37500.0</v>
      </c>
      <c r="H104" s="91">
        <v>0.0</v>
      </c>
      <c r="I104" s="91">
        <v>0.0</v>
      </c>
      <c r="J104" s="91">
        <v>272244.0</v>
      </c>
      <c r="K104" s="91">
        <v>0.0</v>
      </c>
      <c r="L104" s="91">
        <v>119328.0</v>
      </c>
      <c r="M104" s="91">
        <v>174112.0</v>
      </c>
      <c r="N104" s="91">
        <v>457478.0</v>
      </c>
      <c r="O104" s="91">
        <v>364518.0</v>
      </c>
      <c r="P104" s="91">
        <f>'Monthly Data'!AD45</f>
        <v>0</v>
      </c>
      <c r="Q104" s="215">
        <f t="shared" si="15"/>
        <v>0</v>
      </c>
      <c r="R104" s="215">
        <f t="shared" si="11"/>
        <v>103286</v>
      </c>
      <c r="S104" s="215">
        <f t="shared" si="12"/>
        <v>68858</v>
      </c>
      <c r="T104" s="215">
        <f t="shared" si="13"/>
        <v>172144</v>
      </c>
      <c r="U104" s="216">
        <v>0.0</v>
      </c>
      <c r="V104" s="215">
        <f t="shared" si="14"/>
        <v>0</v>
      </c>
    </row>
    <row r="105">
      <c r="A105" s="214">
        <f t="shared" si="10"/>
        <v>44440</v>
      </c>
      <c r="B105" s="91">
        <v>0.0</v>
      </c>
      <c r="C105" s="91">
        <v>0.0</v>
      </c>
      <c r="D105" s="91">
        <v>0.0</v>
      </c>
      <c r="E105" s="91">
        <v>408842.0</v>
      </c>
      <c r="F105" s="91">
        <v>39159.0</v>
      </c>
      <c r="G105" s="91">
        <v>37500.0</v>
      </c>
      <c r="H105" s="91">
        <v>0.0</v>
      </c>
      <c r="I105" s="91">
        <v>0.0</v>
      </c>
      <c r="J105" s="91">
        <v>288307.0</v>
      </c>
      <c r="K105" s="91">
        <v>0.0</v>
      </c>
      <c r="L105" s="91">
        <v>126050.0</v>
      </c>
      <c r="M105" s="91">
        <v>181806.0</v>
      </c>
      <c r="N105" s="91">
        <v>473727.0</v>
      </c>
      <c r="O105" s="91">
        <v>390360.0</v>
      </c>
      <c r="P105" s="91">
        <f>'Monthly Data'!AD46</f>
        <v>0</v>
      </c>
      <c r="Q105" s="215">
        <f t="shared" si="15"/>
        <v>0</v>
      </c>
      <c r="R105" s="215">
        <f t="shared" si="11"/>
        <v>245305</v>
      </c>
      <c r="S105" s="215">
        <f t="shared" si="12"/>
        <v>163537</v>
      </c>
      <c r="T105" s="215">
        <f t="shared" si="13"/>
        <v>408842</v>
      </c>
      <c r="U105" s="216">
        <v>0.0</v>
      </c>
      <c r="V105" s="215">
        <f t="shared" si="14"/>
        <v>0</v>
      </c>
    </row>
    <row r="106">
      <c r="A106" s="214">
        <f t="shared" si="10"/>
        <v>44470</v>
      </c>
      <c r="B106" s="91">
        <v>0.0</v>
      </c>
      <c r="C106" s="91">
        <v>0.0</v>
      </c>
      <c r="D106" s="91">
        <v>0.0</v>
      </c>
      <c r="E106" s="91">
        <v>176056.0</v>
      </c>
      <c r="F106" s="91">
        <v>39823.0</v>
      </c>
      <c r="G106" s="91">
        <v>37500.0</v>
      </c>
      <c r="H106" s="91">
        <v>0.0</v>
      </c>
      <c r="I106" s="91">
        <v>0.0</v>
      </c>
      <c r="J106" s="91">
        <v>306034.0</v>
      </c>
      <c r="K106" s="91">
        <v>0.0</v>
      </c>
      <c r="L106" s="91">
        <v>133495.0</v>
      </c>
      <c r="M106" s="91">
        <v>190513.0</v>
      </c>
      <c r="N106" s="91">
        <v>492561.0</v>
      </c>
      <c r="O106" s="91">
        <v>418518.0</v>
      </c>
      <c r="P106" s="91">
        <f>'Monthly Data'!AD47</f>
        <v>0</v>
      </c>
      <c r="Q106" s="215">
        <f t="shared" si="15"/>
        <v>0</v>
      </c>
      <c r="R106" s="215">
        <f t="shared" si="11"/>
        <v>105634</v>
      </c>
      <c r="S106" s="215">
        <f t="shared" si="12"/>
        <v>70422</v>
      </c>
      <c r="T106" s="215">
        <f t="shared" si="13"/>
        <v>176056</v>
      </c>
      <c r="U106" s="216">
        <v>0.0</v>
      </c>
      <c r="V106" s="215">
        <f t="shared" si="14"/>
        <v>0</v>
      </c>
    </row>
    <row r="107">
      <c r="A107" s="214">
        <f t="shared" si="10"/>
        <v>44501</v>
      </c>
      <c r="B107" s="91">
        <v>0.0</v>
      </c>
      <c r="C107" s="91">
        <v>0.0</v>
      </c>
      <c r="D107" s="91">
        <v>0.0</v>
      </c>
      <c r="E107" s="91">
        <v>178013.0</v>
      </c>
      <c r="F107" s="91">
        <v>40487.0</v>
      </c>
      <c r="G107" s="91">
        <v>37500.0</v>
      </c>
      <c r="H107" s="91">
        <v>0.0</v>
      </c>
      <c r="I107" s="91">
        <v>0.0</v>
      </c>
      <c r="J107" s="91">
        <v>325204.0</v>
      </c>
      <c r="K107" s="91">
        <v>0.0</v>
      </c>
      <c r="L107" s="91">
        <v>141567.0</v>
      </c>
      <c r="M107" s="91">
        <v>200099.0</v>
      </c>
      <c r="N107" s="91">
        <v>513634.0</v>
      </c>
      <c r="O107" s="91">
        <v>448680.0</v>
      </c>
      <c r="P107" s="91">
        <f>'Monthly Data'!AD48</f>
        <v>0</v>
      </c>
      <c r="Q107" s="215">
        <f t="shared" si="15"/>
        <v>0</v>
      </c>
      <c r="R107" s="215">
        <f t="shared" si="11"/>
        <v>106808</v>
      </c>
      <c r="S107" s="215">
        <f t="shared" si="12"/>
        <v>71205</v>
      </c>
      <c r="T107" s="215">
        <f t="shared" si="13"/>
        <v>178013</v>
      </c>
      <c r="U107" s="216">
        <v>0.0</v>
      </c>
      <c r="V107" s="215">
        <f t="shared" si="14"/>
        <v>0</v>
      </c>
    </row>
    <row r="108">
      <c r="A108" s="214">
        <f t="shared" si="10"/>
        <v>44531</v>
      </c>
      <c r="B108" s="91">
        <v>0.0</v>
      </c>
      <c r="C108" s="91">
        <v>0.0</v>
      </c>
      <c r="D108" s="91">
        <v>0.0</v>
      </c>
      <c r="E108" s="91">
        <v>179968.0</v>
      </c>
      <c r="F108" s="91">
        <v>41150.0</v>
      </c>
      <c r="G108" s="91">
        <v>37500.0</v>
      </c>
      <c r="H108" s="91">
        <v>0.0</v>
      </c>
      <c r="I108" s="91">
        <v>0.0</v>
      </c>
      <c r="J108" s="91">
        <v>345205.0</v>
      </c>
      <c r="K108" s="91">
        <v>0.0</v>
      </c>
      <c r="L108" s="91">
        <v>150000.0</v>
      </c>
      <c r="M108" s="91">
        <v>210192.0</v>
      </c>
      <c r="N108" s="91">
        <v>536000.0</v>
      </c>
      <c r="O108" s="91">
        <v>480000.0</v>
      </c>
      <c r="P108" s="91">
        <f>'Monthly Data'!AD49</f>
        <v>0</v>
      </c>
      <c r="Q108" s="215">
        <f t="shared" si="15"/>
        <v>0</v>
      </c>
      <c r="R108" s="215">
        <f t="shared" si="11"/>
        <v>107981</v>
      </c>
      <c r="S108" s="215">
        <f t="shared" si="12"/>
        <v>71987</v>
      </c>
      <c r="T108" s="215">
        <f t="shared" si="13"/>
        <v>179968</v>
      </c>
      <c r="U108" s="216">
        <v>0.0</v>
      </c>
      <c r="V108" s="215">
        <f t="shared" si="14"/>
        <v>0</v>
      </c>
    </row>
    <row r="109">
      <c r="A109" s="214">
        <f t="shared" si="10"/>
        <v>44562</v>
      </c>
      <c r="B109" s="91">
        <v>0.0</v>
      </c>
      <c r="C109" s="91">
        <v>0.0</v>
      </c>
      <c r="D109" s="91">
        <v>0.0</v>
      </c>
      <c r="E109" s="91">
        <v>190141.0</v>
      </c>
      <c r="F109" s="91">
        <v>56416.0</v>
      </c>
      <c r="G109" s="91">
        <v>91667.0</v>
      </c>
      <c r="H109" s="91">
        <v>472.0</v>
      </c>
      <c r="I109" s="91">
        <v>0.0</v>
      </c>
      <c r="J109" s="91">
        <v>384740.0</v>
      </c>
      <c r="K109" s="91">
        <v>0.0</v>
      </c>
      <c r="L109" s="91">
        <v>170740.0</v>
      </c>
      <c r="M109" s="91">
        <v>261546.0</v>
      </c>
      <c r="N109" s="91">
        <v>694467.0</v>
      </c>
      <c r="O109" s="91">
        <v>561880.0</v>
      </c>
      <c r="P109" s="91">
        <f>'Monthly Data'!AD50</f>
        <v>0</v>
      </c>
      <c r="Q109" s="215">
        <f t="shared" si="15"/>
        <v>0</v>
      </c>
      <c r="R109" s="215">
        <f t="shared" si="11"/>
        <v>114085</v>
      </c>
      <c r="S109" s="215">
        <f t="shared" si="12"/>
        <v>76056</v>
      </c>
      <c r="T109" s="215">
        <f t="shared" si="13"/>
        <v>190141</v>
      </c>
      <c r="U109" s="216">
        <v>0.0</v>
      </c>
      <c r="V109" s="215">
        <f t="shared" si="14"/>
        <v>0</v>
      </c>
    </row>
    <row r="110">
      <c r="A110" s="214">
        <f t="shared" si="10"/>
        <v>44593</v>
      </c>
      <c r="B110" s="91">
        <v>0.0</v>
      </c>
      <c r="C110" s="91">
        <v>0.0</v>
      </c>
      <c r="D110" s="91">
        <v>0.0</v>
      </c>
      <c r="E110" s="91">
        <v>192488.0</v>
      </c>
      <c r="F110" s="91">
        <v>57522.0</v>
      </c>
      <c r="G110" s="91">
        <v>91667.0</v>
      </c>
      <c r="H110" s="91">
        <v>472.0</v>
      </c>
      <c r="I110" s="91">
        <v>0.0</v>
      </c>
      <c r="J110" s="91">
        <v>422490.0</v>
      </c>
      <c r="K110" s="91">
        <v>0.0</v>
      </c>
      <c r="L110" s="91">
        <v>190612.0</v>
      </c>
      <c r="M110" s="91">
        <v>311102.0</v>
      </c>
      <c r="N110" s="91">
        <v>847628.0</v>
      </c>
      <c r="O110" s="91">
        <v>640577.0</v>
      </c>
      <c r="P110" s="91">
        <f>'Monthly Data'!AD51</f>
        <v>0</v>
      </c>
      <c r="Q110" s="215">
        <f t="shared" si="15"/>
        <v>0</v>
      </c>
      <c r="R110" s="215">
        <f t="shared" si="11"/>
        <v>115493</v>
      </c>
      <c r="S110" s="215">
        <f t="shared" si="12"/>
        <v>76995</v>
      </c>
      <c r="T110" s="215">
        <f t="shared" si="13"/>
        <v>192488</v>
      </c>
      <c r="U110" s="216">
        <v>0.0</v>
      </c>
      <c r="V110" s="215">
        <f t="shared" si="14"/>
        <v>0</v>
      </c>
    </row>
    <row r="111">
      <c r="A111" s="214">
        <f t="shared" si="10"/>
        <v>44621</v>
      </c>
      <c r="B111" s="91">
        <v>0.0</v>
      </c>
      <c r="C111" s="91">
        <v>0.0</v>
      </c>
      <c r="D111" s="91">
        <v>0.0</v>
      </c>
      <c r="E111" s="91">
        <v>476526.0</v>
      </c>
      <c r="F111" s="91">
        <v>58628.0</v>
      </c>
      <c r="G111" s="91">
        <v>91667.0</v>
      </c>
      <c r="H111" s="91">
        <v>472.0</v>
      </c>
      <c r="I111" s="91">
        <v>0.0</v>
      </c>
      <c r="J111" s="91">
        <v>457151.0</v>
      </c>
      <c r="K111" s="91">
        <v>0.0</v>
      </c>
      <c r="L111" s="91">
        <v>208980.0</v>
      </c>
      <c r="M111" s="91">
        <v>357542.0</v>
      </c>
      <c r="N111" s="91">
        <v>991600.0</v>
      </c>
      <c r="O111" s="91">
        <v>713760.0</v>
      </c>
      <c r="P111" s="91">
        <f>'Monthly Data'!AD52</f>
        <v>0</v>
      </c>
      <c r="Q111" s="215">
        <f t="shared" si="15"/>
        <v>0</v>
      </c>
      <c r="R111" s="215">
        <f t="shared" si="11"/>
        <v>285916</v>
      </c>
      <c r="S111" s="215">
        <f t="shared" si="12"/>
        <v>190610</v>
      </c>
      <c r="T111" s="215">
        <f t="shared" si="13"/>
        <v>476526</v>
      </c>
      <c r="U111" s="216">
        <v>0.0</v>
      </c>
      <c r="V111" s="215">
        <f t="shared" si="14"/>
        <v>0</v>
      </c>
    </row>
    <row r="112">
      <c r="A112" s="214">
        <f t="shared" si="10"/>
        <v>44652</v>
      </c>
      <c r="B112" s="91">
        <v>0.0</v>
      </c>
      <c r="C112" s="91">
        <v>2.2E7</v>
      </c>
      <c r="D112" s="91">
        <v>0.0</v>
      </c>
      <c r="E112" s="91">
        <v>197183.0</v>
      </c>
      <c r="F112" s="91">
        <v>59735.0</v>
      </c>
      <c r="G112" s="91">
        <v>91667.0</v>
      </c>
      <c r="H112" s="91">
        <v>103732.0</v>
      </c>
      <c r="I112" s="91">
        <v>0.0</v>
      </c>
      <c r="J112" s="91">
        <v>488244.0</v>
      </c>
      <c r="K112" s="91">
        <v>0.0</v>
      </c>
      <c r="L112" s="91">
        <v>225612.0</v>
      </c>
      <c r="M112" s="91">
        <v>400385.0</v>
      </c>
      <c r="N112" s="91">
        <v>1124961.0</v>
      </c>
      <c r="O112" s="91">
        <v>780577.0</v>
      </c>
      <c r="P112" s="91">
        <f>'Monthly Data'!AD53</f>
        <v>0</v>
      </c>
      <c r="Q112" s="215">
        <f t="shared" si="15"/>
        <v>22000000</v>
      </c>
      <c r="R112" s="215">
        <f t="shared" si="11"/>
        <v>118310</v>
      </c>
      <c r="S112" s="215">
        <f t="shared" si="12"/>
        <v>78873</v>
      </c>
      <c r="T112" s="215">
        <f t="shared" si="13"/>
        <v>197183</v>
      </c>
      <c r="U112" s="216">
        <v>2.2E7</v>
      </c>
      <c r="V112" s="215">
        <f t="shared" si="14"/>
        <v>0</v>
      </c>
    </row>
    <row r="113">
      <c r="A113" s="214">
        <f t="shared" si="10"/>
        <v>44682</v>
      </c>
      <c r="B113" s="91">
        <v>0.0</v>
      </c>
      <c r="C113" s="91">
        <v>0.0</v>
      </c>
      <c r="D113" s="91">
        <v>0.0</v>
      </c>
      <c r="E113" s="91">
        <v>199531.0</v>
      </c>
      <c r="F113" s="91">
        <v>60841.0</v>
      </c>
      <c r="G113" s="91">
        <v>91667.0</v>
      </c>
      <c r="H113" s="91">
        <v>103732.0</v>
      </c>
      <c r="I113" s="91">
        <v>0.0</v>
      </c>
      <c r="J113" s="91">
        <v>516247.0</v>
      </c>
      <c r="K113" s="91">
        <v>0.0</v>
      </c>
      <c r="L113" s="91">
        <v>240740.0</v>
      </c>
      <c r="M113" s="91">
        <v>440113.0</v>
      </c>
      <c r="N113" s="91">
        <v>1249133.0</v>
      </c>
      <c r="O113" s="91">
        <v>841880.0</v>
      </c>
      <c r="P113" s="91">
        <f>'Monthly Data'!AD54</f>
        <v>0</v>
      </c>
      <c r="Q113" s="215">
        <f t="shared" si="15"/>
        <v>22000000</v>
      </c>
      <c r="R113" s="215">
        <f t="shared" si="11"/>
        <v>119719</v>
      </c>
      <c r="S113" s="215">
        <f t="shared" si="12"/>
        <v>79812</v>
      </c>
      <c r="T113" s="215">
        <f t="shared" si="13"/>
        <v>199531</v>
      </c>
      <c r="U113" s="216">
        <v>2.2E7</v>
      </c>
      <c r="V113" s="215">
        <f t="shared" si="14"/>
        <v>0</v>
      </c>
    </row>
    <row r="114">
      <c r="A114" s="214">
        <f t="shared" si="10"/>
        <v>44713</v>
      </c>
      <c r="B114" s="91">
        <v>0.0</v>
      </c>
      <c r="C114" s="91">
        <v>0.0</v>
      </c>
      <c r="D114" s="91">
        <v>0.0</v>
      </c>
      <c r="E114" s="91">
        <v>201878.0</v>
      </c>
      <c r="F114" s="91">
        <v>61947.0</v>
      </c>
      <c r="G114" s="91">
        <v>91667.0</v>
      </c>
      <c r="H114" s="91">
        <v>103732.0</v>
      </c>
      <c r="I114" s="91">
        <v>0.0</v>
      </c>
      <c r="J114" s="91">
        <v>542466.0</v>
      </c>
      <c r="K114" s="91">
        <v>0.0</v>
      </c>
      <c r="L114" s="91">
        <v>255000.0</v>
      </c>
      <c r="M114" s="91">
        <v>478041.0</v>
      </c>
      <c r="N114" s="91">
        <v>1368000.0</v>
      </c>
      <c r="O114" s="91">
        <v>900000.0</v>
      </c>
      <c r="P114" s="91">
        <f>'Monthly Data'!AD55</f>
        <v>0</v>
      </c>
      <c r="Q114" s="215">
        <f t="shared" si="15"/>
        <v>22000000</v>
      </c>
      <c r="R114" s="215">
        <f t="shared" si="11"/>
        <v>121127</v>
      </c>
      <c r="S114" s="215">
        <f t="shared" si="12"/>
        <v>80751</v>
      </c>
      <c r="T114" s="215">
        <f t="shared" si="13"/>
        <v>201878</v>
      </c>
      <c r="U114" s="216">
        <v>2.2E7</v>
      </c>
      <c r="V114" s="215">
        <f t="shared" si="14"/>
        <v>0</v>
      </c>
    </row>
    <row r="115">
      <c r="A115" s="214">
        <f t="shared" si="10"/>
        <v>44743</v>
      </c>
      <c r="B115" s="91">
        <v>6.0E7</v>
      </c>
      <c r="C115" s="91">
        <v>0.0</v>
      </c>
      <c r="D115" s="91">
        <v>0.0</v>
      </c>
      <c r="E115" s="91">
        <v>204225.0</v>
      </c>
      <c r="F115" s="91">
        <v>63053.0</v>
      </c>
      <c r="G115" s="91">
        <v>91667.0</v>
      </c>
      <c r="H115" s="91">
        <v>103732.0</v>
      </c>
      <c r="I115" s="91">
        <v>0.0</v>
      </c>
      <c r="J115" s="91">
        <v>568685.0</v>
      </c>
      <c r="K115" s="91">
        <v>0.0</v>
      </c>
      <c r="L115" s="91">
        <v>269260.0</v>
      </c>
      <c r="M115" s="91">
        <v>515970.0</v>
      </c>
      <c r="N115" s="91">
        <v>1486867.0</v>
      </c>
      <c r="O115" s="91">
        <v>958120.0</v>
      </c>
      <c r="P115" s="91">
        <f>'Monthly Data'!AD56</f>
        <v>0</v>
      </c>
      <c r="Q115" s="215">
        <f t="shared" si="15"/>
        <v>22000000</v>
      </c>
      <c r="R115" s="215">
        <f t="shared" si="11"/>
        <v>122535</v>
      </c>
      <c r="S115" s="215">
        <f t="shared" si="12"/>
        <v>81690</v>
      </c>
      <c r="T115" s="215">
        <f t="shared" si="13"/>
        <v>204225</v>
      </c>
      <c r="U115" s="216">
        <v>2.2E7</v>
      </c>
      <c r="V115" s="215">
        <f t="shared" si="14"/>
        <v>0</v>
      </c>
    </row>
    <row r="116">
      <c r="A116" s="214">
        <f t="shared" si="10"/>
        <v>44774</v>
      </c>
      <c r="B116" s="91">
        <v>0.0</v>
      </c>
      <c r="C116" s="91">
        <v>0.0</v>
      </c>
      <c r="D116" s="91">
        <v>0.0</v>
      </c>
      <c r="E116" s="91">
        <v>206573.0</v>
      </c>
      <c r="F116" s="91">
        <v>64159.0</v>
      </c>
      <c r="G116" s="91">
        <v>91667.0</v>
      </c>
      <c r="H116" s="91">
        <v>103732.0</v>
      </c>
      <c r="I116" s="91">
        <v>0.0</v>
      </c>
      <c r="J116" s="91">
        <v>596688.0</v>
      </c>
      <c r="K116" s="91">
        <v>0.0</v>
      </c>
      <c r="L116" s="91">
        <v>284388.0</v>
      </c>
      <c r="M116" s="91">
        <v>555697.0</v>
      </c>
      <c r="N116" s="91">
        <v>1611039.0</v>
      </c>
      <c r="O116" s="91">
        <v>1019423.0</v>
      </c>
      <c r="P116" s="91">
        <f>'Monthly Data'!AD57</f>
        <v>0</v>
      </c>
      <c r="Q116" s="215">
        <f t="shared" si="15"/>
        <v>22000000</v>
      </c>
      <c r="R116" s="215">
        <f t="shared" si="11"/>
        <v>123944</v>
      </c>
      <c r="S116" s="215">
        <f t="shared" si="12"/>
        <v>82629</v>
      </c>
      <c r="T116" s="215">
        <f t="shared" si="13"/>
        <v>206573</v>
      </c>
      <c r="U116" s="216">
        <v>2.2E7</v>
      </c>
      <c r="V116" s="215">
        <f t="shared" si="14"/>
        <v>0</v>
      </c>
    </row>
    <row r="117">
      <c r="A117" s="214">
        <f t="shared" si="10"/>
        <v>44805</v>
      </c>
      <c r="B117" s="91">
        <v>0.0</v>
      </c>
      <c r="C117" s="91">
        <v>0.0</v>
      </c>
      <c r="D117" s="91">
        <v>0.0</v>
      </c>
      <c r="E117" s="91">
        <v>490610.0</v>
      </c>
      <c r="F117" s="91">
        <v>65265.0</v>
      </c>
      <c r="G117" s="91">
        <v>91667.0</v>
      </c>
      <c r="H117" s="91">
        <v>103732.0</v>
      </c>
      <c r="I117" s="91">
        <v>0.0</v>
      </c>
      <c r="J117" s="91">
        <v>627781.0</v>
      </c>
      <c r="K117" s="91">
        <v>0.0</v>
      </c>
      <c r="L117" s="91">
        <v>301020.0</v>
      </c>
      <c r="M117" s="91">
        <v>598540.0</v>
      </c>
      <c r="N117" s="91">
        <v>1744400.0</v>
      </c>
      <c r="O117" s="91">
        <v>1086240.0</v>
      </c>
      <c r="P117" s="91">
        <f>'Monthly Data'!AD58</f>
        <v>0</v>
      </c>
      <c r="Q117" s="215">
        <f t="shared" si="15"/>
        <v>22000000</v>
      </c>
      <c r="R117" s="215">
        <f t="shared" si="11"/>
        <v>294366</v>
      </c>
      <c r="S117" s="215">
        <f t="shared" si="12"/>
        <v>196244</v>
      </c>
      <c r="T117" s="215">
        <f t="shared" si="13"/>
        <v>490610</v>
      </c>
      <c r="U117" s="216">
        <v>2.2E7</v>
      </c>
      <c r="V117" s="215">
        <f t="shared" si="14"/>
        <v>0</v>
      </c>
    </row>
    <row r="118">
      <c r="A118" s="214">
        <f t="shared" si="10"/>
        <v>44835</v>
      </c>
      <c r="B118" s="91">
        <v>0.0</v>
      </c>
      <c r="C118" s="91">
        <v>0.0</v>
      </c>
      <c r="D118" s="91">
        <v>0.0</v>
      </c>
      <c r="E118" s="91">
        <v>211268.0</v>
      </c>
      <c r="F118" s="91">
        <v>66372.0</v>
      </c>
      <c r="G118" s="91">
        <v>91667.0</v>
      </c>
      <c r="H118" s="91">
        <v>103732.0</v>
      </c>
      <c r="I118" s="91">
        <v>0.0</v>
      </c>
      <c r="J118" s="91">
        <v>662441.0</v>
      </c>
      <c r="K118" s="91">
        <v>0.0</v>
      </c>
      <c r="L118" s="91">
        <v>319388.0</v>
      </c>
      <c r="M118" s="91">
        <v>644980.0</v>
      </c>
      <c r="N118" s="91">
        <v>1888372.0</v>
      </c>
      <c r="O118" s="91">
        <v>1159423.0</v>
      </c>
      <c r="P118" s="91">
        <f>'Monthly Data'!AD59</f>
        <v>0</v>
      </c>
      <c r="Q118" s="215">
        <f t="shared" si="15"/>
        <v>22000000</v>
      </c>
      <c r="R118" s="215">
        <f t="shared" si="11"/>
        <v>126761</v>
      </c>
      <c r="S118" s="215">
        <f t="shared" si="12"/>
        <v>84507</v>
      </c>
      <c r="T118" s="215">
        <f t="shared" si="13"/>
        <v>211268</v>
      </c>
      <c r="U118" s="216">
        <v>2.2E7</v>
      </c>
      <c r="V118" s="215">
        <f t="shared" si="14"/>
        <v>0</v>
      </c>
    </row>
    <row r="119">
      <c r="A119" s="214">
        <f t="shared" si="10"/>
        <v>44866</v>
      </c>
      <c r="B119" s="91">
        <v>0.0</v>
      </c>
      <c r="C119" s="91">
        <v>0.0</v>
      </c>
      <c r="D119" s="91">
        <v>0.0</v>
      </c>
      <c r="E119" s="91">
        <v>213615.0</v>
      </c>
      <c r="F119" s="91">
        <v>67478.0</v>
      </c>
      <c r="G119" s="91">
        <v>91667.0</v>
      </c>
      <c r="H119" s="91">
        <v>103732.0</v>
      </c>
      <c r="I119" s="91">
        <v>0.0</v>
      </c>
      <c r="J119" s="91">
        <v>700192.0</v>
      </c>
      <c r="K119" s="91">
        <v>0.0</v>
      </c>
      <c r="L119" s="91">
        <v>339260.0</v>
      </c>
      <c r="M119" s="91">
        <v>694536.0</v>
      </c>
      <c r="N119" s="91">
        <v>2041533.0</v>
      </c>
      <c r="O119" s="91">
        <v>1238120.0</v>
      </c>
      <c r="P119" s="91">
        <f>'Monthly Data'!AD60</f>
        <v>0</v>
      </c>
      <c r="Q119" s="215">
        <f t="shared" si="15"/>
        <v>22000000</v>
      </c>
      <c r="R119" s="215">
        <f t="shared" si="11"/>
        <v>128169</v>
      </c>
      <c r="S119" s="215">
        <f t="shared" si="12"/>
        <v>85446</v>
      </c>
      <c r="T119" s="215">
        <f t="shared" si="13"/>
        <v>213615</v>
      </c>
      <c r="U119" s="216">
        <v>2.2E7</v>
      </c>
      <c r="V119" s="215">
        <f t="shared" si="14"/>
        <v>0</v>
      </c>
    </row>
    <row r="120">
      <c r="A120" s="214">
        <f t="shared" si="10"/>
        <v>44896</v>
      </c>
      <c r="B120" s="91">
        <v>0.0</v>
      </c>
      <c r="C120" s="91">
        <v>0.0</v>
      </c>
      <c r="D120" s="91">
        <v>0.0</v>
      </c>
      <c r="E120" s="91">
        <v>215962.0</v>
      </c>
      <c r="F120" s="91">
        <v>68584.0</v>
      </c>
      <c r="G120" s="91">
        <v>91663.0</v>
      </c>
      <c r="H120" s="91">
        <v>103728.0</v>
      </c>
      <c r="I120" s="91">
        <v>0.0</v>
      </c>
      <c r="J120" s="91">
        <v>739726.0</v>
      </c>
      <c r="K120" s="91">
        <v>0.0</v>
      </c>
      <c r="L120" s="91">
        <v>360000.0</v>
      </c>
      <c r="M120" s="91">
        <v>745890.0</v>
      </c>
      <c r="N120" s="91">
        <v>2200000.0</v>
      </c>
      <c r="O120" s="91">
        <v>1320000.0</v>
      </c>
      <c r="P120" s="91">
        <f>'Monthly Data'!AD61</f>
        <v>0</v>
      </c>
      <c r="Q120" s="215">
        <f t="shared" si="15"/>
        <v>22000000</v>
      </c>
      <c r="R120" s="215">
        <f t="shared" si="11"/>
        <v>129577</v>
      </c>
      <c r="S120" s="215">
        <f t="shared" si="12"/>
        <v>86385</v>
      </c>
      <c r="T120" s="215">
        <f t="shared" si="13"/>
        <v>215962</v>
      </c>
      <c r="U120" s="216">
        <v>2.2E7</v>
      </c>
      <c r="V120" s="215">
        <f t="shared" si="14"/>
        <v>0</v>
      </c>
    </row>
    <row r="121">
      <c r="A121" s="214">
        <f t="shared" si="10"/>
        <v>44927</v>
      </c>
      <c r="B121" s="91">
        <v>0.0</v>
      </c>
      <c r="C121" s="91">
        <v>0.0</v>
      </c>
      <c r="D121" s="91">
        <v>0.0</v>
      </c>
      <c r="E121" s="91">
        <v>380282.0</v>
      </c>
      <c r="F121" s="91">
        <v>150442.0</v>
      </c>
      <c r="G121" s="91">
        <v>250000.0</v>
      </c>
      <c r="H121" s="91">
        <v>125865.0</v>
      </c>
      <c r="I121" s="91">
        <v>0.0</v>
      </c>
      <c r="J121" s="91">
        <v>884504.0</v>
      </c>
      <c r="K121" s="91">
        <v>0.0</v>
      </c>
      <c r="L121" s="91">
        <v>424180.0</v>
      </c>
      <c r="M121" s="91">
        <v>808155.0</v>
      </c>
      <c r="N121" s="91">
        <v>2413700.0</v>
      </c>
      <c r="O121" s="91">
        <v>1555327.0</v>
      </c>
      <c r="P121" s="91">
        <f>'Monthly Data'!AD62</f>
        <v>0</v>
      </c>
      <c r="Q121" s="215">
        <f t="shared" si="15"/>
        <v>22000000</v>
      </c>
      <c r="R121" s="215">
        <f t="shared" si="11"/>
        <v>228169</v>
      </c>
      <c r="S121" s="215">
        <f t="shared" si="12"/>
        <v>152113</v>
      </c>
      <c r="T121" s="215">
        <f t="shared" si="13"/>
        <v>380282</v>
      </c>
      <c r="U121" s="216">
        <v>2.2E7</v>
      </c>
      <c r="V121" s="215">
        <f t="shared" si="14"/>
        <v>0</v>
      </c>
    </row>
    <row r="122">
      <c r="A122" s="214">
        <f t="shared" si="10"/>
        <v>44958</v>
      </c>
      <c r="B122" s="91">
        <v>0.0</v>
      </c>
      <c r="C122" s="91">
        <v>0.0</v>
      </c>
      <c r="D122" s="91">
        <v>0.0</v>
      </c>
      <c r="E122" s="91">
        <v>384977.0</v>
      </c>
      <c r="F122" s="91">
        <v>153392.0</v>
      </c>
      <c r="G122" s="91">
        <v>250000.0</v>
      </c>
      <c r="H122" s="91">
        <v>125865.0</v>
      </c>
      <c r="I122" s="91">
        <v>0.0</v>
      </c>
      <c r="J122" s="91">
        <v>1023891.0</v>
      </c>
      <c r="K122" s="91">
        <v>0.0</v>
      </c>
      <c r="L122" s="91">
        <v>485900.0</v>
      </c>
      <c r="M122" s="91">
        <v>867170.0</v>
      </c>
      <c r="N122" s="91">
        <v>2617030.0</v>
      </c>
      <c r="O122" s="91">
        <v>1781634.0</v>
      </c>
      <c r="P122" s="91">
        <f>'Monthly Data'!AD63</f>
        <v>0</v>
      </c>
      <c r="Q122" s="215">
        <f t="shared" si="15"/>
        <v>22000000</v>
      </c>
      <c r="R122" s="215">
        <f t="shared" si="11"/>
        <v>230986</v>
      </c>
      <c r="S122" s="215">
        <f t="shared" si="12"/>
        <v>153991</v>
      </c>
      <c r="T122" s="215">
        <f t="shared" si="13"/>
        <v>384977</v>
      </c>
      <c r="U122" s="216">
        <v>2.2E7</v>
      </c>
      <c r="V122" s="215">
        <f t="shared" si="14"/>
        <v>0</v>
      </c>
    </row>
    <row r="123">
      <c r="A123" s="214">
        <f t="shared" si="10"/>
        <v>44986</v>
      </c>
      <c r="B123" s="91">
        <v>0.0</v>
      </c>
      <c r="C123" s="91">
        <v>0.0</v>
      </c>
      <c r="D123" s="91">
        <v>0.0</v>
      </c>
      <c r="E123" s="91">
        <v>953052.0</v>
      </c>
      <c r="F123" s="91">
        <v>156342.0</v>
      </c>
      <c r="G123" s="91">
        <v>250000.0</v>
      </c>
      <c r="H123" s="91">
        <v>125865.0</v>
      </c>
      <c r="I123" s="91">
        <v>0.0</v>
      </c>
      <c r="J123" s="91">
        <v>1153940.0</v>
      </c>
      <c r="K123" s="91">
        <v>0.0</v>
      </c>
      <c r="L123" s="91">
        <v>543360.0</v>
      </c>
      <c r="M123" s="91">
        <v>920557.0</v>
      </c>
      <c r="N123" s="91">
        <v>2802400.0</v>
      </c>
      <c r="O123" s="91">
        <v>1992320.0</v>
      </c>
      <c r="P123" s="91">
        <f>'Monthly Data'!AD64</f>
        <v>0</v>
      </c>
      <c r="Q123" s="215">
        <f t="shared" si="15"/>
        <v>22000000</v>
      </c>
      <c r="R123" s="215">
        <f t="shared" si="11"/>
        <v>571831</v>
      </c>
      <c r="S123" s="215">
        <f t="shared" si="12"/>
        <v>381221</v>
      </c>
      <c r="T123" s="215">
        <f t="shared" si="13"/>
        <v>953052</v>
      </c>
      <c r="U123" s="216">
        <v>2.2E7</v>
      </c>
      <c r="V123" s="215">
        <f t="shared" si="14"/>
        <v>0</v>
      </c>
    </row>
    <row r="124">
      <c r="A124" s="214">
        <f t="shared" si="10"/>
        <v>45017</v>
      </c>
      <c r="B124" s="91">
        <v>0.0</v>
      </c>
      <c r="C124" s="91">
        <v>4.0E7</v>
      </c>
      <c r="D124" s="91">
        <v>0.0</v>
      </c>
      <c r="E124" s="91">
        <v>394366.0</v>
      </c>
      <c r="F124" s="91">
        <v>159292.0</v>
      </c>
      <c r="G124" s="91">
        <v>250000.0</v>
      </c>
      <c r="H124" s="91">
        <v>354712.0</v>
      </c>
      <c r="I124" s="91">
        <v>0.0</v>
      </c>
      <c r="J124" s="91">
        <v>1273206.0</v>
      </c>
      <c r="K124" s="91">
        <v>0.0</v>
      </c>
      <c r="L124" s="91">
        <v>595900.0</v>
      </c>
      <c r="M124" s="91">
        <v>967444.0</v>
      </c>
      <c r="N124" s="91">
        <v>2967030.0</v>
      </c>
      <c r="O124" s="91">
        <v>2184967.0</v>
      </c>
      <c r="P124" s="91">
        <f>'Monthly Data'!AD65</f>
        <v>0</v>
      </c>
      <c r="Q124" s="215">
        <f t="shared" si="15"/>
        <v>62000000</v>
      </c>
      <c r="R124" s="215">
        <f t="shared" si="11"/>
        <v>236620</v>
      </c>
      <c r="S124" s="215">
        <f t="shared" si="12"/>
        <v>157746</v>
      </c>
      <c r="T124" s="215">
        <f t="shared" si="13"/>
        <v>394366</v>
      </c>
      <c r="U124" s="216">
        <v>6.2E7</v>
      </c>
      <c r="V124" s="215">
        <f t="shared" si="14"/>
        <v>0</v>
      </c>
    </row>
    <row r="125">
      <c r="A125" s="214">
        <f t="shared" si="10"/>
        <v>45047</v>
      </c>
      <c r="B125" s="91">
        <v>0.0</v>
      </c>
      <c r="C125" s="91">
        <v>0.0</v>
      </c>
      <c r="D125" s="91">
        <v>0.0</v>
      </c>
      <c r="E125" s="91">
        <v>399061.0</v>
      </c>
      <c r="F125" s="91">
        <v>162242.0</v>
      </c>
      <c r="G125" s="91">
        <v>250000.0</v>
      </c>
      <c r="H125" s="91">
        <v>354712.0</v>
      </c>
      <c r="I125" s="91">
        <v>0.0</v>
      </c>
      <c r="J125" s="91">
        <v>1383134.0</v>
      </c>
      <c r="K125" s="91">
        <v>0.0</v>
      </c>
      <c r="L125" s="91">
        <v>644180.0</v>
      </c>
      <c r="M125" s="91">
        <v>1008703.0</v>
      </c>
      <c r="N125" s="91">
        <v>3113700.0</v>
      </c>
      <c r="O125" s="91">
        <v>2361993.0</v>
      </c>
      <c r="P125" s="91">
        <f>'Monthly Data'!AD66</f>
        <v>0</v>
      </c>
      <c r="Q125" s="215">
        <f t="shared" si="15"/>
        <v>62000000</v>
      </c>
      <c r="R125" s="215">
        <f t="shared" si="11"/>
        <v>239437</v>
      </c>
      <c r="S125" s="215">
        <f t="shared" si="12"/>
        <v>159624</v>
      </c>
      <c r="T125" s="215">
        <f t="shared" si="13"/>
        <v>399061</v>
      </c>
      <c r="U125" s="216">
        <v>6.2E7</v>
      </c>
      <c r="V125" s="215">
        <f t="shared" si="14"/>
        <v>0</v>
      </c>
    </row>
    <row r="126">
      <c r="A126" s="214">
        <f t="shared" si="10"/>
        <v>45078</v>
      </c>
      <c r="B126" s="91">
        <v>0.0</v>
      </c>
      <c r="C126" s="91">
        <v>0.0</v>
      </c>
      <c r="D126" s="91">
        <v>0.0</v>
      </c>
      <c r="E126" s="91">
        <v>403756.0</v>
      </c>
      <c r="F126" s="91">
        <v>165192.0</v>
      </c>
      <c r="G126" s="91">
        <v>250000.0</v>
      </c>
      <c r="H126" s="91">
        <v>354712.0</v>
      </c>
      <c r="I126" s="91">
        <v>0.0</v>
      </c>
      <c r="J126" s="91">
        <v>1487671.0</v>
      </c>
      <c r="K126" s="91">
        <v>0.0</v>
      </c>
      <c r="L126" s="91">
        <v>690000.0</v>
      </c>
      <c r="M126" s="91">
        <v>1046712.0</v>
      </c>
      <c r="N126" s="91">
        <v>3250000.0</v>
      </c>
      <c r="O126" s="91">
        <v>2530000.0</v>
      </c>
      <c r="P126" s="91">
        <f>'Monthly Data'!AD67</f>
        <v>0</v>
      </c>
      <c r="Q126" s="215">
        <f t="shared" si="15"/>
        <v>62000000</v>
      </c>
      <c r="R126" s="215">
        <f t="shared" si="11"/>
        <v>242254</v>
      </c>
      <c r="S126" s="215">
        <f t="shared" si="12"/>
        <v>161502</v>
      </c>
      <c r="T126" s="215">
        <f t="shared" si="13"/>
        <v>403756</v>
      </c>
      <c r="U126" s="216">
        <v>6.2E7</v>
      </c>
      <c r="V126" s="215">
        <f t="shared" si="14"/>
        <v>0</v>
      </c>
    </row>
    <row r="127">
      <c r="A127" s="214">
        <f t="shared" si="10"/>
        <v>45108</v>
      </c>
      <c r="B127" s="91">
        <v>0.0</v>
      </c>
      <c r="C127" s="91">
        <v>0.0</v>
      </c>
      <c r="D127" s="91">
        <v>0.0</v>
      </c>
      <c r="E127" s="91">
        <v>408451.0</v>
      </c>
      <c r="F127" s="91">
        <v>168142.0</v>
      </c>
      <c r="G127" s="91">
        <v>250000.0</v>
      </c>
      <c r="H127" s="91">
        <v>354712.0</v>
      </c>
      <c r="I127" s="91">
        <v>0.0</v>
      </c>
      <c r="J127" s="91">
        <v>1592208.0</v>
      </c>
      <c r="K127" s="91">
        <v>0.0</v>
      </c>
      <c r="L127" s="91">
        <v>735820.0</v>
      </c>
      <c r="M127" s="91">
        <v>1084722.0</v>
      </c>
      <c r="N127" s="91">
        <v>3386300.0</v>
      </c>
      <c r="O127" s="91">
        <v>2698007.0</v>
      </c>
      <c r="P127" s="91">
        <f>'Monthly Data'!AD68</f>
        <v>0</v>
      </c>
      <c r="Q127" s="215">
        <f t="shared" si="15"/>
        <v>62000000</v>
      </c>
      <c r="R127" s="215">
        <f t="shared" si="11"/>
        <v>245071</v>
      </c>
      <c r="S127" s="215">
        <f t="shared" si="12"/>
        <v>163380</v>
      </c>
      <c r="T127" s="215">
        <f t="shared" si="13"/>
        <v>408451</v>
      </c>
      <c r="U127" s="216">
        <v>6.2E7</v>
      </c>
      <c r="V127" s="215">
        <f t="shared" si="14"/>
        <v>0</v>
      </c>
    </row>
    <row r="128">
      <c r="A128" s="214">
        <f t="shared" si="10"/>
        <v>45139</v>
      </c>
      <c r="B128" s="91">
        <v>0.0</v>
      </c>
      <c r="C128" s="91">
        <v>0.0</v>
      </c>
      <c r="D128" s="91">
        <v>0.0</v>
      </c>
      <c r="E128" s="91">
        <v>413146.0</v>
      </c>
      <c r="F128" s="91">
        <v>171091.0</v>
      </c>
      <c r="G128" s="91">
        <v>250000.0</v>
      </c>
      <c r="H128" s="91">
        <v>354712.0</v>
      </c>
      <c r="I128" s="91">
        <v>0.0</v>
      </c>
      <c r="J128" s="91">
        <v>1702136.0</v>
      </c>
      <c r="K128" s="91">
        <v>0.0</v>
      </c>
      <c r="L128" s="91">
        <v>784100.0</v>
      </c>
      <c r="M128" s="91">
        <v>1125980.0</v>
      </c>
      <c r="N128" s="91">
        <v>3532970.0</v>
      </c>
      <c r="O128" s="91">
        <v>2875033.0</v>
      </c>
      <c r="P128" s="91">
        <f>'Monthly Data'!AD69</f>
        <v>0</v>
      </c>
      <c r="Q128" s="215">
        <f t="shared" si="15"/>
        <v>62000000</v>
      </c>
      <c r="R128" s="215">
        <f t="shared" si="11"/>
        <v>247888</v>
      </c>
      <c r="S128" s="215">
        <f t="shared" si="12"/>
        <v>165258</v>
      </c>
      <c r="T128" s="215">
        <f t="shared" si="13"/>
        <v>413146</v>
      </c>
      <c r="U128" s="216">
        <v>6.2E7</v>
      </c>
      <c r="V128" s="215">
        <f t="shared" si="14"/>
        <v>0</v>
      </c>
    </row>
    <row r="129">
      <c r="A129" s="214">
        <f t="shared" si="10"/>
        <v>45170</v>
      </c>
      <c r="B129" s="91">
        <v>0.0</v>
      </c>
      <c r="C129" s="91">
        <v>0.0</v>
      </c>
      <c r="D129" s="91">
        <v>0.0</v>
      </c>
      <c r="E129" s="91">
        <v>981221.0</v>
      </c>
      <c r="F129" s="91">
        <v>174041.0</v>
      </c>
      <c r="G129" s="91">
        <v>250000.0</v>
      </c>
      <c r="H129" s="91">
        <v>354712.0</v>
      </c>
      <c r="I129" s="91">
        <v>0.0</v>
      </c>
      <c r="J129" s="91">
        <v>1821403.0</v>
      </c>
      <c r="K129" s="91">
        <v>0.0</v>
      </c>
      <c r="L129" s="91">
        <v>836640.0</v>
      </c>
      <c r="M129" s="91">
        <v>1172868.0</v>
      </c>
      <c r="N129" s="91">
        <v>3697600.0</v>
      </c>
      <c r="O129" s="91">
        <v>3067680.0</v>
      </c>
      <c r="P129" s="91">
        <f>'Monthly Data'!AD70</f>
        <v>5000000</v>
      </c>
      <c r="Q129" s="215">
        <f t="shared" si="15"/>
        <v>62000000</v>
      </c>
      <c r="R129" s="215">
        <f t="shared" si="11"/>
        <v>588733</v>
      </c>
      <c r="S129" s="215">
        <f t="shared" si="12"/>
        <v>392488</v>
      </c>
      <c r="T129" s="215">
        <f t="shared" si="13"/>
        <v>981221</v>
      </c>
      <c r="U129" s="216">
        <v>6.2E7</v>
      </c>
      <c r="V129" s="215">
        <f t="shared" si="14"/>
        <v>0</v>
      </c>
    </row>
    <row r="130">
      <c r="A130" s="214">
        <f t="shared" si="10"/>
        <v>45200</v>
      </c>
      <c r="B130" s="91">
        <v>0.0</v>
      </c>
      <c r="C130" s="91">
        <v>0.0</v>
      </c>
      <c r="D130" s="91">
        <v>0.0</v>
      </c>
      <c r="E130" s="91">
        <v>422535.0</v>
      </c>
      <c r="F130" s="91">
        <v>176991.0</v>
      </c>
      <c r="G130" s="91">
        <v>250000.0</v>
      </c>
      <c r="H130" s="91">
        <v>354712.0</v>
      </c>
      <c r="I130" s="91">
        <v>0.0</v>
      </c>
      <c r="J130" s="91">
        <v>1951452.0</v>
      </c>
      <c r="K130" s="91">
        <v>0.0</v>
      </c>
      <c r="L130" s="91">
        <v>894100.0</v>
      </c>
      <c r="M130" s="91">
        <v>1226254.0</v>
      </c>
      <c r="N130" s="91">
        <v>3882970.0</v>
      </c>
      <c r="O130" s="91">
        <v>3278366.0</v>
      </c>
      <c r="P130" s="91">
        <f>'Monthly Data'!AD71</f>
        <v>5000000</v>
      </c>
      <c r="Q130" s="215">
        <f t="shared" si="15"/>
        <v>62000000</v>
      </c>
      <c r="R130" s="215">
        <f t="shared" si="11"/>
        <v>253521</v>
      </c>
      <c r="S130" s="215">
        <f t="shared" si="12"/>
        <v>169014</v>
      </c>
      <c r="T130" s="215">
        <f t="shared" si="13"/>
        <v>422535</v>
      </c>
      <c r="U130" s="216">
        <v>6.2E7</v>
      </c>
      <c r="V130" s="215">
        <f t="shared" si="14"/>
        <v>0</v>
      </c>
    </row>
    <row r="131">
      <c r="A131" s="214">
        <f t="shared" si="10"/>
        <v>45231</v>
      </c>
      <c r="B131" s="91">
        <v>0.0</v>
      </c>
      <c r="C131" s="91">
        <v>0.0</v>
      </c>
      <c r="D131" s="91">
        <v>0.0</v>
      </c>
      <c r="E131" s="91">
        <v>427230.0</v>
      </c>
      <c r="F131" s="91">
        <v>179941.0</v>
      </c>
      <c r="G131" s="91">
        <v>250000.0</v>
      </c>
      <c r="H131" s="91">
        <v>354712.0</v>
      </c>
      <c r="I131" s="91">
        <v>0.0</v>
      </c>
      <c r="J131" s="91">
        <v>2090838.0</v>
      </c>
      <c r="K131" s="91">
        <v>0.0</v>
      </c>
      <c r="L131" s="91">
        <v>955820.0</v>
      </c>
      <c r="M131" s="91">
        <v>1285269.0</v>
      </c>
      <c r="N131" s="91">
        <v>4086300.0</v>
      </c>
      <c r="O131" s="91">
        <v>3504673.0</v>
      </c>
      <c r="P131" s="91">
        <f>'Monthly Data'!AD72</f>
        <v>5000000</v>
      </c>
      <c r="Q131" s="215">
        <f t="shared" si="15"/>
        <v>62000000</v>
      </c>
      <c r="R131" s="215">
        <f t="shared" si="11"/>
        <v>256338</v>
      </c>
      <c r="S131" s="215">
        <f t="shared" si="12"/>
        <v>170892</v>
      </c>
      <c r="T131" s="215">
        <f t="shared" si="13"/>
        <v>427230</v>
      </c>
      <c r="U131" s="216">
        <v>6.2E7</v>
      </c>
      <c r="V131" s="215">
        <f t="shared" si="14"/>
        <v>0</v>
      </c>
    </row>
    <row r="132">
      <c r="A132" s="214">
        <f t="shared" si="10"/>
        <v>45261</v>
      </c>
      <c r="B132" s="91">
        <v>0.0</v>
      </c>
      <c r="C132" s="91">
        <v>0.0</v>
      </c>
      <c r="D132" s="91">
        <v>0.0</v>
      </c>
      <c r="E132" s="91">
        <v>431923.0</v>
      </c>
      <c r="F132" s="91">
        <v>182892.0</v>
      </c>
      <c r="G132" s="91">
        <v>250000.0</v>
      </c>
      <c r="H132" s="91">
        <v>354709.0</v>
      </c>
      <c r="I132" s="91">
        <v>0.0</v>
      </c>
      <c r="J132" s="91">
        <v>2235616.0</v>
      </c>
      <c r="K132" s="91">
        <v>0.0</v>
      </c>
      <c r="L132" s="91">
        <v>1020000.0</v>
      </c>
      <c r="M132" s="91">
        <v>1347534.0</v>
      </c>
      <c r="N132" s="91">
        <v>4300000.0</v>
      </c>
      <c r="O132" s="91">
        <v>3740000.0</v>
      </c>
      <c r="P132" s="91">
        <f>'Monthly Data'!AD73</f>
        <v>5000000</v>
      </c>
      <c r="Q132" s="215">
        <f t="shared" si="15"/>
        <v>62000000</v>
      </c>
      <c r="R132" s="215">
        <f t="shared" si="11"/>
        <v>259154</v>
      </c>
      <c r="S132" s="215">
        <f t="shared" si="12"/>
        <v>172769</v>
      </c>
      <c r="T132" s="215">
        <f t="shared" si="13"/>
        <v>431923</v>
      </c>
      <c r="U132" s="216">
        <v>6.2E7</v>
      </c>
      <c r="V132" s="215">
        <f t="shared" si="14"/>
        <v>0</v>
      </c>
    </row>
    <row r="133">
      <c r="A133" s="214">
        <f t="shared" si="10"/>
        <v>45292</v>
      </c>
      <c r="B133" s="91">
        <v>0.0</v>
      </c>
      <c r="C133" s="91">
        <v>0.0</v>
      </c>
      <c r="D133" s="91">
        <v>0.0</v>
      </c>
      <c r="E133" s="91">
        <v>760563.0</v>
      </c>
      <c r="F133" s="91">
        <v>300885.0</v>
      </c>
      <c r="G133" s="91">
        <v>416667.0</v>
      </c>
      <c r="H133" s="91">
        <v>433101.0</v>
      </c>
      <c r="I133" s="91">
        <v>0.0</v>
      </c>
      <c r="J133" s="91">
        <v>2693878.0</v>
      </c>
      <c r="K133" s="91">
        <v>239291.0</v>
      </c>
      <c r="L133" s="91">
        <v>1206460.0</v>
      </c>
      <c r="M133" s="91">
        <v>1560774.0</v>
      </c>
      <c r="N133" s="91">
        <v>4726962.0</v>
      </c>
      <c r="O133" s="91">
        <v>3976793.0</v>
      </c>
      <c r="P133" s="91">
        <f>'Monthly Data'!AD74</f>
        <v>5000000</v>
      </c>
      <c r="Q133" s="215">
        <f t="shared" si="15"/>
        <v>62000000</v>
      </c>
      <c r="R133" s="215">
        <f t="shared" si="11"/>
        <v>456338</v>
      </c>
      <c r="S133" s="215">
        <f t="shared" si="12"/>
        <v>304225</v>
      </c>
      <c r="T133" s="215">
        <f t="shared" si="13"/>
        <v>760563</v>
      </c>
      <c r="U133" s="216">
        <v>6.2E7</v>
      </c>
      <c r="V133" s="215">
        <f t="shared" si="14"/>
        <v>0</v>
      </c>
    </row>
    <row r="134">
      <c r="A134" s="214">
        <f t="shared" si="10"/>
        <v>45323</v>
      </c>
      <c r="B134" s="91">
        <v>0.0</v>
      </c>
      <c r="C134" s="91">
        <v>0.0</v>
      </c>
      <c r="D134" s="91">
        <v>0.0</v>
      </c>
      <c r="E134" s="91">
        <v>769953.0</v>
      </c>
      <c r="F134" s="91">
        <v>306785.0</v>
      </c>
      <c r="G134" s="91">
        <v>416667.0</v>
      </c>
      <c r="H134" s="91">
        <v>433101.0</v>
      </c>
      <c r="I134" s="91">
        <v>0.0</v>
      </c>
      <c r="J134" s="91">
        <v>3135304.0</v>
      </c>
      <c r="K134" s="91">
        <v>472332.0</v>
      </c>
      <c r="L134" s="91">
        <v>1385830.0</v>
      </c>
      <c r="M134" s="91">
        <v>1765512.0</v>
      </c>
      <c r="N134" s="91">
        <v>5133413.0</v>
      </c>
      <c r="O134" s="91">
        <v>4199262.0</v>
      </c>
      <c r="P134" s="91">
        <f>'Monthly Data'!AD75</f>
        <v>5000000</v>
      </c>
      <c r="Q134" s="215">
        <f t="shared" si="15"/>
        <v>62000000</v>
      </c>
      <c r="R134" s="215">
        <f t="shared" si="11"/>
        <v>461972</v>
      </c>
      <c r="S134" s="215">
        <f t="shared" si="12"/>
        <v>307981</v>
      </c>
      <c r="T134" s="215">
        <f t="shared" si="13"/>
        <v>769953</v>
      </c>
      <c r="U134" s="216">
        <v>6.2E7</v>
      </c>
      <c r="V134" s="215">
        <f t="shared" si="14"/>
        <v>0</v>
      </c>
    </row>
    <row r="135">
      <c r="A135" s="214">
        <f t="shared" si="10"/>
        <v>45352</v>
      </c>
      <c r="B135" s="91">
        <v>1.1E8</v>
      </c>
      <c r="C135" s="91">
        <v>0.0</v>
      </c>
      <c r="D135" s="91">
        <v>0.0</v>
      </c>
      <c r="E135" s="91">
        <v>1906103.0</v>
      </c>
      <c r="F135" s="91">
        <v>312684.0</v>
      </c>
      <c r="G135" s="91">
        <v>416667.0</v>
      </c>
      <c r="H135" s="91">
        <v>433101.0</v>
      </c>
      <c r="I135" s="91">
        <v>0.0</v>
      </c>
      <c r="J135" s="91">
        <v>3547573.0</v>
      </c>
      <c r="K135" s="91">
        <v>694549.0</v>
      </c>
      <c r="L135" s="91">
        <v>1552920.0</v>
      </c>
      <c r="M135" s="91">
        <v>1955523.0</v>
      </c>
      <c r="N135" s="91">
        <v>5504340.0</v>
      </c>
      <c r="O135" s="91">
        <v>4396920.0</v>
      </c>
      <c r="P135" s="91">
        <f>'Monthly Data'!AD76</f>
        <v>5000000</v>
      </c>
      <c r="Q135" s="215">
        <f t="shared" si="15"/>
        <v>62000000</v>
      </c>
      <c r="R135" s="215">
        <f t="shared" si="11"/>
        <v>1143662</v>
      </c>
      <c r="S135" s="215">
        <f t="shared" si="12"/>
        <v>762441</v>
      </c>
      <c r="T135" s="215">
        <f t="shared" si="13"/>
        <v>1906103</v>
      </c>
      <c r="U135" s="216">
        <v>6.2E7</v>
      </c>
      <c r="V135" s="215">
        <f t="shared" si="14"/>
        <v>0</v>
      </c>
    </row>
    <row r="136">
      <c r="A136" s="214">
        <f t="shared" si="10"/>
        <v>45383</v>
      </c>
      <c r="B136" s="91">
        <v>0.0</v>
      </c>
      <c r="C136" s="91">
        <v>0.0</v>
      </c>
      <c r="D136" s="91">
        <v>0.0</v>
      </c>
      <c r="E136" s="91">
        <v>788732.0</v>
      </c>
      <c r="F136" s="91">
        <v>318584.0</v>
      </c>
      <c r="G136" s="91">
        <v>416667.0</v>
      </c>
      <c r="H136" s="91">
        <v>433101.0</v>
      </c>
      <c r="I136" s="91">
        <v>0.0</v>
      </c>
      <c r="J136" s="91">
        <v>3926172.0</v>
      </c>
      <c r="K136" s="91">
        <v>904266.0</v>
      </c>
      <c r="L136" s="91">
        <v>1705830.0</v>
      </c>
      <c r="M136" s="91">
        <v>2128530.0</v>
      </c>
      <c r="N136" s="91">
        <v>5834246.0</v>
      </c>
      <c r="O136" s="91">
        <v>4565929.0</v>
      </c>
      <c r="P136" s="91">
        <f>'Monthly Data'!AD77</f>
        <v>5000000</v>
      </c>
      <c r="Q136" s="215">
        <f t="shared" si="15"/>
        <v>62000000</v>
      </c>
      <c r="R136" s="215">
        <f t="shared" si="11"/>
        <v>473239</v>
      </c>
      <c r="S136" s="215">
        <f t="shared" si="12"/>
        <v>315493</v>
      </c>
      <c r="T136" s="215">
        <f t="shared" si="13"/>
        <v>788732</v>
      </c>
      <c r="U136" s="216">
        <v>6.2E7</v>
      </c>
      <c r="V136" s="215">
        <f t="shared" si="14"/>
        <v>0</v>
      </c>
    </row>
    <row r="137">
      <c r="A137" s="214">
        <f t="shared" si="10"/>
        <v>45413</v>
      </c>
      <c r="B137" s="91">
        <v>0.0</v>
      </c>
      <c r="C137" s="91">
        <v>0.0</v>
      </c>
      <c r="D137" s="91">
        <v>0.0</v>
      </c>
      <c r="E137" s="91">
        <v>798122.0</v>
      </c>
      <c r="F137" s="91">
        <v>324484.0</v>
      </c>
      <c r="G137" s="91">
        <v>416667.0</v>
      </c>
      <c r="H137" s="91">
        <v>433101.0</v>
      </c>
      <c r="I137" s="91">
        <v>0.0</v>
      </c>
      <c r="J137" s="91">
        <v>4275613.0</v>
      </c>
      <c r="K137" s="91">
        <v>1103158.0</v>
      </c>
      <c r="L137" s="91">
        <v>1846460.0</v>
      </c>
      <c r="M137" s="91">
        <v>2286811.0</v>
      </c>
      <c r="N137" s="91">
        <v>6128628.0</v>
      </c>
      <c r="O137" s="91">
        <v>4710127.0</v>
      </c>
      <c r="P137" s="91">
        <f>'Monthly Data'!AD78</f>
        <v>5000000</v>
      </c>
      <c r="Q137" s="215">
        <f t="shared" si="15"/>
        <v>62000000</v>
      </c>
      <c r="R137" s="215">
        <f t="shared" si="11"/>
        <v>478873</v>
      </c>
      <c r="S137" s="215">
        <f t="shared" si="12"/>
        <v>319249</v>
      </c>
      <c r="T137" s="215">
        <f t="shared" si="13"/>
        <v>798122</v>
      </c>
      <c r="U137" s="216">
        <v>6.2E7</v>
      </c>
      <c r="V137" s="215">
        <f t="shared" si="14"/>
        <v>0</v>
      </c>
    </row>
    <row r="138">
      <c r="A138" s="214">
        <f t="shared" si="10"/>
        <v>45444</v>
      </c>
      <c r="B138" s="91">
        <v>0.0</v>
      </c>
      <c r="C138" s="91">
        <v>0.0</v>
      </c>
      <c r="D138" s="91">
        <v>0.0</v>
      </c>
      <c r="E138" s="91">
        <v>807512.0</v>
      </c>
      <c r="F138" s="91">
        <v>330383.0</v>
      </c>
      <c r="G138" s="91">
        <v>416667.0</v>
      </c>
      <c r="H138" s="91">
        <v>433101.0</v>
      </c>
      <c r="I138" s="91">
        <v>0.0</v>
      </c>
      <c r="J138" s="91">
        <v>4608219.0</v>
      </c>
      <c r="K138" s="91">
        <v>1295800.0</v>
      </c>
      <c r="L138" s="91">
        <v>1980000.0</v>
      </c>
      <c r="M138" s="91">
        <v>2436589.0</v>
      </c>
      <c r="N138" s="91">
        <v>6402500.0</v>
      </c>
      <c r="O138" s="91">
        <v>4840000.0</v>
      </c>
      <c r="P138" s="91">
        <f>'Monthly Data'!AD79</f>
        <v>5000000</v>
      </c>
      <c r="Q138" s="215">
        <f t="shared" si="15"/>
        <v>62000000</v>
      </c>
      <c r="R138" s="215">
        <f t="shared" si="11"/>
        <v>484507</v>
      </c>
      <c r="S138" s="215">
        <f t="shared" si="12"/>
        <v>323005</v>
      </c>
      <c r="T138" s="215">
        <f t="shared" si="13"/>
        <v>807512</v>
      </c>
      <c r="U138" s="216">
        <v>6.2E7</v>
      </c>
      <c r="V138" s="215">
        <f t="shared" si="14"/>
        <v>0</v>
      </c>
    </row>
    <row r="139">
      <c r="A139" s="214">
        <f t="shared" si="10"/>
        <v>45474</v>
      </c>
      <c r="B139" s="91">
        <v>0.0</v>
      </c>
      <c r="C139" s="91">
        <v>0.0</v>
      </c>
      <c r="D139" s="91">
        <v>0.0</v>
      </c>
      <c r="E139" s="91">
        <v>816901.0</v>
      </c>
      <c r="F139" s="91">
        <v>336283.0</v>
      </c>
      <c r="G139" s="91">
        <v>416667.0</v>
      </c>
      <c r="H139" s="91">
        <v>433101.0</v>
      </c>
      <c r="I139" s="91">
        <v>0.0</v>
      </c>
      <c r="J139" s="91">
        <v>4940826.0</v>
      </c>
      <c r="K139" s="91">
        <v>1488442.0</v>
      </c>
      <c r="L139" s="91">
        <v>2113540.0</v>
      </c>
      <c r="M139" s="91">
        <v>2586367.0</v>
      </c>
      <c r="N139" s="91">
        <v>6676372.0</v>
      </c>
      <c r="O139" s="91">
        <v>4969873.0</v>
      </c>
      <c r="P139" s="91">
        <f>'Monthly Data'!AD80</f>
        <v>5000000</v>
      </c>
      <c r="Q139" s="215">
        <f t="shared" si="15"/>
        <v>62000000</v>
      </c>
      <c r="R139" s="215">
        <f t="shared" si="11"/>
        <v>490141</v>
      </c>
      <c r="S139" s="215">
        <f t="shared" si="12"/>
        <v>326760</v>
      </c>
      <c r="T139" s="215">
        <f t="shared" si="13"/>
        <v>816901</v>
      </c>
      <c r="U139" s="216">
        <v>6.2E7</v>
      </c>
      <c r="V139" s="215">
        <f t="shared" si="14"/>
        <v>0</v>
      </c>
    </row>
    <row r="140">
      <c r="A140" s="214">
        <f t="shared" si="10"/>
        <v>45505</v>
      </c>
      <c r="B140" s="91">
        <v>0.0</v>
      </c>
      <c r="C140" s="91">
        <v>0.0</v>
      </c>
      <c r="D140" s="91">
        <v>0.0</v>
      </c>
      <c r="E140" s="91">
        <v>826291.0</v>
      </c>
      <c r="F140" s="91">
        <v>342183.0</v>
      </c>
      <c r="G140" s="91">
        <v>416667.0</v>
      </c>
      <c r="H140" s="91">
        <v>433101.0</v>
      </c>
      <c r="I140" s="91">
        <v>0.0</v>
      </c>
      <c r="J140" s="91">
        <v>5290267.0</v>
      </c>
      <c r="K140" s="91">
        <v>1687334.0</v>
      </c>
      <c r="L140" s="91">
        <v>2254170.0</v>
      </c>
      <c r="M140" s="91">
        <v>2744648.0</v>
      </c>
      <c r="N140" s="91">
        <v>6970754.0</v>
      </c>
      <c r="O140" s="91">
        <v>5114071.0</v>
      </c>
      <c r="P140" s="91">
        <f>'Monthly Data'!AD81</f>
        <v>5000000</v>
      </c>
      <c r="Q140" s="215">
        <f t="shared" si="15"/>
        <v>62000000</v>
      </c>
      <c r="R140" s="215">
        <f t="shared" si="11"/>
        <v>495775</v>
      </c>
      <c r="S140" s="215">
        <f t="shared" si="12"/>
        <v>330516</v>
      </c>
      <c r="T140" s="215">
        <f t="shared" si="13"/>
        <v>826291</v>
      </c>
      <c r="U140" s="216">
        <v>6.2E7</v>
      </c>
      <c r="V140" s="215">
        <f t="shared" si="14"/>
        <v>0</v>
      </c>
    </row>
    <row r="141">
      <c r="A141" s="214">
        <f t="shared" si="10"/>
        <v>45536</v>
      </c>
      <c r="B141" s="91">
        <v>0.0</v>
      </c>
      <c r="C141" s="91">
        <v>0.0</v>
      </c>
      <c r="D141" s="91">
        <v>5000000.0</v>
      </c>
      <c r="E141" s="91">
        <v>1962441.0</v>
      </c>
      <c r="F141" s="91">
        <v>348083.0</v>
      </c>
      <c r="G141" s="91">
        <v>416667.0</v>
      </c>
      <c r="H141" s="91">
        <v>398173.0</v>
      </c>
      <c r="I141" s="91">
        <v>0.0</v>
      </c>
      <c r="J141" s="91">
        <v>5668866.0</v>
      </c>
      <c r="K141" s="91">
        <v>1897051.0</v>
      </c>
      <c r="L141" s="91">
        <v>2407080.0</v>
      </c>
      <c r="M141" s="91">
        <v>2917655.0</v>
      </c>
      <c r="N141" s="91">
        <v>7300660.0</v>
      </c>
      <c r="O141" s="91">
        <v>5283080.0</v>
      </c>
      <c r="P141" s="91">
        <f>'Monthly Data'!AD82</f>
        <v>0</v>
      </c>
      <c r="Q141" s="215">
        <f t="shared" si="15"/>
        <v>57000000</v>
      </c>
      <c r="R141" s="215">
        <f t="shared" si="11"/>
        <v>1177465</v>
      </c>
      <c r="S141" s="215">
        <f t="shared" si="12"/>
        <v>784976</v>
      </c>
      <c r="T141" s="215">
        <f t="shared" si="13"/>
        <v>1962441</v>
      </c>
      <c r="U141" s="216">
        <v>5.7E7</v>
      </c>
      <c r="V141" s="215">
        <f t="shared" si="14"/>
        <v>0</v>
      </c>
    </row>
    <row r="142">
      <c r="A142" s="214">
        <f t="shared" si="10"/>
        <v>45566</v>
      </c>
      <c r="B142" s="91">
        <v>0.0</v>
      </c>
      <c r="C142" s="91">
        <v>0.0</v>
      </c>
      <c r="D142" s="91">
        <v>0.0</v>
      </c>
      <c r="E142" s="91">
        <v>845070.0</v>
      </c>
      <c r="F142" s="91">
        <v>353982.0</v>
      </c>
      <c r="G142" s="91">
        <v>416667.0</v>
      </c>
      <c r="H142" s="91">
        <v>398173.0</v>
      </c>
      <c r="I142" s="91">
        <v>0.0</v>
      </c>
      <c r="J142" s="91">
        <v>6081134.0</v>
      </c>
      <c r="K142" s="91">
        <v>2119268.0</v>
      </c>
      <c r="L142" s="91">
        <v>2574170.0</v>
      </c>
      <c r="M142" s="91">
        <v>3107666.0</v>
      </c>
      <c r="N142" s="91">
        <v>7671587.0</v>
      </c>
      <c r="O142" s="91">
        <v>5480738.0</v>
      </c>
      <c r="P142" s="91">
        <f>'Monthly Data'!AD83</f>
        <v>0</v>
      </c>
      <c r="Q142" s="215">
        <f t="shared" si="15"/>
        <v>57000000</v>
      </c>
      <c r="R142" s="215">
        <f t="shared" si="11"/>
        <v>507042</v>
      </c>
      <c r="S142" s="215">
        <f t="shared" si="12"/>
        <v>338028</v>
      </c>
      <c r="T142" s="215">
        <f t="shared" si="13"/>
        <v>845070</v>
      </c>
      <c r="U142" s="216">
        <v>5.7E7</v>
      </c>
      <c r="V142" s="215">
        <f t="shared" si="14"/>
        <v>0</v>
      </c>
    </row>
    <row r="143">
      <c r="A143" s="214">
        <f t="shared" si="10"/>
        <v>45597</v>
      </c>
      <c r="B143" s="91">
        <v>0.0</v>
      </c>
      <c r="C143" s="91">
        <v>0.0</v>
      </c>
      <c r="D143" s="91">
        <v>0.0</v>
      </c>
      <c r="E143" s="91">
        <v>854460.0</v>
      </c>
      <c r="F143" s="91">
        <v>359882.0</v>
      </c>
      <c r="G143" s="91">
        <v>416667.0</v>
      </c>
      <c r="H143" s="91">
        <v>398173.0</v>
      </c>
      <c r="I143" s="91">
        <v>0.0</v>
      </c>
      <c r="J143" s="91">
        <v>6522561.0</v>
      </c>
      <c r="K143" s="91">
        <v>2352309.0</v>
      </c>
      <c r="L143" s="91">
        <v>2753540.0</v>
      </c>
      <c r="M143" s="91">
        <v>3312404.0</v>
      </c>
      <c r="N143" s="91">
        <v>8078038.0</v>
      </c>
      <c r="O143" s="91">
        <v>5703207.0</v>
      </c>
      <c r="P143" s="91">
        <f>'Monthly Data'!AD84</f>
        <v>0</v>
      </c>
      <c r="Q143" s="215">
        <f t="shared" si="15"/>
        <v>57000000</v>
      </c>
      <c r="R143" s="215">
        <f t="shared" si="11"/>
        <v>512676</v>
      </c>
      <c r="S143" s="215">
        <f t="shared" si="12"/>
        <v>341784</v>
      </c>
      <c r="T143" s="215">
        <f t="shared" si="13"/>
        <v>854460</v>
      </c>
      <c r="U143" s="216">
        <v>5.7E7</v>
      </c>
      <c r="V143" s="215">
        <f t="shared" si="14"/>
        <v>0</v>
      </c>
    </row>
    <row r="144">
      <c r="A144" s="214">
        <f t="shared" si="10"/>
        <v>45627</v>
      </c>
      <c r="B144" s="91">
        <v>0.0</v>
      </c>
      <c r="C144" s="91">
        <v>0.0</v>
      </c>
      <c r="D144" s="91">
        <v>0.0</v>
      </c>
      <c r="E144" s="91">
        <v>863852.0</v>
      </c>
      <c r="F144" s="91">
        <v>365782.0</v>
      </c>
      <c r="G144" s="91">
        <v>416663.0</v>
      </c>
      <c r="H144" s="91">
        <v>398173.0</v>
      </c>
      <c r="I144" s="91">
        <v>0.0</v>
      </c>
      <c r="J144" s="91">
        <v>6980822.0</v>
      </c>
      <c r="K144" s="91">
        <v>2591600.0</v>
      </c>
      <c r="L144" s="91">
        <v>2940000.0</v>
      </c>
      <c r="M144" s="91">
        <v>3525644.0</v>
      </c>
      <c r="N144" s="91">
        <v>8505000.0</v>
      </c>
      <c r="O144" s="91">
        <v>5940000.0</v>
      </c>
      <c r="P144" s="91">
        <f>'Monthly Data'!AD85</f>
        <v>0</v>
      </c>
      <c r="Q144" s="215">
        <f t="shared" si="15"/>
        <v>57000000</v>
      </c>
      <c r="R144" s="215">
        <f t="shared" si="11"/>
        <v>518311</v>
      </c>
      <c r="S144" s="215">
        <f t="shared" si="12"/>
        <v>345541</v>
      </c>
      <c r="T144" s="215">
        <f t="shared" si="13"/>
        <v>863852</v>
      </c>
      <c r="U144" s="216">
        <v>5.7E7</v>
      </c>
      <c r="V144" s="215">
        <f t="shared" si="14"/>
        <v>0</v>
      </c>
    </row>
    <row r="145">
      <c r="A145" s="214">
        <f t="shared" si="10"/>
        <v>45658</v>
      </c>
      <c r="B145" s="91">
        <v>0.0</v>
      </c>
      <c r="C145" s="91">
        <v>0.0</v>
      </c>
      <c r="D145" s="91">
        <v>0.0</v>
      </c>
      <c r="E145" s="91">
        <v>1014085.0</v>
      </c>
      <c r="F145" s="91">
        <v>526549.0</v>
      </c>
      <c r="G145" s="91">
        <v>583333.0</v>
      </c>
      <c r="H145" s="91">
        <v>357342.0</v>
      </c>
      <c r="I145" s="91">
        <v>0.0</v>
      </c>
      <c r="J145" s="91">
        <v>7730711.0</v>
      </c>
      <c r="K145" s="91">
        <v>2951793.0</v>
      </c>
      <c r="L145" s="91">
        <v>3215760.0</v>
      </c>
      <c r="M145" s="91">
        <v>3802779.0</v>
      </c>
      <c r="N145" s="91">
        <v>9157243.0</v>
      </c>
      <c r="O145" s="91">
        <v>6087640.0</v>
      </c>
      <c r="P145" s="91">
        <f>'Monthly Data'!AD86</f>
        <v>0</v>
      </c>
      <c r="Q145" s="215">
        <f t="shared" si="15"/>
        <v>57000000</v>
      </c>
      <c r="R145" s="215">
        <f t="shared" si="11"/>
        <v>608451</v>
      </c>
      <c r="S145" s="215">
        <f t="shared" si="12"/>
        <v>405634</v>
      </c>
      <c r="T145" s="215">
        <f t="shared" si="13"/>
        <v>1014085</v>
      </c>
      <c r="U145" s="216">
        <v>5.7E7</v>
      </c>
      <c r="V145" s="215">
        <f t="shared" si="14"/>
        <v>0</v>
      </c>
    </row>
    <row r="146">
      <c r="A146" s="214">
        <f t="shared" si="10"/>
        <v>45689</v>
      </c>
      <c r="B146" s="91">
        <v>0.0</v>
      </c>
      <c r="C146" s="91">
        <v>0.0</v>
      </c>
      <c r="D146" s="91">
        <v>0.0</v>
      </c>
      <c r="E146" s="91">
        <v>1026604.0</v>
      </c>
      <c r="F146" s="91">
        <v>536873.0</v>
      </c>
      <c r="G146" s="91">
        <v>583333.0</v>
      </c>
      <c r="H146" s="91">
        <v>357342.0</v>
      </c>
      <c r="I146" s="91">
        <v>0.0</v>
      </c>
      <c r="J146" s="91">
        <v>8445820.0</v>
      </c>
      <c r="K146" s="91">
        <v>3296939.0</v>
      </c>
      <c r="L146" s="91">
        <v>3477919.0</v>
      </c>
      <c r="M146" s="91">
        <v>4065002.0</v>
      </c>
      <c r="N146" s="91">
        <v>9773941.0</v>
      </c>
      <c r="O146" s="91">
        <v>6218496.0</v>
      </c>
      <c r="P146" s="91">
        <f>'Monthly Data'!AD87</f>
        <v>0</v>
      </c>
      <c r="Q146" s="215">
        <f t="shared" si="15"/>
        <v>57000000</v>
      </c>
      <c r="R146" s="215">
        <f t="shared" si="11"/>
        <v>615962</v>
      </c>
      <c r="S146" s="215">
        <f t="shared" si="12"/>
        <v>410642</v>
      </c>
      <c r="T146" s="215">
        <f t="shared" si="13"/>
        <v>1026604</v>
      </c>
      <c r="U146" s="216">
        <v>5.7E7</v>
      </c>
      <c r="V146" s="215">
        <f t="shared" si="14"/>
        <v>0</v>
      </c>
    </row>
    <row r="147">
      <c r="A147" s="221">
        <f t="shared" si="10"/>
        <v>45717</v>
      </c>
      <c r="B147" s="91">
        <v>0.0</v>
      </c>
      <c r="C147" s="91">
        <v>0.0</v>
      </c>
      <c r="D147" s="91">
        <v>0.0</v>
      </c>
      <c r="E147" s="91">
        <v>2541471.0</v>
      </c>
      <c r="F147" s="91">
        <v>547198.0</v>
      </c>
      <c r="G147" s="91">
        <v>583333.0</v>
      </c>
      <c r="H147" s="91">
        <v>357342.0</v>
      </c>
      <c r="I147" s="91">
        <v>0.0</v>
      </c>
      <c r="J147" s="91">
        <v>9100690.0</v>
      </c>
      <c r="K147" s="91">
        <v>3616020.0</v>
      </c>
      <c r="L147" s="91">
        <v>3716520.0</v>
      </c>
      <c r="M147" s="91">
        <v>4301398.0</v>
      </c>
      <c r="N147" s="91">
        <v>1.032907E7</v>
      </c>
      <c r="O147" s="91">
        <v>6320280.0</v>
      </c>
      <c r="P147" s="91">
        <f>'Monthly Data'!AD88</f>
        <v>0</v>
      </c>
      <c r="Q147" s="215">
        <f t="shared" si="15"/>
        <v>57000000</v>
      </c>
      <c r="R147" s="215">
        <f t="shared" si="11"/>
        <v>1524883</v>
      </c>
      <c r="S147" s="215">
        <f t="shared" si="12"/>
        <v>1016588</v>
      </c>
      <c r="T147" s="215">
        <f t="shared" si="13"/>
        <v>2541471</v>
      </c>
      <c r="U147" s="216">
        <v>5.7E7</v>
      </c>
      <c r="V147" s="215">
        <f t="shared" si="14"/>
        <v>0</v>
      </c>
    </row>
    <row r="148">
      <c r="A148" s="221">
        <f t="shared" si="10"/>
        <v>45748</v>
      </c>
      <c r="B148" s="91">
        <v>0.0</v>
      </c>
      <c r="C148" s="91">
        <v>4.0E7</v>
      </c>
      <c r="D148" s="91">
        <v>0.0</v>
      </c>
      <c r="E148" s="91">
        <v>1051643.0</v>
      </c>
      <c r="F148" s="91">
        <v>557522.0</v>
      </c>
      <c r="G148" s="91">
        <v>583333.0</v>
      </c>
      <c r="H148" s="91">
        <v>608108.0</v>
      </c>
      <c r="I148" s="91">
        <v>0.0</v>
      </c>
      <c r="J148" s="91">
        <v>9686003.0</v>
      </c>
      <c r="K148" s="91">
        <v>3905005.0</v>
      </c>
      <c r="L148" s="91">
        <v>3927919.0</v>
      </c>
      <c r="M148" s="91">
        <v>4507970.0</v>
      </c>
      <c r="N148" s="91">
        <v>1.0813107E7</v>
      </c>
      <c r="O148" s="91">
        <v>6388496.0</v>
      </c>
      <c r="P148" s="91">
        <f>'Monthly Data'!AD89</f>
        <v>0</v>
      </c>
      <c r="Q148" s="215">
        <f t="shared" si="15"/>
        <v>97000000</v>
      </c>
      <c r="R148" s="215">
        <f t="shared" si="11"/>
        <v>630986</v>
      </c>
      <c r="S148" s="215">
        <f t="shared" si="12"/>
        <v>420657</v>
      </c>
      <c r="T148" s="215">
        <f t="shared" si="13"/>
        <v>1051643</v>
      </c>
      <c r="U148" s="216">
        <v>9.7E7</v>
      </c>
      <c r="V148" s="215">
        <f t="shared" si="14"/>
        <v>0</v>
      </c>
    </row>
    <row r="149">
      <c r="A149" s="221">
        <f t="shared" si="10"/>
        <v>45778</v>
      </c>
      <c r="B149" s="91">
        <v>0.0</v>
      </c>
      <c r="C149" s="91">
        <v>0.0</v>
      </c>
      <c r="D149" s="91">
        <v>0.0</v>
      </c>
      <c r="E149" s="91">
        <v>1064163.0</v>
      </c>
      <c r="F149" s="91">
        <v>567847.0</v>
      </c>
      <c r="G149" s="91">
        <v>583333.0</v>
      </c>
      <c r="H149" s="91">
        <v>608108.0</v>
      </c>
      <c r="I149" s="91">
        <v>0.0</v>
      </c>
      <c r="J149" s="91">
        <v>1.0211076E7</v>
      </c>
      <c r="K149" s="91">
        <v>4167927.0</v>
      </c>
      <c r="L149" s="91">
        <v>4115760.0</v>
      </c>
      <c r="M149" s="91">
        <v>4688715.0</v>
      </c>
      <c r="N149" s="91">
        <v>1.1235577E7</v>
      </c>
      <c r="O149" s="91">
        <v>6427640.0</v>
      </c>
      <c r="P149" s="91">
        <f>'Monthly Data'!AD90</f>
        <v>0</v>
      </c>
      <c r="Q149" s="215">
        <f t="shared" si="15"/>
        <v>97000000</v>
      </c>
      <c r="R149" s="215">
        <f t="shared" si="11"/>
        <v>638498</v>
      </c>
      <c r="S149" s="215">
        <f t="shared" si="12"/>
        <v>425665</v>
      </c>
      <c r="T149" s="215">
        <f t="shared" si="13"/>
        <v>1064163</v>
      </c>
      <c r="U149" s="216">
        <v>9.7E7</v>
      </c>
      <c r="V149" s="215">
        <f t="shared" si="14"/>
        <v>0</v>
      </c>
    </row>
    <row r="150">
      <c r="A150" s="221">
        <f t="shared" si="10"/>
        <v>45809</v>
      </c>
      <c r="B150" s="91">
        <v>0.0</v>
      </c>
      <c r="C150" s="91">
        <v>0.0</v>
      </c>
      <c r="D150" s="91">
        <v>0.0</v>
      </c>
      <c r="E150" s="91">
        <v>1076682.0</v>
      </c>
      <c r="F150" s="91">
        <v>578171.0</v>
      </c>
      <c r="G150" s="91">
        <v>583333.0</v>
      </c>
      <c r="H150" s="91">
        <v>608108.0</v>
      </c>
      <c r="I150" s="91">
        <v>0.0</v>
      </c>
      <c r="J150" s="91">
        <v>1.070137E7</v>
      </c>
      <c r="K150" s="91">
        <v>4415800.0</v>
      </c>
      <c r="L150" s="91">
        <v>4290000.0</v>
      </c>
      <c r="M150" s="91">
        <v>4854548.0</v>
      </c>
      <c r="N150" s="91">
        <v>1.16225E7</v>
      </c>
      <c r="O150" s="91">
        <v>6450000.0</v>
      </c>
      <c r="P150" s="91">
        <f>'Monthly Data'!AD91</f>
        <v>0</v>
      </c>
      <c r="Q150" s="215">
        <f t="shared" si="15"/>
        <v>97000000</v>
      </c>
      <c r="R150" s="215">
        <f t="shared" si="11"/>
        <v>646009</v>
      </c>
      <c r="S150" s="215">
        <f t="shared" si="12"/>
        <v>430673</v>
      </c>
      <c r="T150" s="215">
        <f t="shared" si="13"/>
        <v>1076682</v>
      </c>
      <c r="U150" s="216">
        <v>9.7E7</v>
      </c>
      <c r="V150" s="215">
        <f t="shared" si="14"/>
        <v>0</v>
      </c>
    </row>
    <row r="151">
      <c r="A151" s="221">
        <f t="shared" si="10"/>
        <v>45839</v>
      </c>
      <c r="B151" s="91">
        <v>0.0</v>
      </c>
      <c r="C151" s="91">
        <v>0.0</v>
      </c>
      <c r="D151" s="91">
        <v>0.0</v>
      </c>
      <c r="E151" s="91">
        <v>1089202.0</v>
      </c>
      <c r="F151" s="91">
        <v>588496.0</v>
      </c>
      <c r="G151" s="91">
        <v>583333.0</v>
      </c>
      <c r="H151" s="91">
        <v>608108.0</v>
      </c>
      <c r="I151" s="91">
        <v>0.0</v>
      </c>
      <c r="J151" s="91">
        <v>1.1191664E7</v>
      </c>
      <c r="K151" s="91">
        <v>4663673.0</v>
      </c>
      <c r="L151" s="91">
        <v>4464240.0</v>
      </c>
      <c r="M151" s="91">
        <v>5020381.0</v>
      </c>
      <c r="N151" s="91">
        <v>1.2009423E7</v>
      </c>
      <c r="O151" s="91">
        <v>6472360.0</v>
      </c>
      <c r="P151" s="91">
        <f>'Monthly Data'!AD92</f>
        <v>0</v>
      </c>
      <c r="Q151" s="215">
        <f t="shared" si="15"/>
        <v>97000000</v>
      </c>
      <c r="R151" s="215">
        <f t="shared" si="11"/>
        <v>653521</v>
      </c>
      <c r="S151" s="215">
        <f t="shared" si="12"/>
        <v>435681</v>
      </c>
      <c r="T151" s="215">
        <f t="shared" si="13"/>
        <v>1089202</v>
      </c>
      <c r="U151" s="216">
        <v>9.7E7</v>
      </c>
      <c r="V151" s="215">
        <f t="shared" si="14"/>
        <v>0</v>
      </c>
    </row>
    <row r="152">
      <c r="A152" s="221">
        <f t="shared" si="10"/>
        <v>45870</v>
      </c>
      <c r="B152" s="91">
        <v>0.0</v>
      </c>
      <c r="C152" s="91">
        <v>0.0</v>
      </c>
      <c r="D152" s="91">
        <v>0.0</v>
      </c>
      <c r="E152" s="91">
        <v>1101721.0</v>
      </c>
      <c r="F152" s="91">
        <v>598820.0</v>
      </c>
      <c r="G152" s="91">
        <v>583333.0</v>
      </c>
      <c r="H152" s="91">
        <v>608108.0</v>
      </c>
      <c r="I152" s="91">
        <v>0.0</v>
      </c>
      <c r="J152" s="91">
        <v>1.1716737E7</v>
      </c>
      <c r="K152" s="91">
        <v>4926595.0</v>
      </c>
      <c r="L152" s="91">
        <v>4652081.0</v>
      </c>
      <c r="M152" s="91">
        <v>5201126.0</v>
      </c>
      <c r="N152" s="91">
        <v>1.2431893E7</v>
      </c>
      <c r="O152" s="91">
        <v>6511504.0</v>
      </c>
      <c r="P152" s="91">
        <f>'Monthly Data'!AD93</f>
        <v>0</v>
      </c>
      <c r="Q152" s="215">
        <f t="shared" si="15"/>
        <v>97000000</v>
      </c>
      <c r="R152" s="215">
        <f t="shared" si="11"/>
        <v>661033</v>
      </c>
      <c r="S152" s="215">
        <f t="shared" si="12"/>
        <v>440688</v>
      </c>
      <c r="T152" s="215">
        <f t="shared" si="13"/>
        <v>1101721</v>
      </c>
      <c r="U152" s="216">
        <v>9.7E7</v>
      </c>
      <c r="V152" s="215">
        <f t="shared" si="14"/>
        <v>0</v>
      </c>
    </row>
    <row r="153">
      <c r="A153" s="221">
        <f t="shared" si="10"/>
        <v>45901</v>
      </c>
      <c r="B153" s="91">
        <v>0.0</v>
      </c>
      <c r="C153" s="91">
        <v>0.0</v>
      </c>
      <c r="D153" s="91">
        <v>0.0</v>
      </c>
      <c r="E153" s="91">
        <v>2616588.0</v>
      </c>
      <c r="F153" s="91">
        <v>609145.0</v>
      </c>
      <c r="G153" s="91">
        <v>583333.0</v>
      </c>
      <c r="H153" s="91">
        <v>608108.0</v>
      </c>
      <c r="I153" s="91">
        <v>0.0</v>
      </c>
      <c r="J153" s="91">
        <v>1.2302049E7</v>
      </c>
      <c r="K153" s="91">
        <v>5215580.0</v>
      </c>
      <c r="L153" s="91">
        <v>4863480.0</v>
      </c>
      <c r="M153" s="91">
        <v>5407698.0</v>
      </c>
      <c r="N153" s="91">
        <v>1.291593E7</v>
      </c>
      <c r="O153" s="91">
        <v>6579720.0</v>
      </c>
      <c r="P153" s="91">
        <f>'Monthly Data'!AD94</f>
        <v>0</v>
      </c>
      <c r="Q153" s="215">
        <f t="shared" si="15"/>
        <v>97000000</v>
      </c>
      <c r="R153" s="215">
        <f t="shared" si="11"/>
        <v>1569953</v>
      </c>
      <c r="S153" s="215">
        <f t="shared" si="12"/>
        <v>1046635</v>
      </c>
      <c r="T153" s="215">
        <f t="shared" si="13"/>
        <v>2616588</v>
      </c>
      <c r="U153" s="216">
        <v>9.7E7</v>
      </c>
      <c r="V153" s="215">
        <f t="shared" si="14"/>
        <v>0</v>
      </c>
    </row>
    <row r="154">
      <c r="A154" s="221">
        <f t="shared" si="10"/>
        <v>45931</v>
      </c>
      <c r="B154" s="91">
        <v>0.0</v>
      </c>
      <c r="C154" s="91">
        <v>0.0</v>
      </c>
      <c r="D154" s="91">
        <v>0.0</v>
      </c>
      <c r="E154" s="91">
        <v>1126761.0</v>
      </c>
      <c r="F154" s="91">
        <v>619469.0</v>
      </c>
      <c r="G154" s="91">
        <v>583333.0</v>
      </c>
      <c r="H154" s="91">
        <v>608108.0</v>
      </c>
      <c r="I154" s="91">
        <v>0.0</v>
      </c>
      <c r="J154" s="91">
        <v>1.295692E7</v>
      </c>
      <c r="K154" s="91">
        <v>5534661.0</v>
      </c>
      <c r="L154" s="91">
        <v>5102081.0</v>
      </c>
      <c r="M154" s="91">
        <v>5644094.0</v>
      </c>
      <c r="N154" s="91">
        <v>1.3471059E7</v>
      </c>
      <c r="O154" s="91">
        <v>6681504.0</v>
      </c>
      <c r="P154" s="91">
        <f>'Monthly Data'!AD95</f>
        <v>0</v>
      </c>
      <c r="Q154" s="215">
        <f t="shared" si="15"/>
        <v>97000000</v>
      </c>
      <c r="R154" s="215">
        <f t="shared" si="11"/>
        <v>676057</v>
      </c>
      <c r="S154" s="215">
        <f t="shared" si="12"/>
        <v>450704</v>
      </c>
      <c r="T154" s="215">
        <f t="shared" si="13"/>
        <v>1126761</v>
      </c>
      <c r="U154" s="216">
        <v>9.7E7</v>
      </c>
      <c r="V154" s="215">
        <f t="shared" si="14"/>
        <v>0</v>
      </c>
    </row>
    <row r="155">
      <c r="A155" s="221">
        <f t="shared" si="10"/>
        <v>45962</v>
      </c>
      <c r="B155" s="91">
        <v>0.0</v>
      </c>
      <c r="C155" s="91">
        <v>0.0</v>
      </c>
      <c r="D155" s="91">
        <v>0.0</v>
      </c>
      <c r="E155" s="91">
        <v>1139280.0</v>
      </c>
      <c r="F155" s="91">
        <v>629794.0</v>
      </c>
      <c r="G155" s="91">
        <v>583333.0</v>
      </c>
      <c r="H155" s="91">
        <v>608108.0</v>
      </c>
      <c r="I155" s="91">
        <v>0.0</v>
      </c>
      <c r="J155" s="91">
        <v>1.3672029E7</v>
      </c>
      <c r="K155" s="91">
        <v>5879807.0</v>
      </c>
      <c r="L155" s="91">
        <v>5364240.0</v>
      </c>
      <c r="M155" s="91">
        <v>5906317.0</v>
      </c>
      <c r="N155" s="91">
        <v>1.4087757E7</v>
      </c>
      <c r="O155" s="91">
        <v>6812360.0</v>
      </c>
      <c r="P155" s="91">
        <f>'Monthly Data'!AD96</f>
        <v>0</v>
      </c>
      <c r="Q155" s="215">
        <f t="shared" si="15"/>
        <v>97000000</v>
      </c>
      <c r="R155" s="215">
        <f t="shared" si="11"/>
        <v>683568</v>
      </c>
      <c r="S155" s="215">
        <f t="shared" si="12"/>
        <v>455712</v>
      </c>
      <c r="T155" s="215">
        <f t="shared" si="13"/>
        <v>1139280</v>
      </c>
      <c r="U155" s="216">
        <v>9.7E7</v>
      </c>
      <c r="V155" s="215">
        <f t="shared" si="14"/>
        <v>0</v>
      </c>
    </row>
    <row r="156">
      <c r="A156" s="221">
        <f t="shared" si="10"/>
        <v>45992</v>
      </c>
      <c r="B156" s="91">
        <v>0.0</v>
      </c>
      <c r="C156" s="91">
        <v>0.0</v>
      </c>
      <c r="D156" s="91">
        <v>0.0</v>
      </c>
      <c r="E156" s="91">
        <v>1151800.0</v>
      </c>
      <c r="F156" s="91">
        <v>640116.0</v>
      </c>
      <c r="G156" s="91">
        <v>583337.0</v>
      </c>
      <c r="H156" s="91">
        <v>608110.0</v>
      </c>
      <c r="I156" s="91">
        <v>0.0</v>
      </c>
      <c r="J156" s="91">
        <v>1.4421918E7</v>
      </c>
      <c r="K156" s="91">
        <v>6240000.0</v>
      </c>
      <c r="L156" s="91">
        <v>5640000.0</v>
      </c>
      <c r="M156" s="91">
        <v>6183452.0</v>
      </c>
      <c r="N156" s="91">
        <v>1.474E7</v>
      </c>
      <c r="O156" s="91">
        <v>6960000.0</v>
      </c>
      <c r="P156" s="91">
        <f>'Monthly Data'!AD97</f>
        <v>0</v>
      </c>
      <c r="Q156" s="215">
        <f t="shared" si="15"/>
        <v>97000000</v>
      </c>
      <c r="R156" s="215">
        <f t="shared" si="11"/>
        <v>691080</v>
      </c>
      <c r="S156" s="215">
        <f t="shared" si="12"/>
        <v>460720</v>
      </c>
      <c r="T156" s="215">
        <f t="shared" si="13"/>
        <v>1151800</v>
      </c>
      <c r="U156" s="216">
        <v>9.7E7</v>
      </c>
      <c r="V156" s="215">
        <f t="shared" si="14"/>
        <v>0</v>
      </c>
    </row>
    <row r="157">
      <c r="A157" s="113">
        <v>46023.0</v>
      </c>
      <c r="B157" s="116">
        <v>0.0</v>
      </c>
      <c r="C157" s="116">
        <v>0.0</v>
      </c>
      <c r="D157" s="116">
        <v>0.0</v>
      </c>
      <c r="E157" s="116">
        <f>'Working Capital &amp; Assets'!D104</f>
        <v>1327775</v>
      </c>
      <c r="F157" s="116">
        <f>'Workforce &amp; Expenses'!H357</f>
        <v>770046</v>
      </c>
      <c r="G157" s="116">
        <f>'Working Capital &amp; Assets'!B104</f>
        <v>816666</v>
      </c>
      <c r="H157" s="116">
        <v>687083.0</v>
      </c>
      <c r="I157" s="116">
        <f>'Working Capital &amp; Assets'!C104</f>
        <v>0</v>
      </c>
      <c r="J157" s="116">
        <f>'Working Capital &amp; Assets'!E104</f>
        <v>12741677</v>
      </c>
      <c r="K157" s="116">
        <f>'Working Capital &amp; Assets'!F104</f>
        <v>6064369</v>
      </c>
      <c r="L157" s="116">
        <f>'Working Capital &amp; Assets'!G104</f>
        <v>5300182</v>
      </c>
      <c r="M157" s="116">
        <f>'Working Capital &amp; Assets'!H104</f>
        <v>6600326</v>
      </c>
      <c r="N157" s="116">
        <f>'Working Capital &amp; Assets'!I104</f>
        <v>15961986</v>
      </c>
      <c r="O157" s="116">
        <f>'Working Capital &amp; Assets'!J104</f>
        <v>8979442</v>
      </c>
      <c r="P157" s="116">
        <f>'Monthly Data'!AD98</f>
        <v>0</v>
      </c>
      <c r="Q157" s="115">
        <f t="shared" si="15"/>
        <v>97000000</v>
      </c>
      <c r="R157" s="115">
        <f t="shared" si="11"/>
        <v>796665</v>
      </c>
      <c r="S157" s="115">
        <f t="shared" si="12"/>
        <v>531110</v>
      </c>
      <c r="T157" s="115">
        <f t="shared" si="13"/>
        <v>1327775</v>
      </c>
      <c r="U157" s="116">
        <v>9.7E7</v>
      </c>
      <c r="V157" s="115">
        <f t="shared" si="14"/>
        <v>0</v>
      </c>
    </row>
    <row r="158">
      <c r="A158" s="113">
        <v>46054.0</v>
      </c>
      <c r="B158" s="116">
        <v>1.55E8</v>
      </c>
      <c r="C158" s="116">
        <v>0.0</v>
      </c>
      <c r="D158" s="116">
        <v>0.0</v>
      </c>
      <c r="E158" s="116">
        <f>'Working Capital &amp; Assets'!D105</f>
        <v>1368805</v>
      </c>
      <c r="F158" s="116">
        <f>'Workforce &amp; Expenses'!H358</f>
        <v>771600</v>
      </c>
      <c r="G158" s="116">
        <f>'Working Capital &amp; Assets'!B105</f>
        <v>816666</v>
      </c>
      <c r="H158" s="116">
        <v>687083.0</v>
      </c>
      <c r="I158" s="116">
        <f>'Working Capital &amp; Assets'!C105</f>
        <v>0</v>
      </c>
      <c r="J158" s="116">
        <f>'Working Capital &amp; Assets'!E105</f>
        <v>13734100</v>
      </c>
      <c r="K158" s="116">
        <f>'Working Capital &amp; Assets'!F105</f>
        <v>6537591</v>
      </c>
      <c r="L158" s="116">
        <f>'Working Capital &amp; Assets'!G105</f>
        <v>5655590</v>
      </c>
      <c r="M158" s="116">
        <f>'Working Capital &amp; Assets'!H105</f>
        <v>6898881</v>
      </c>
      <c r="N158" s="116">
        <f>'Working Capital &amp; Assets'!I105</f>
        <v>16470279</v>
      </c>
      <c r="O158" s="116">
        <f>'Working Capital &amp; Assets'!J105</f>
        <v>9214526</v>
      </c>
      <c r="P158" s="116">
        <f>'Monthly Data'!AD99</f>
        <v>0</v>
      </c>
      <c r="Q158" s="115">
        <f t="shared" si="15"/>
        <v>97000000</v>
      </c>
      <c r="R158" s="115">
        <f t="shared" si="11"/>
        <v>821283</v>
      </c>
      <c r="S158" s="115">
        <f t="shared" si="12"/>
        <v>547522</v>
      </c>
      <c r="T158" s="115">
        <f t="shared" si="13"/>
        <v>1368805</v>
      </c>
      <c r="U158" s="116">
        <v>9.7E7</v>
      </c>
      <c r="V158" s="115">
        <f t="shared" si="14"/>
        <v>0</v>
      </c>
    </row>
    <row r="159" ht="16.5" customHeight="1">
      <c r="A159" s="113">
        <v>46082.0</v>
      </c>
      <c r="B159" s="116">
        <v>0.0</v>
      </c>
      <c r="C159" s="116">
        <v>0.0</v>
      </c>
      <c r="D159" s="116">
        <v>0.0</v>
      </c>
      <c r="E159" s="116">
        <f>'Working Capital &amp; Assets'!D106</f>
        <v>3449623</v>
      </c>
      <c r="F159" s="116">
        <f>'Workforce &amp; Expenses'!H359</f>
        <v>775930</v>
      </c>
      <c r="G159" s="116">
        <f>'Working Capital &amp; Assets'!B106</f>
        <v>816666</v>
      </c>
      <c r="H159" s="116">
        <v>687083.0</v>
      </c>
      <c r="I159" s="116">
        <f>'Working Capital &amp; Assets'!C106</f>
        <v>0</v>
      </c>
      <c r="J159" s="116">
        <f>'Working Capital &amp; Assets'!E106</f>
        <v>13988514</v>
      </c>
      <c r="K159" s="116">
        <f>'Working Capital &amp; Assets'!F106</f>
        <v>7035149</v>
      </c>
      <c r="L159" s="116">
        <f>'Working Capital &amp; Assets'!G106</f>
        <v>5712598</v>
      </c>
      <c r="M159" s="116">
        <f>'Working Capital &amp; Assets'!H106</f>
        <v>7274535</v>
      </c>
      <c r="N159" s="116">
        <f>'Working Capital &amp; Assets'!I106</f>
        <v>17098451</v>
      </c>
      <c r="O159" s="116">
        <f>'Working Capital &amp; Assets'!J106</f>
        <v>8228707</v>
      </c>
      <c r="P159" s="116">
        <f>'Monthly Data'!AD100</f>
        <v>0</v>
      </c>
      <c r="Q159" s="115">
        <f t="shared" si="15"/>
        <v>97000000</v>
      </c>
      <c r="R159" s="115">
        <f t="shared" si="11"/>
        <v>2069774</v>
      </c>
      <c r="S159" s="115">
        <f t="shared" si="12"/>
        <v>1379849</v>
      </c>
      <c r="T159" s="115">
        <f t="shared" si="13"/>
        <v>3449623</v>
      </c>
      <c r="U159" s="116">
        <v>9.7E7</v>
      </c>
      <c r="V159" s="115">
        <f t="shared" si="14"/>
        <v>0</v>
      </c>
    </row>
    <row r="160">
      <c r="A160" s="113">
        <v>46113.0</v>
      </c>
      <c r="B160" s="116">
        <v>0.0</v>
      </c>
      <c r="C160" s="116">
        <v>0.0</v>
      </c>
      <c r="D160" s="116">
        <v>0.0</v>
      </c>
      <c r="E160" s="116">
        <f>'Working Capital &amp; Assets'!D107</f>
        <v>1376952</v>
      </c>
      <c r="F160" s="116">
        <f>'Workforce &amp; Expenses'!H360</f>
        <v>779056</v>
      </c>
      <c r="G160" s="116">
        <f>'Working Capital &amp; Assets'!B107</f>
        <v>816666</v>
      </c>
      <c r="H160" s="116">
        <v>687083.0</v>
      </c>
      <c r="I160" s="116">
        <f>'Working Capital &amp; Assets'!C107</f>
        <v>0</v>
      </c>
      <c r="J160" s="116">
        <f>'Working Capital &amp; Assets'!E107</f>
        <v>15854615</v>
      </c>
      <c r="K160" s="116">
        <f>'Working Capital &amp; Assets'!F107</f>
        <v>7368545</v>
      </c>
      <c r="L160" s="116">
        <f>'Working Capital &amp; Assets'!G107</f>
        <v>6429447</v>
      </c>
      <c r="M160" s="116">
        <f>'Working Capital &amp; Assets'!H107</f>
        <v>7717252</v>
      </c>
      <c r="N160" s="116">
        <f>'Working Capital &amp; Assets'!I107</f>
        <v>17796590</v>
      </c>
      <c r="O160" s="116">
        <f>'Working Capital &amp; Assets'!J107</f>
        <v>9513683</v>
      </c>
      <c r="P160" s="116">
        <f>'Monthly Data'!AD101</f>
        <v>0</v>
      </c>
      <c r="Q160" s="115">
        <f t="shared" si="15"/>
        <v>97000000</v>
      </c>
      <c r="R160" s="115">
        <f t="shared" si="11"/>
        <v>826171</v>
      </c>
      <c r="S160" s="115">
        <f t="shared" si="12"/>
        <v>550781</v>
      </c>
      <c r="T160" s="115">
        <f t="shared" si="13"/>
        <v>1376952</v>
      </c>
      <c r="U160" s="116">
        <v>9.7E7</v>
      </c>
      <c r="V160" s="115">
        <f t="shared" si="14"/>
        <v>0</v>
      </c>
    </row>
    <row r="161">
      <c r="A161" s="113">
        <v>46143.0</v>
      </c>
      <c r="B161" s="116">
        <v>0.0</v>
      </c>
      <c r="C161" s="116">
        <v>0.0</v>
      </c>
      <c r="D161" s="116">
        <v>0.0</v>
      </c>
      <c r="E161" s="116">
        <f>'Working Capital &amp; Assets'!D108</f>
        <v>1418884</v>
      </c>
      <c r="F161" s="116">
        <f>'Workforce &amp; Expenses'!H361</f>
        <v>778103</v>
      </c>
      <c r="G161" s="116">
        <f>'Working Capital &amp; Assets'!B108</f>
        <v>816666</v>
      </c>
      <c r="H161" s="116">
        <v>687083.0</v>
      </c>
      <c r="I161" s="116">
        <f>'Working Capital &amp; Assets'!C108</f>
        <v>0</v>
      </c>
      <c r="J161" s="116">
        <f>'Working Capital &amp; Assets'!E108</f>
        <v>16860181</v>
      </c>
      <c r="K161" s="116">
        <f>'Working Capital &amp; Assets'!F108</f>
        <v>7747151</v>
      </c>
      <c r="L161" s="116">
        <f>'Working Capital &amp; Assets'!G108</f>
        <v>6795802</v>
      </c>
      <c r="M161" s="116">
        <f>'Working Capital &amp; Assets'!H108</f>
        <v>8225069</v>
      </c>
      <c r="N161" s="116">
        <f>'Working Capital &amp; Assets'!I108</f>
        <v>18648241</v>
      </c>
      <c r="O161" s="116">
        <f>'Working Capital &amp; Assets'!J108</f>
        <v>9611505</v>
      </c>
      <c r="P161" s="116">
        <f>'Monthly Data'!AD102</f>
        <v>0</v>
      </c>
      <c r="Q161" s="115">
        <f t="shared" si="15"/>
        <v>97000000</v>
      </c>
      <c r="R161" s="115">
        <f t="shared" si="11"/>
        <v>851330</v>
      </c>
      <c r="S161" s="115">
        <f t="shared" si="12"/>
        <v>567554</v>
      </c>
      <c r="T161" s="115">
        <f t="shared" si="13"/>
        <v>1418884</v>
      </c>
      <c r="U161" s="116">
        <v>9.7E7</v>
      </c>
      <c r="V161" s="115">
        <f t="shared" si="14"/>
        <v>0</v>
      </c>
    </row>
    <row r="162">
      <c r="A162" s="113">
        <v>46174.0</v>
      </c>
      <c r="B162" s="116">
        <v>0.0</v>
      </c>
      <c r="C162" s="116">
        <v>0.0</v>
      </c>
      <c r="D162" s="116">
        <v>0.0</v>
      </c>
      <c r="E162" s="116">
        <f>'Working Capital &amp; Assets'!D109</f>
        <v>1461416</v>
      </c>
      <c r="F162" s="116">
        <f>'Workforce &amp; Expenses'!H362</f>
        <v>773948</v>
      </c>
      <c r="G162" s="116">
        <f>'Working Capital &amp; Assets'!B109</f>
        <v>816666</v>
      </c>
      <c r="H162" s="116">
        <v>687083.0</v>
      </c>
      <c r="I162" s="116">
        <f>'Working Capital &amp; Assets'!C109</f>
        <v>0</v>
      </c>
      <c r="J162" s="116">
        <f>'Working Capital &amp; Assets'!E109</f>
        <v>16286209</v>
      </c>
      <c r="K162" s="116">
        <f>'Working Capital &amp; Assets'!F109</f>
        <v>7953000</v>
      </c>
      <c r="L162" s="116">
        <f>'Working Capital &amp; Assets'!G109</f>
        <v>6528868</v>
      </c>
      <c r="M162" s="116">
        <f>'Working Capital &amp; Assets'!H109</f>
        <v>8483435</v>
      </c>
      <c r="N162" s="116">
        <f>'Working Capital &amp; Assets'!I109</f>
        <v>19476112</v>
      </c>
      <c r="O162" s="116">
        <f>'Working Capital &amp; Assets'!J109</f>
        <v>8245307</v>
      </c>
      <c r="P162" s="116">
        <f>'Monthly Data'!AD103</f>
        <v>0</v>
      </c>
      <c r="Q162" s="115">
        <f t="shared" si="15"/>
        <v>97000000</v>
      </c>
      <c r="R162" s="115">
        <f t="shared" si="11"/>
        <v>876850</v>
      </c>
      <c r="S162" s="115">
        <f t="shared" si="12"/>
        <v>584566</v>
      </c>
      <c r="T162" s="115">
        <f t="shared" si="13"/>
        <v>1461416</v>
      </c>
      <c r="U162" s="116">
        <v>9.7E7</v>
      </c>
      <c r="V162" s="115">
        <f t="shared" si="14"/>
        <v>0</v>
      </c>
    </row>
    <row r="163">
      <c r="A163" s="113">
        <v>46204.0</v>
      </c>
      <c r="B163" s="116">
        <v>0.0</v>
      </c>
      <c r="C163" s="116">
        <v>0.0</v>
      </c>
      <c r="D163" s="116">
        <v>0.0</v>
      </c>
      <c r="E163" s="116">
        <f>'Working Capital &amp; Assets'!D110</f>
        <v>1426128</v>
      </c>
      <c r="F163" s="116">
        <f>'Workforce &amp; Expenses'!H363</f>
        <v>770000</v>
      </c>
      <c r="G163" s="116">
        <f>'Working Capital &amp; Assets'!B110</f>
        <v>816666</v>
      </c>
      <c r="H163" s="116">
        <v>687083.0</v>
      </c>
      <c r="I163" s="116">
        <f>'Working Capital &amp; Assets'!C110</f>
        <v>0</v>
      </c>
      <c r="J163" s="116">
        <f>'Working Capital &amp; Assets'!E110</f>
        <v>18301254</v>
      </c>
      <c r="K163" s="116">
        <f>'Working Capital &amp; Assets'!F110</f>
        <v>8276068</v>
      </c>
      <c r="L163" s="116">
        <f>'Working Capital &amp; Assets'!G110</f>
        <v>7300183</v>
      </c>
      <c r="M163" s="116">
        <f>'Working Capital &amp; Assets'!H110</f>
        <v>8986020</v>
      </c>
      <c r="N163" s="116">
        <f>'Working Capital &amp; Assets'!I110</f>
        <v>20078235</v>
      </c>
      <c r="O163" s="116">
        <f>'Working Capital &amp; Assets'!J110</f>
        <v>9325706</v>
      </c>
      <c r="P163" s="116">
        <f>'Monthly Data'!AD104</f>
        <v>0</v>
      </c>
      <c r="Q163" s="115">
        <f t="shared" si="15"/>
        <v>97000000</v>
      </c>
      <c r="R163" s="115">
        <f t="shared" si="11"/>
        <v>855677</v>
      </c>
      <c r="S163" s="115">
        <f t="shared" si="12"/>
        <v>570451</v>
      </c>
      <c r="T163" s="115">
        <f t="shared" si="13"/>
        <v>1426128</v>
      </c>
      <c r="U163" s="116">
        <v>9.7E7</v>
      </c>
      <c r="V163" s="115">
        <f t="shared" si="14"/>
        <v>0</v>
      </c>
    </row>
    <row r="164">
      <c r="A164" s="113">
        <v>46235.0</v>
      </c>
      <c r="B164" s="116">
        <v>0.0</v>
      </c>
      <c r="C164" s="116">
        <v>0.0</v>
      </c>
      <c r="D164" s="116">
        <v>0.0</v>
      </c>
      <c r="E164" s="116">
        <f>'Working Capital &amp; Assets'!D111</f>
        <v>1468961</v>
      </c>
      <c r="F164" s="116">
        <f>'Workforce &amp; Expenses'!H364</f>
        <v>770000</v>
      </c>
      <c r="G164" s="116">
        <f>'Working Capital &amp; Assets'!B111</f>
        <v>816666</v>
      </c>
      <c r="H164" s="116">
        <v>687083.0</v>
      </c>
      <c r="I164" s="116">
        <f>'Working Capital &amp; Assets'!C111</f>
        <v>0</v>
      </c>
      <c r="J164" s="116">
        <f>'Working Capital &amp; Assets'!E111</f>
        <v>19102397</v>
      </c>
      <c r="K164" s="116">
        <f>'Working Capital &amp; Assets'!F111</f>
        <v>8580892</v>
      </c>
      <c r="L164" s="116">
        <f>'Working Capital &amp; Assets'!G111</f>
        <v>7584526</v>
      </c>
      <c r="M164" s="116">
        <f>'Working Capital &amp; Assets'!H111</f>
        <v>9282948</v>
      </c>
      <c r="N164" s="116">
        <f>'Working Capital &amp; Assets'!I111</f>
        <v>20478069</v>
      </c>
      <c r="O164" s="116">
        <f>'Working Capital &amp; Assets'!J111</f>
        <v>9284442</v>
      </c>
      <c r="P164" s="116">
        <f>'Monthly Data'!AD105</f>
        <v>0</v>
      </c>
      <c r="Q164" s="115">
        <f t="shared" si="15"/>
        <v>97000000</v>
      </c>
      <c r="R164" s="115">
        <f t="shared" si="11"/>
        <v>881377</v>
      </c>
      <c r="S164" s="115">
        <f t="shared" si="12"/>
        <v>587584</v>
      </c>
      <c r="T164" s="115">
        <f t="shared" si="13"/>
        <v>1468961</v>
      </c>
      <c r="U164" s="116">
        <v>9.7E7</v>
      </c>
      <c r="V164" s="115">
        <f t="shared" si="14"/>
        <v>0</v>
      </c>
    </row>
    <row r="165">
      <c r="A165" s="113">
        <v>46266.0</v>
      </c>
      <c r="B165" s="116">
        <v>0.0</v>
      </c>
      <c r="C165" s="116">
        <v>0.0</v>
      </c>
      <c r="D165" s="116">
        <v>0.0</v>
      </c>
      <c r="E165" s="116">
        <f>'Working Capital &amp; Assets'!D112</f>
        <v>3551582</v>
      </c>
      <c r="F165" s="116">
        <f>'Workforce &amp; Expenses'!H365</f>
        <v>770000</v>
      </c>
      <c r="G165" s="116">
        <f>'Working Capital &amp; Assets'!B112</f>
        <v>816666</v>
      </c>
      <c r="H165" s="116">
        <v>687083.0</v>
      </c>
      <c r="I165" s="116">
        <f>'Working Capital &amp; Assets'!C112</f>
        <v>0</v>
      </c>
      <c r="J165" s="116">
        <f>'Working Capital &amp; Assets'!E112</f>
        <v>19179911</v>
      </c>
      <c r="K165" s="116">
        <f>'Working Capital &amp; Assets'!F112</f>
        <v>8860034</v>
      </c>
      <c r="L165" s="116">
        <f>'Working Capital &amp; Assets'!G112</f>
        <v>7582567</v>
      </c>
      <c r="M165" s="116">
        <f>'Working Capital &amp; Assets'!H112</f>
        <v>9343155</v>
      </c>
      <c r="N165" s="116">
        <f>'Working Capital &amp; Assets'!I112</f>
        <v>20699914</v>
      </c>
      <c r="O165" s="116">
        <f>'Working Capital &amp; Assets'!J112</f>
        <v>8356443</v>
      </c>
      <c r="P165" s="116">
        <f>'Monthly Data'!AD106</f>
        <v>0</v>
      </c>
      <c r="Q165" s="115">
        <f t="shared" si="15"/>
        <v>97000000</v>
      </c>
      <c r="R165" s="115">
        <f t="shared" si="11"/>
        <v>2130949</v>
      </c>
      <c r="S165" s="115">
        <f t="shared" si="12"/>
        <v>1420633</v>
      </c>
      <c r="T165" s="115">
        <f t="shared" si="13"/>
        <v>3551582</v>
      </c>
      <c r="U165" s="116">
        <v>9.7E7</v>
      </c>
      <c r="V165" s="115">
        <f t="shared" si="14"/>
        <v>0</v>
      </c>
    </row>
    <row r="184">
      <c r="A184" s="228" t="s">
        <v>615</v>
      </c>
      <c r="B184" s="229"/>
      <c r="C184" s="229"/>
      <c r="D184" s="229"/>
      <c r="E184" s="229"/>
      <c r="F184" s="229"/>
      <c r="G184" s="229"/>
      <c r="H184" s="229"/>
    </row>
    <row r="185" ht="36.0" customHeight="1">
      <c r="A185" s="66" t="s">
        <v>616</v>
      </c>
    </row>
    <row r="186">
      <c r="A186" s="230" t="s">
        <v>617</v>
      </c>
      <c r="B186" s="230" t="s">
        <v>562</v>
      </c>
      <c r="C186" s="230" t="s">
        <v>618</v>
      </c>
      <c r="D186" s="230" t="s">
        <v>619</v>
      </c>
      <c r="E186" s="230" t="s">
        <v>620</v>
      </c>
      <c r="F186" s="230" t="s">
        <v>621</v>
      </c>
      <c r="G186" s="230" t="s">
        <v>622</v>
      </c>
      <c r="H186" s="230" t="s">
        <v>623</v>
      </c>
    </row>
    <row r="187">
      <c r="A187" s="16">
        <v>2022.0</v>
      </c>
      <c r="B187" s="231">
        <f>'Balance Sheet'!F20</f>
        <v>0</v>
      </c>
      <c r="C187" s="231">
        <f t="array" ref="C187">MAX(0,-INDEX('Cash Flow'!$B$26:$P$26,1,MATCH(A187+1,'Cash Flow'!$B$5:$P$5,0)))</f>
        <v>0</v>
      </c>
      <c r="D187" s="231">
        <f t="shared" ref="D187:D197" si="16">ROUND(B187-C187,0)</f>
        <v>0</v>
      </c>
      <c r="E187" s="27" t="str">
        <f t="shared" ref="E187:E197" si="17">IF(D187=0,"MATCH","REVIEW")</f>
        <v>MATCH</v>
      </c>
      <c r="F187" s="231">
        <f>'Balance Sheet'!F32</f>
        <v>22000000</v>
      </c>
      <c r="G187" s="231">
        <f>ROUND(F187-('Balance Sheet'!E32+'Cash Flow'!F25+'Cash Flow'!F26),0)</f>
        <v>0</v>
      </c>
      <c r="H187" s="16" t="s">
        <v>624</v>
      </c>
    </row>
    <row r="188">
      <c r="A188" s="16">
        <v>2023.0</v>
      </c>
      <c r="B188" s="231">
        <f>'Balance Sheet'!G20</f>
        <v>5000000</v>
      </c>
      <c r="C188" s="231">
        <f t="array" ref="C188">MAX(0,-INDEX('Cash Flow'!$B$26:$P$26,1,MATCH(A188+1,'Cash Flow'!$B$5:$P$5,0)))</f>
        <v>5000000</v>
      </c>
      <c r="D188" s="231">
        <f t="shared" si="16"/>
        <v>0</v>
      </c>
      <c r="E188" s="27" t="str">
        <f t="shared" si="17"/>
        <v>MATCH</v>
      </c>
      <c r="F188" s="231">
        <f>'Balance Sheet'!G32</f>
        <v>62000000</v>
      </c>
      <c r="G188" s="231">
        <f>ROUND(F188-('Balance Sheet'!F32+'Cash Flow'!G25+'Cash Flow'!G26),0)</f>
        <v>0</v>
      </c>
      <c r="H188" s="16" t="s">
        <v>625</v>
      </c>
    </row>
    <row r="189">
      <c r="A189" s="16">
        <v>2024.0</v>
      </c>
      <c r="B189" s="231">
        <f>'Balance Sheet'!H20</f>
        <v>0</v>
      </c>
      <c r="C189" s="231">
        <f t="array" ref="C189">MAX(0,-INDEX('Cash Flow'!$B$26:$P$26,1,MATCH(A189+1,'Cash Flow'!$B$5:$P$5,0)))</f>
        <v>0</v>
      </c>
      <c r="D189" s="231">
        <f t="shared" si="16"/>
        <v>0</v>
      </c>
      <c r="E189" s="27" t="str">
        <f t="shared" si="17"/>
        <v>MATCH</v>
      </c>
      <c r="F189" s="231">
        <f>'Balance Sheet'!H32</f>
        <v>57000000</v>
      </c>
      <c r="G189" s="231">
        <f>ROUND(F189-('Balance Sheet'!G32+'Cash Flow'!H25+'Cash Flow'!H26),0)</f>
        <v>0</v>
      </c>
      <c r="H189" s="16" t="s">
        <v>626</v>
      </c>
    </row>
    <row r="190">
      <c r="A190" s="16">
        <v>2025.0</v>
      </c>
      <c r="B190" s="231">
        <f>'Balance Sheet'!I20</f>
        <v>0</v>
      </c>
      <c r="C190" s="231">
        <f t="array" ref="C190">MAX(0,-INDEX('Cash Flow'!$B$26:$P$26,1,MATCH(A190+1,'Cash Flow'!$B$5:$P$5,0)))</f>
        <v>0</v>
      </c>
      <c r="D190" s="231">
        <f t="shared" si="16"/>
        <v>0</v>
      </c>
      <c r="E190" s="27" t="str">
        <f t="shared" si="17"/>
        <v>MATCH</v>
      </c>
      <c r="F190" s="231">
        <f>'Balance Sheet'!I32</f>
        <v>97000000</v>
      </c>
      <c r="G190" s="231">
        <f>ROUND(F190-('Balance Sheet'!H32+'Cash Flow'!I25+'Cash Flow'!I26),0)</f>
        <v>0</v>
      </c>
      <c r="H190" s="16" t="s">
        <v>627</v>
      </c>
    </row>
    <row r="191">
      <c r="A191" s="16">
        <v>2026.0</v>
      </c>
      <c r="B191" s="231">
        <f>'Balance Sheet'!J20</f>
        <v>15000000</v>
      </c>
      <c r="C191" s="231">
        <f t="array" ref="C191">MAX(0,-INDEX('Cash Flow'!$B$26:$P$26,1,MATCH(A191+1,'Cash Flow'!$B$5:$P$5,0)))</f>
        <v>15000000</v>
      </c>
      <c r="D191" s="231">
        <f t="shared" si="16"/>
        <v>0</v>
      </c>
      <c r="E191" s="27" t="str">
        <f t="shared" si="17"/>
        <v>MATCH</v>
      </c>
      <c r="F191" s="231">
        <f>'Balance Sheet'!J32</f>
        <v>97000000</v>
      </c>
      <c r="G191" s="231">
        <f>ROUND(F191-('Balance Sheet'!I32+'Cash Flow'!J25+'Cash Flow'!J26),0)</f>
        <v>0</v>
      </c>
      <c r="H191" s="16" t="s">
        <v>628</v>
      </c>
    </row>
    <row r="192">
      <c r="A192" s="16">
        <v>2027.0</v>
      </c>
      <c r="B192" s="231">
        <f>'Balance Sheet'!K20</f>
        <v>15000000</v>
      </c>
      <c r="C192" s="231">
        <f t="array" ref="C192">MAX(0,-INDEX('Cash Flow'!$B$26:$P$26,1,MATCH(A192+1,'Cash Flow'!$B$5:$P$5,0)))</f>
        <v>15000000</v>
      </c>
      <c r="D192" s="231">
        <f t="shared" si="16"/>
        <v>0</v>
      </c>
      <c r="E192" s="27" t="str">
        <f t="shared" si="17"/>
        <v>MATCH</v>
      </c>
      <c r="F192" s="231">
        <f>'Balance Sheet'!K32</f>
        <v>82000000</v>
      </c>
      <c r="G192" s="231">
        <f>ROUND(F192-('Balance Sheet'!J32+'Cash Flow'!K25+'Cash Flow'!K26),0)</f>
        <v>0</v>
      </c>
      <c r="H192" s="16" t="s">
        <v>629</v>
      </c>
    </row>
    <row r="193">
      <c r="A193" s="16">
        <v>2028.0</v>
      </c>
      <c r="B193" s="231">
        <f>'Balance Sheet'!L20</f>
        <v>15000000</v>
      </c>
      <c r="C193" s="231">
        <f t="array" ref="C193">MAX(0,-INDEX('Cash Flow'!$B$26:$P$26,1,MATCH(A193+1,'Cash Flow'!$B$5:$P$5,0)))</f>
        <v>15000000</v>
      </c>
      <c r="D193" s="231">
        <f t="shared" si="16"/>
        <v>0</v>
      </c>
      <c r="E193" s="27" t="str">
        <f t="shared" si="17"/>
        <v>MATCH</v>
      </c>
      <c r="F193" s="231">
        <f>'Balance Sheet'!L32</f>
        <v>67000000</v>
      </c>
      <c r="G193" s="231">
        <f>ROUND(F193-('Balance Sheet'!K32+'Cash Flow'!L25+'Cash Flow'!L26),0)</f>
        <v>0</v>
      </c>
      <c r="H193" s="16" t="s">
        <v>630</v>
      </c>
    </row>
    <row r="194">
      <c r="A194" s="16">
        <v>2029.0</v>
      </c>
      <c r="B194" s="231">
        <f>'Balance Sheet'!M20</f>
        <v>15000000</v>
      </c>
      <c r="C194" s="231">
        <f t="array" ref="C194">MAX(0,-INDEX('Cash Flow'!$B$26:$P$26,1,MATCH(A194+1,'Cash Flow'!$B$5:$P$5,0)))</f>
        <v>15000000</v>
      </c>
      <c r="D194" s="231">
        <f t="shared" si="16"/>
        <v>0</v>
      </c>
      <c r="E194" s="27" t="str">
        <f t="shared" si="17"/>
        <v>MATCH</v>
      </c>
      <c r="F194" s="231">
        <f>'Balance Sheet'!M32</f>
        <v>52000000</v>
      </c>
      <c r="G194" s="231">
        <f>ROUND(F194-('Balance Sheet'!L32+'Cash Flow'!M25+'Cash Flow'!M26),0)</f>
        <v>0</v>
      </c>
      <c r="H194" s="16" t="s">
        <v>631</v>
      </c>
    </row>
    <row r="195">
      <c r="A195" s="16">
        <v>2030.0</v>
      </c>
      <c r="B195" s="231">
        <f>'Balance Sheet'!N20</f>
        <v>15000000</v>
      </c>
      <c r="C195" s="231">
        <f t="array" ref="C195">MAX(0,-INDEX('Cash Flow'!$B$26:$P$26,1,MATCH(A195+1,'Cash Flow'!$B$5:$P$5,0)))</f>
        <v>15000000</v>
      </c>
      <c r="D195" s="231">
        <f t="shared" si="16"/>
        <v>0</v>
      </c>
      <c r="E195" s="27" t="str">
        <f t="shared" si="17"/>
        <v>MATCH</v>
      </c>
      <c r="F195" s="231">
        <f>'Balance Sheet'!N32</f>
        <v>37000000</v>
      </c>
      <c r="G195" s="231">
        <f>ROUND(F195-('Balance Sheet'!M32+'Cash Flow'!N25+'Cash Flow'!N26),0)</f>
        <v>0</v>
      </c>
      <c r="H195" s="16" t="s">
        <v>632</v>
      </c>
    </row>
    <row r="196">
      <c r="A196" s="16">
        <v>2031.0</v>
      </c>
      <c r="B196" s="231">
        <f>'Balance Sheet'!O20</f>
        <v>15000000</v>
      </c>
      <c r="C196" s="231">
        <f t="array" ref="C196">MAX(0,-INDEX('Cash Flow'!$B$26:$P$26,1,MATCH(A196+1,'Cash Flow'!$B$5:$P$5,0)))</f>
        <v>15000000</v>
      </c>
      <c r="D196" s="231">
        <f t="shared" si="16"/>
        <v>0</v>
      </c>
      <c r="E196" s="27" t="str">
        <f t="shared" si="17"/>
        <v>MATCH</v>
      </c>
      <c r="F196" s="231">
        <f>'Balance Sheet'!O32</f>
        <v>22000000</v>
      </c>
      <c r="G196" s="231">
        <f>ROUND(F196-('Balance Sheet'!N32+'Cash Flow'!O25+'Cash Flow'!O26),0)</f>
        <v>0</v>
      </c>
      <c r="H196" s="16" t="s">
        <v>633</v>
      </c>
    </row>
    <row r="197">
      <c r="A197" s="16">
        <v>2032.0</v>
      </c>
      <c r="B197" s="231">
        <f>'Balance Sheet'!P20</f>
        <v>7000000</v>
      </c>
      <c r="C197" s="237">
        <f>$B$200</f>
        <v>7000000</v>
      </c>
      <c r="D197" s="237">
        <f t="shared" si="16"/>
        <v>0</v>
      </c>
      <c r="E197" s="16" t="str">
        <f t="shared" si="17"/>
        <v>MATCH</v>
      </c>
      <c r="F197" s="231">
        <f>'Balance Sheet'!P32</f>
        <v>7000000</v>
      </c>
      <c r="G197" s="231">
        <f>ROUND(F197-('Balance Sheet'!O32+'Cash Flow'!P25+'Cash Flow'!P26),0)</f>
        <v>0</v>
      </c>
      <c r="H197" s="16" t="s">
        <v>634</v>
      </c>
    </row>
    <row r="198">
      <c r="A198" s="16" t="s">
        <v>635</v>
      </c>
      <c r="B198" s="103">
        <f>COUNTIF(D187:D197,"&lt;&gt;0")</f>
        <v>0</v>
      </c>
      <c r="C198" s="237" t="s">
        <v>636</v>
      </c>
      <c r="D198" s="237" t="s">
        <v>474</v>
      </c>
      <c r="E198" s="16" t="s">
        <v>474</v>
      </c>
      <c r="F198" s="237" t="s">
        <v>474</v>
      </c>
      <c r="G198" s="231">
        <f>SUM(ABS(G187),ABS(G188),ABS(G189),ABS(G190),ABS(G191),ABS(G192),ABS(G193),ABS(G194),ABS(G195),ABS(G196),ABS(G197))</f>
        <v>0</v>
      </c>
      <c r="H198" s="16" t="s">
        <v>637</v>
      </c>
    </row>
    <row r="200">
      <c r="A200" s="16" t="s">
        <v>638</v>
      </c>
      <c r="B200" s="16">
        <v>7000000.0</v>
      </c>
    </row>
  </sheetData>
  <mergeCells count="6">
    <mergeCell ref="A2:G2"/>
    <mergeCell ref="A3:E3"/>
    <mergeCell ref="M3:N3"/>
    <mergeCell ref="A8:E8"/>
    <mergeCell ref="A59:B59"/>
    <mergeCell ref="C59:D59"/>
  </mergeCells>
  <conditionalFormatting sqref="N13">
    <cfRule type="containsText" dxfId="0" priority="1" stopIfTrue="1" operator="containsText" text="BRIDGE">
      <formula>NOT(ISERROR(SEARCH(("BRIDGE"),(N13))))</formula>
    </cfRule>
  </conditionalFormatting>
  <conditionalFormatting sqref="N12">
    <cfRule type="cellIs" dxfId="0" priority="2" stopIfTrue="1" operator="lessThan">
      <formula>0</formula>
    </cfRule>
  </conditionalFormatting>
  <conditionalFormatting sqref="H8:K8">
    <cfRule type="containsText" dxfId="1" priority="3" stopIfTrue="1" operator="containsText" text="SHORTFALL">
      <formula>NOT(ISERROR(SEARCH(("SHORTFALL"),(H8))))</formula>
    </cfRule>
  </conditionalFormatting>
  <conditionalFormatting sqref="G8">
    <cfRule type="containsText" dxfId="1" priority="4" stopIfTrue="1" operator="containsText" text="SHORTFALL">
      <formula>NOT(ISERROR(SEARCH(("SHORTFALL"),(G8))))</formula>
    </cfRule>
  </conditionalFormatting>
  <conditionalFormatting sqref="F8">
    <cfRule type="containsText" dxfId="1" priority="5" stopIfTrue="1" operator="containsText" text="SHORTFALL">
      <formula>NOT(ISERROR(SEARCH(("SHORTFALL"),(F8))))</formula>
    </cfRule>
  </conditionalFormatting>
  <conditionalFormatting sqref="E6">
    <cfRule type="cellIs" dxfId="1" priority="6" stopIfTrue="1" operator="lessThan">
      <formula>0</formula>
    </cfRule>
  </conditionalFormatting>
  <conditionalFormatting sqref="B7">
    <cfRule type="containsText" dxfId="1" priority="7" stopIfTrue="1" operator="containsText" text="ALLOCATIONS">
      <formula>NOT(ISERROR(SEARCH(("ALLOCATIONS"),(B7))))</formula>
    </cfRule>
  </conditionalFormatting>
  <conditionalFormatting sqref="B7">
    <cfRule type="containsText" dxfId="1" priority="8" stopIfTrue="1" operator="containsText" text="SHORTFALL">
      <formula>NOT(ISERROR(SEARCH(("SHORTFALL"),(B7))))</formula>
    </cfRule>
  </conditionalFormatting>
  <dataValidations>
    <dataValidation type="decimal" allowBlank="1" showInputMessage="1" showErrorMessage="1" prompt="Illustrative gross proceeds of an IPO in the selected year (before issuance costs)." sqref="N5:N6">
      <formula1>0.0</formula1>
      <formula2>3.0E9</formula2>
    </dataValidation>
    <dataValidation type="decimal" allowBlank="1" showInputMessage="1" showErrorMessage="1" prompt="2029 forecast equity raise ($)." sqref="H4:K4">
      <formula1>0.0</formula1>
      <formula2>2.0E9</formula2>
    </dataValidation>
    <dataValidation type="decimal" allowBlank="1" showInputMessage="1" showErrorMessage="1" prompt="2029 expected principal repayment ($), capped at actual debt balance in Monthly Data." sqref="H9:K9">
      <formula1>0.0</formula1>
      <formula2>9.7E7</formula2>
    </dataValidation>
    <dataValidation type="decimal" allowBlank="1" showInputMessage="1" showErrorMessage="1" prompt="2028 forecast equity raise ($)." sqref="G4">
      <formula1>0.0</formula1>
      <formula2>2.0E9</formula2>
    </dataValidation>
    <dataValidation type="decimal" allowBlank="1" showInputMessage="1" showErrorMessage="1" prompt="2027 expected principal repayment ($), capped at actual debt balance in Monthly Data." sqref="F9">
      <formula1>0.0</formula1>
      <formula2>9.7E7</formula2>
    </dataValidation>
    <dataValidation type="decimal" allowBlank="1" showInputMessage="1" showErrorMessage="1" prompt="Underwriting and issuance costs as a percentage of gross IPO or follow-on equity proceeds; illustrative scenario only." sqref="N7">
      <formula1>0.0</formula1>
      <formula2>0.25</formula2>
    </dataValidation>
    <dataValidation type="list" allowBlank="1" showInputMessage="1" showErrorMessage="1" prompt="Choose the financing path. Forecast cash, R&amp;D investment, and capital spending recalculate automatically." sqref="N4">
      <formula1>"Private funding,IPO in 2028,IPO in 2029"</formula1>
    </dataValidation>
    <dataValidation type="decimal" allowBlank="1" showInputMessage="1" showErrorMessage="1" prompt="Share of financing change devoted to reusable lab/manufacturing equipment (0–100%)." sqref="B6">
      <formula1>0.0</formula1>
      <formula2>1.0</formula2>
    </dataValidation>
    <dataValidation type="decimal" allowBlank="1" showInputMessage="1" showErrorMessage="1" prompt="Illustrative IPO completion month, 1 = January, 12 = December. Funding will not arrive before this month in the IPO year." sqref="N8">
      <formula1>1.0</formula1>
      <formula2>12.0</formula2>
    </dataValidation>
    <dataValidation type="decimal" allowBlank="1" showInputMessage="1" showErrorMessage="1" prompt="2027 forecast equity raise ($)." sqref="F4">
      <formula1>0.0</formula1>
      <formula2>2.0E9</formula2>
    </dataValidation>
    <dataValidation type="decimal" allowBlank="1" showInputMessage="1" showErrorMessage="1" prompt="Editable 2026 Series D equity round in whole dollars; changes financing cash and the pipeline budget." sqref="B4">
      <formula1>0.0</formula1>
      <formula2>1.0E9</formula2>
    </dataValidation>
    <dataValidation type="decimal" allowBlank="1" showInputMessage="1" showErrorMessage="1" prompt="2028 expected principal repayment ($), capped at actual debt balance in Monthly Data." sqref="G9">
      <formula1>0.0</formula1>
      <formula2>9.7E7</formula2>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749C7"/>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15.63"/>
  </cols>
  <sheetData>
    <row r="1">
      <c r="A1" s="238" t="s">
        <v>639</v>
      </c>
      <c r="B1" s="163"/>
      <c r="C1" s="163"/>
      <c r="D1" s="163"/>
      <c r="E1" s="163"/>
      <c r="F1" s="163"/>
      <c r="G1" s="163"/>
      <c r="H1" s="163"/>
      <c r="I1" s="163"/>
      <c r="J1" s="163"/>
      <c r="K1" s="163"/>
      <c r="L1" s="163"/>
      <c r="M1" s="163"/>
      <c r="N1" s="163"/>
      <c r="O1" s="163"/>
    </row>
    <row r="2" hidden="1">
      <c r="A2" s="16" t="s">
        <v>640</v>
      </c>
    </row>
    <row r="3" hidden="1"/>
    <row r="4" ht="36.0" customHeight="1">
      <c r="A4" s="89" t="s">
        <v>2</v>
      </c>
      <c r="B4" s="89" t="s">
        <v>641</v>
      </c>
      <c r="C4" s="89" t="s">
        <v>642</v>
      </c>
      <c r="D4" s="89" t="s">
        <v>643</v>
      </c>
      <c r="E4" s="89" t="s">
        <v>644</v>
      </c>
      <c r="F4" s="89" t="s">
        <v>645</v>
      </c>
      <c r="G4" s="89" t="s">
        <v>646</v>
      </c>
      <c r="H4" s="89" t="s">
        <v>647</v>
      </c>
      <c r="I4" s="89" t="s">
        <v>648</v>
      </c>
      <c r="J4" s="89" t="s">
        <v>649</v>
      </c>
    </row>
    <row r="5">
      <c r="A5" s="104">
        <v>43101.0</v>
      </c>
      <c r="B5" s="91">
        <v>2500.0</v>
      </c>
      <c r="C5" s="91">
        <v>0.0</v>
      </c>
      <c r="D5" s="91">
        <v>22183.0</v>
      </c>
      <c r="E5" s="91">
        <v>0.0</v>
      </c>
      <c r="F5" s="91">
        <v>0.0</v>
      </c>
      <c r="G5" s="91">
        <v>0.0</v>
      </c>
      <c r="H5" s="91">
        <v>873.0</v>
      </c>
      <c r="I5" s="91">
        <v>8541.0</v>
      </c>
      <c r="J5" s="91">
        <v>0.0</v>
      </c>
    </row>
    <row r="6">
      <c r="A6" s="104">
        <v>43132.0</v>
      </c>
      <c r="B6" s="91">
        <v>2500.0</v>
      </c>
      <c r="C6" s="91">
        <v>0.0</v>
      </c>
      <c r="D6" s="91">
        <v>22457.0</v>
      </c>
      <c r="E6" s="91">
        <v>0.0</v>
      </c>
      <c r="F6" s="91">
        <v>0.0</v>
      </c>
      <c r="G6" s="91">
        <v>0.0</v>
      </c>
      <c r="H6" s="91">
        <v>1723.0</v>
      </c>
      <c r="I6" s="91">
        <v>16859.0</v>
      </c>
      <c r="J6" s="91">
        <v>0.0</v>
      </c>
    </row>
    <row r="7">
      <c r="A7" s="104">
        <v>43160.0</v>
      </c>
      <c r="B7" s="91">
        <v>2500.0</v>
      </c>
      <c r="C7" s="91">
        <v>0.0</v>
      </c>
      <c r="D7" s="91">
        <v>55595.0</v>
      </c>
      <c r="E7" s="91">
        <v>0.0</v>
      </c>
      <c r="F7" s="91">
        <v>0.0</v>
      </c>
      <c r="G7" s="91">
        <v>0.0</v>
      </c>
      <c r="H7" s="91">
        <v>2533.0</v>
      </c>
      <c r="I7" s="91">
        <v>24790.0</v>
      </c>
      <c r="J7" s="91">
        <v>0.0</v>
      </c>
    </row>
    <row r="8">
      <c r="A8" s="104">
        <v>43191.0</v>
      </c>
      <c r="B8" s="91">
        <v>2500.0</v>
      </c>
      <c r="C8" s="91">
        <v>0.0</v>
      </c>
      <c r="D8" s="91">
        <v>23005.0</v>
      </c>
      <c r="E8" s="91">
        <v>0.0</v>
      </c>
      <c r="F8" s="91">
        <v>0.0</v>
      </c>
      <c r="G8" s="91">
        <v>0.0</v>
      </c>
      <c r="H8" s="91">
        <v>3298.0</v>
      </c>
      <c r="I8" s="91">
        <v>32275.0</v>
      </c>
      <c r="J8" s="91">
        <v>0.0</v>
      </c>
    </row>
    <row r="9">
      <c r="A9" s="104">
        <v>43221.0</v>
      </c>
      <c r="B9" s="91">
        <v>2500.0</v>
      </c>
      <c r="C9" s="91">
        <v>0.0</v>
      </c>
      <c r="D9" s="91">
        <v>23279.0</v>
      </c>
      <c r="E9" s="91">
        <v>0.0</v>
      </c>
      <c r="F9" s="91">
        <v>0.0</v>
      </c>
      <c r="G9" s="91">
        <v>0.0</v>
      </c>
      <c r="H9" s="91">
        <v>4023.0</v>
      </c>
      <c r="I9" s="91">
        <v>39374.0</v>
      </c>
      <c r="J9" s="91">
        <v>0.0</v>
      </c>
    </row>
    <row r="10">
      <c r="A10" s="104">
        <v>43252.0</v>
      </c>
      <c r="B10" s="91">
        <v>2500.0</v>
      </c>
      <c r="C10" s="91">
        <v>0.0</v>
      </c>
      <c r="D10" s="91">
        <v>23552.0</v>
      </c>
      <c r="E10" s="91">
        <v>0.0</v>
      </c>
      <c r="F10" s="91">
        <v>0.0</v>
      </c>
      <c r="G10" s="91">
        <v>0.0</v>
      </c>
      <c r="H10" s="91">
        <v>4726.0</v>
      </c>
      <c r="I10" s="91">
        <v>46250.0</v>
      </c>
      <c r="J10" s="91">
        <v>0.0</v>
      </c>
    </row>
    <row r="11">
      <c r="A11" s="104">
        <v>43282.0</v>
      </c>
      <c r="B11" s="91">
        <v>2500.0</v>
      </c>
      <c r="C11" s="91">
        <v>0.0</v>
      </c>
      <c r="D11" s="91">
        <v>23826.0</v>
      </c>
      <c r="E11" s="91">
        <v>0.0</v>
      </c>
      <c r="F11" s="91">
        <v>0.0</v>
      </c>
      <c r="G11" s="91">
        <v>0.0</v>
      </c>
      <c r="H11" s="91">
        <v>5429.0</v>
      </c>
      <c r="I11" s="91">
        <v>53126.0</v>
      </c>
      <c r="J11" s="91">
        <v>0.0</v>
      </c>
    </row>
    <row r="12">
      <c r="A12" s="104">
        <v>43313.0</v>
      </c>
      <c r="B12" s="91">
        <v>2500.0</v>
      </c>
      <c r="C12" s="91">
        <v>0.0</v>
      </c>
      <c r="D12" s="91">
        <v>24100.0</v>
      </c>
      <c r="E12" s="91">
        <v>0.0</v>
      </c>
      <c r="F12" s="91">
        <v>0.0</v>
      </c>
      <c r="G12" s="91">
        <v>0.0</v>
      </c>
      <c r="H12" s="91">
        <v>6154.0</v>
      </c>
      <c r="I12" s="91">
        <v>60225.0</v>
      </c>
      <c r="J12" s="91">
        <v>0.0</v>
      </c>
    </row>
    <row r="13">
      <c r="A13" s="104">
        <v>43344.0</v>
      </c>
      <c r="B13" s="91">
        <v>2500.0</v>
      </c>
      <c r="C13" s="91">
        <v>0.0</v>
      </c>
      <c r="D13" s="91">
        <v>57238.0</v>
      </c>
      <c r="E13" s="91">
        <v>0.0</v>
      </c>
      <c r="F13" s="91">
        <v>0.0</v>
      </c>
      <c r="G13" s="91">
        <v>0.0</v>
      </c>
      <c r="H13" s="91">
        <v>6919.0</v>
      </c>
      <c r="I13" s="91">
        <v>67710.0</v>
      </c>
      <c r="J13" s="91">
        <v>0.0</v>
      </c>
    </row>
    <row r="14">
      <c r="A14" s="104">
        <v>43374.0</v>
      </c>
      <c r="B14" s="91">
        <v>2500.0</v>
      </c>
      <c r="C14" s="91">
        <v>0.0</v>
      </c>
      <c r="D14" s="91">
        <v>24648.0</v>
      </c>
      <c r="E14" s="91">
        <v>0.0</v>
      </c>
      <c r="F14" s="91">
        <v>0.0</v>
      </c>
      <c r="G14" s="91">
        <v>0.0</v>
      </c>
      <c r="H14" s="91">
        <v>7729.0</v>
      </c>
      <c r="I14" s="91">
        <v>75641.0</v>
      </c>
      <c r="J14" s="91">
        <v>0.0</v>
      </c>
    </row>
    <row r="15">
      <c r="A15" s="104">
        <v>43405.0</v>
      </c>
      <c r="B15" s="91">
        <v>2500.0</v>
      </c>
      <c r="C15" s="91">
        <v>0.0</v>
      </c>
      <c r="D15" s="91">
        <v>24922.0</v>
      </c>
      <c r="E15" s="91">
        <v>0.0</v>
      </c>
      <c r="F15" s="91">
        <v>0.0</v>
      </c>
      <c r="G15" s="91">
        <v>0.0</v>
      </c>
      <c r="H15" s="91">
        <v>8579.0</v>
      </c>
      <c r="I15" s="91">
        <v>83959.0</v>
      </c>
      <c r="J15" s="91">
        <v>0.0</v>
      </c>
    </row>
    <row r="16">
      <c r="A16" s="104">
        <v>43435.0</v>
      </c>
      <c r="B16" s="91">
        <v>2500.0</v>
      </c>
      <c r="C16" s="91">
        <v>0.0</v>
      </c>
      <c r="D16" s="91">
        <v>25195.0</v>
      </c>
      <c r="E16" s="91">
        <v>0.0</v>
      </c>
      <c r="F16" s="91">
        <v>0.0</v>
      </c>
      <c r="G16" s="91">
        <v>0.0</v>
      </c>
      <c r="H16" s="91">
        <v>9452.0</v>
      </c>
      <c r="I16" s="91">
        <v>92500.0</v>
      </c>
      <c r="J16" s="91">
        <v>0.0</v>
      </c>
    </row>
    <row r="17">
      <c r="A17" s="104">
        <v>43466.0</v>
      </c>
      <c r="B17" s="91">
        <v>10000.0</v>
      </c>
      <c r="C17" s="91">
        <v>0.0</v>
      </c>
      <c r="D17" s="91">
        <v>47535.0</v>
      </c>
      <c r="E17" s="91">
        <v>4047.0</v>
      </c>
      <c r="F17" s="91">
        <v>0.0</v>
      </c>
      <c r="G17" s="91">
        <v>1847.0</v>
      </c>
      <c r="H17" s="91">
        <v>12007.0</v>
      </c>
      <c r="I17" s="91">
        <v>99750.0</v>
      </c>
      <c r="J17" s="91">
        <v>3693.0</v>
      </c>
    </row>
    <row r="18">
      <c r="A18" s="104">
        <v>43497.0</v>
      </c>
      <c r="B18" s="91">
        <v>10000.0</v>
      </c>
      <c r="C18" s="91">
        <v>0.0</v>
      </c>
      <c r="D18" s="91">
        <v>48122.0</v>
      </c>
      <c r="E18" s="91">
        <v>7989.0</v>
      </c>
      <c r="F18" s="91">
        <v>0.0</v>
      </c>
      <c r="G18" s="91">
        <v>3645.0</v>
      </c>
      <c r="H18" s="91">
        <v>14474.0</v>
      </c>
      <c r="I18" s="91">
        <v>106609.0</v>
      </c>
      <c r="J18" s="91">
        <v>7290.0</v>
      </c>
    </row>
    <row r="19">
      <c r="A19" s="104">
        <v>43525.0</v>
      </c>
      <c r="B19" s="91">
        <v>10000.0</v>
      </c>
      <c r="C19" s="91">
        <v>0.0</v>
      </c>
      <c r="D19" s="91">
        <v>119131.0</v>
      </c>
      <c r="E19" s="91">
        <v>11748.0</v>
      </c>
      <c r="F19" s="91">
        <v>0.0</v>
      </c>
      <c r="G19" s="91">
        <v>5360.0</v>
      </c>
      <c r="H19" s="91">
        <v>16790.0</v>
      </c>
      <c r="I19" s="91">
        <v>112791.0</v>
      </c>
      <c r="J19" s="91">
        <v>10720.0</v>
      </c>
    </row>
    <row r="20">
      <c r="A20" s="104">
        <v>43556.0</v>
      </c>
      <c r="B20" s="91">
        <v>10000.0</v>
      </c>
      <c r="C20" s="91">
        <v>0.0</v>
      </c>
      <c r="D20" s="91">
        <v>49296.0</v>
      </c>
      <c r="E20" s="91">
        <v>15295.0</v>
      </c>
      <c r="F20" s="91">
        <v>0.0</v>
      </c>
      <c r="G20" s="91">
        <v>6978.0</v>
      </c>
      <c r="H20" s="91">
        <v>18932.0</v>
      </c>
      <c r="I20" s="91">
        <v>118192.0</v>
      </c>
      <c r="J20" s="91">
        <v>13957.0</v>
      </c>
    </row>
    <row r="21">
      <c r="A21" s="104">
        <v>43586.0</v>
      </c>
      <c r="B21" s="91">
        <v>10000.0</v>
      </c>
      <c r="C21" s="91">
        <v>0.0</v>
      </c>
      <c r="D21" s="91">
        <v>49883.0</v>
      </c>
      <c r="E21" s="91">
        <v>18659.0</v>
      </c>
      <c r="F21" s="91">
        <v>0.0</v>
      </c>
      <c r="G21" s="91">
        <v>8513.0</v>
      </c>
      <c r="H21" s="91">
        <v>20922.0</v>
      </c>
      <c r="I21" s="91">
        <v>122916.0</v>
      </c>
      <c r="J21" s="91">
        <v>17027.0</v>
      </c>
    </row>
    <row r="22">
      <c r="A22" s="104">
        <v>43617.0</v>
      </c>
      <c r="B22" s="91">
        <v>10000.0</v>
      </c>
      <c r="C22" s="91">
        <v>0.0</v>
      </c>
      <c r="D22" s="91">
        <v>50469.0</v>
      </c>
      <c r="E22" s="91">
        <v>21918.0</v>
      </c>
      <c r="F22" s="91">
        <v>0.0</v>
      </c>
      <c r="G22" s="91">
        <v>10000.0</v>
      </c>
      <c r="H22" s="91">
        <v>22825.0</v>
      </c>
      <c r="I22" s="91">
        <v>127250.0</v>
      </c>
      <c r="J22" s="91">
        <v>20000.0</v>
      </c>
    </row>
    <row r="23">
      <c r="A23" s="104">
        <v>43647.0</v>
      </c>
      <c r="B23" s="91">
        <v>10000.0</v>
      </c>
      <c r="C23" s="91">
        <v>0.0</v>
      </c>
      <c r="D23" s="91">
        <v>51056.0</v>
      </c>
      <c r="E23" s="91">
        <v>25176.0</v>
      </c>
      <c r="F23" s="91">
        <v>0.0</v>
      </c>
      <c r="G23" s="91">
        <v>11487.0</v>
      </c>
      <c r="H23" s="91">
        <v>24728.0</v>
      </c>
      <c r="I23" s="91">
        <v>131584.0</v>
      </c>
      <c r="J23" s="91">
        <v>22973.0</v>
      </c>
    </row>
    <row r="24">
      <c r="A24" s="104">
        <v>43678.0</v>
      </c>
      <c r="B24" s="91">
        <v>10000.0</v>
      </c>
      <c r="C24" s="91">
        <v>0.0</v>
      </c>
      <c r="D24" s="91">
        <v>51643.0</v>
      </c>
      <c r="E24" s="91">
        <v>28540.0</v>
      </c>
      <c r="F24" s="91">
        <v>0.0</v>
      </c>
      <c r="G24" s="91">
        <v>13022.0</v>
      </c>
      <c r="H24" s="91">
        <v>26719.0</v>
      </c>
      <c r="I24" s="91">
        <v>136308.0</v>
      </c>
      <c r="J24" s="91">
        <v>26043.0</v>
      </c>
    </row>
    <row r="25">
      <c r="A25" s="104">
        <v>43709.0</v>
      </c>
      <c r="B25" s="91">
        <v>10000.0</v>
      </c>
      <c r="C25" s="91">
        <v>0.0</v>
      </c>
      <c r="D25" s="91">
        <v>122653.0</v>
      </c>
      <c r="E25" s="91">
        <v>32088.0</v>
      </c>
      <c r="F25" s="91">
        <v>0.0</v>
      </c>
      <c r="G25" s="91">
        <v>14640.0</v>
      </c>
      <c r="H25" s="91">
        <v>28860.0</v>
      </c>
      <c r="I25" s="91">
        <v>141709.0</v>
      </c>
      <c r="J25" s="91">
        <v>29280.0</v>
      </c>
    </row>
    <row r="26">
      <c r="A26" s="104">
        <v>43739.0</v>
      </c>
      <c r="B26" s="91">
        <v>10000.0</v>
      </c>
      <c r="C26" s="91">
        <v>0.0</v>
      </c>
      <c r="D26" s="91">
        <v>52817.0</v>
      </c>
      <c r="E26" s="91">
        <v>35846.0</v>
      </c>
      <c r="F26" s="91">
        <v>0.0</v>
      </c>
      <c r="G26" s="91">
        <v>16355.0</v>
      </c>
      <c r="H26" s="91">
        <v>31177.0</v>
      </c>
      <c r="I26" s="91">
        <v>147891.0</v>
      </c>
      <c r="J26" s="91">
        <v>32710.0</v>
      </c>
    </row>
    <row r="27">
      <c r="A27" s="104">
        <v>43770.0</v>
      </c>
      <c r="B27" s="91">
        <v>10000.0</v>
      </c>
      <c r="C27" s="91">
        <v>0.0</v>
      </c>
      <c r="D27" s="91">
        <v>53404.0</v>
      </c>
      <c r="E27" s="91">
        <v>39788.0</v>
      </c>
      <c r="F27" s="91">
        <v>0.0</v>
      </c>
      <c r="G27" s="91">
        <v>18153.0</v>
      </c>
      <c r="H27" s="91">
        <v>33644.0</v>
      </c>
      <c r="I27" s="91">
        <v>154750.0</v>
      </c>
      <c r="J27" s="91">
        <v>36307.0</v>
      </c>
    </row>
    <row r="28">
      <c r="A28" s="104">
        <v>43800.0</v>
      </c>
      <c r="B28" s="91">
        <v>10000.0</v>
      </c>
      <c r="C28" s="91">
        <v>0.0</v>
      </c>
      <c r="D28" s="91">
        <v>53991.0</v>
      </c>
      <c r="E28" s="91">
        <v>43836.0</v>
      </c>
      <c r="F28" s="91">
        <v>0.0</v>
      </c>
      <c r="G28" s="91">
        <v>20000.0</v>
      </c>
      <c r="H28" s="91">
        <v>36199.0</v>
      </c>
      <c r="I28" s="91">
        <v>162000.0</v>
      </c>
      <c r="J28" s="91">
        <v>40000.0</v>
      </c>
    </row>
    <row r="29">
      <c r="A29" s="104">
        <v>43831.0</v>
      </c>
      <c r="B29" s="91">
        <v>20000.0</v>
      </c>
      <c r="C29" s="91">
        <v>0.0</v>
      </c>
      <c r="D29" s="91">
        <v>79225.0</v>
      </c>
      <c r="E29" s="91">
        <v>53337.0</v>
      </c>
      <c r="F29" s="91">
        <v>0.0</v>
      </c>
      <c r="G29" s="91">
        <v>24335.0</v>
      </c>
      <c r="H29" s="91">
        <v>43503.0</v>
      </c>
      <c r="I29" s="91">
        <v>178555.0</v>
      </c>
      <c r="J29" s="91">
        <v>51071.0</v>
      </c>
    </row>
    <row r="30">
      <c r="A30" s="104">
        <v>43862.0</v>
      </c>
      <c r="B30" s="91">
        <v>20000.0</v>
      </c>
      <c r="C30" s="91">
        <v>0.0</v>
      </c>
      <c r="D30" s="91">
        <v>80203.0</v>
      </c>
      <c r="E30" s="91">
        <v>62495.0</v>
      </c>
      <c r="F30" s="91">
        <v>0.0</v>
      </c>
      <c r="G30" s="91">
        <v>28513.0</v>
      </c>
      <c r="H30" s="91">
        <v>50538.0</v>
      </c>
      <c r="I30" s="91">
        <v>194324.0</v>
      </c>
      <c r="J30" s="91">
        <v>61765.0</v>
      </c>
    </row>
    <row r="31">
      <c r="A31" s="104">
        <v>43891.0</v>
      </c>
      <c r="B31" s="91">
        <v>20000.0</v>
      </c>
      <c r="C31" s="91">
        <v>0.0</v>
      </c>
      <c r="D31" s="91">
        <v>198552.0</v>
      </c>
      <c r="E31" s="91">
        <v>71058.0</v>
      </c>
      <c r="F31" s="91">
        <v>0.0</v>
      </c>
      <c r="G31" s="91">
        <v>32420.0</v>
      </c>
      <c r="H31" s="91">
        <v>57106.0</v>
      </c>
      <c r="I31" s="91">
        <v>208734.0</v>
      </c>
      <c r="J31" s="91">
        <v>71808.0</v>
      </c>
    </row>
    <row r="32">
      <c r="A32" s="104">
        <v>43922.0</v>
      </c>
      <c r="B32" s="91">
        <v>20000.0</v>
      </c>
      <c r="C32" s="91">
        <v>0.0</v>
      </c>
      <c r="D32" s="91">
        <v>82160.0</v>
      </c>
      <c r="E32" s="91">
        <v>78933.0</v>
      </c>
      <c r="F32" s="91">
        <v>0.0</v>
      </c>
      <c r="G32" s="91">
        <v>36013.0</v>
      </c>
      <c r="H32" s="91">
        <v>63135.0</v>
      </c>
      <c r="I32" s="91">
        <v>221574.0</v>
      </c>
      <c r="J32" s="91">
        <v>81098.0</v>
      </c>
    </row>
    <row r="33">
      <c r="A33" s="104">
        <v>43952.0</v>
      </c>
      <c r="B33" s="91">
        <v>20000.0</v>
      </c>
      <c r="C33" s="91">
        <v>0.0</v>
      </c>
      <c r="D33" s="91">
        <v>83138.0</v>
      </c>
      <c r="E33" s="91">
        <v>86214.0</v>
      </c>
      <c r="F33" s="91">
        <v>0.0</v>
      </c>
      <c r="G33" s="91">
        <v>39335.0</v>
      </c>
      <c r="H33" s="91">
        <v>68697.0</v>
      </c>
      <c r="I33" s="91">
        <v>233055.0</v>
      </c>
      <c r="J33" s="91">
        <v>89737.0</v>
      </c>
    </row>
    <row r="34">
      <c r="A34" s="104">
        <v>43983.0</v>
      </c>
      <c r="B34" s="91">
        <v>20000.0</v>
      </c>
      <c r="C34" s="91">
        <v>0.0</v>
      </c>
      <c r="D34" s="91">
        <v>84116.0</v>
      </c>
      <c r="E34" s="91">
        <v>93151.0</v>
      </c>
      <c r="F34" s="91">
        <v>0.0</v>
      </c>
      <c r="G34" s="91">
        <v>42500.0</v>
      </c>
      <c r="H34" s="91">
        <v>73990.0</v>
      </c>
      <c r="I34" s="91">
        <v>243750.0</v>
      </c>
      <c r="J34" s="91">
        <v>98000.0</v>
      </c>
    </row>
    <row r="35">
      <c r="A35" s="104">
        <v>44013.0</v>
      </c>
      <c r="B35" s="91">
        <v>20000.0</v>
      </c>
      <c r="C35" s="91">
        <v>0.0</v>
      </c>
      <c r="D35" s="91">
        <v>85094.0</v>
      </c>
      <c r="E35" s="91">
        <v>100088.0</v>
      </c>
      <c r="F35" s="91">
        <v>0.0</v>
      </c>
      <c r="G35" s="91">
        <v>45665.0</v>
      </c>
      <c r="H35" s="91">
        <v>79282.0</v>
      </c>
      <c r="I35" s="91">
        <v>254446.0</v>
      </c>
      <c r="J35" s="91">
        <v>106263.0</v>
      </c>
    </row>
    <row r="36">
      <c r="A36" s="104">
        <v>44044.0</v>
      </c>
      <c r="B36" s="91">
        <v>20000.0</v>
      </c>
      <c r="C36" s="91">
        <v>0.0</v>
      </c>
      <c r="D36" s="91">
        <v>86072.0</v>
      </c>
      <c r="E36" s="91">
        <v>107368.0</v>
      </c>
      <c r="F36" s="91">
        <v>0.0</v>
      </c>
      <c r="G36" s="91">
        <v>48987.0</v>
      </c>
      <c r="H36" s="91">
        <v>84844.0</v>
      </c>
      <c r="I36" s="91">
        <v>265926.0</v>
      </c>
      <c r="J36" s="91">
        <v>114902.0</v>
      </c>
    </row>
    <row r="37">
      <c r="A37" s="104">
        <v>44075.0</v>
      </c>
      <c r="B37" s="91">
        <v>20000.0</v>
      </c>
      <c r="C37" s="91">
        <v>0.0</v>
      </c>
      <c r="D37" s="91">
        <v>204421.0</v>
      </c>
      <c r="E37" s="91">
        <v>115244.0</v>
      </c>
      <c r="F37" s="91">
        <v>0.0</v>
      </c>
      <c r="G37" s="91">
        <v>52580.0</v>
      </c>
      <c r="H37" s="91">
        <v>90873.0</v>
      </c>
      <c r="I37" s="91">
        <v>278766.0</v>
      </c>
      <c r="J37" s="91">
        <v>124192.0</v>
      </c>
    </row>
    <row r="38">
      <c r="A38" s="104">
        <v>44105.0</v>
      </c>
      <c r="B38" s="91">
        <v>20000.0</v>
      </c>
      <c r="C38" s="91">
        <v>0.0</v>
      </c>
      <c r="D38" s="91">
        <v>88028.0</v>
      </c>
      <c r="E38" s="91">
        <v>123807.0</v>
      </c>
      <c r="F38" s="91">
        <v>0.0</v>
      </c>
      <c r="G38" s="91">
        <v>56487.0</v>
      </c>
      <c r="H38" s="91">
        <v>97441.0</v>
      </c>
      <c r="I38" s="91">
        <v>293176.0</v>
      </c>
      <c r="J38" s="91">
        <v>134235.0</v>
      </c>
    </row>
    <row r="39">
      <c r="A39" s="104">
        <v>44136.0</v>
      </c>
      <c r="B39" s="91">
        <v>20000.0</v>
      </c>
      <c r="C39" s="91">
        <v>0.0</v>
      </c>
      <c r="D39" s="91">
        <v>89006.0</v>
      </c>
      <c r="E39" s="91">
        <v>132964.0</v>
      </c>
      <c r="F39" s="91">
        <v>0.0</v>
      </c>
      <c r="G39" s="91">
        <v>60665.0</v>
      </c>
      <c r="H39" s="91">
        <v>104476.0</v>
      </c>
      <c r="I39" s="91">
        <v>308946.0</v>
      </c>
      <c r="J39" s="91">
        <v>144929.0</v>
      </c>
    </row>
    <row r="40">
      <c r="A40" s="104">
        <v>44166.0</v>
      </c>
      <c r="B40" s="91">
        <v>20000.0</v>
      </c>
      <c r="C40" s="91">
        <v>0.0</v>
      </c>
      <c r="D40" s="91">
        <v>89985.0</v>
      </c>
      <c r="E40" s="91">
        <v>142466.0</v>
      </c>
      <c r="F40" s="91">
        <v>0.0</v>
      </c>
      <c r="G40" s="91">
        <v>65000.0</v>
      </c>
      <c r="H40" s="91">
        <v>111781.0</v>
      </c>
      <c r="I40" s="91">
        <v>325500.0</v>
      </c>
      <c r="J40" s="91">
        <v>156000.0</v>
      </c>
    </row>
    <row r="41">
      <c r="A41" s="104">
        <v>44197.0</v>
      </c>
      <c r="B41" s="91">
        <v>37500.0</v>
      </c>
      <c r="C41" s="91">
        <v>0.0</v>
      </c>
      <c r="D41" s="91">
        <v>158451.0</v>
      </c>
      <c r="E41" s="91">
        <v>162468.0</v>
      </c>
      <c r="F41" s="91">
        <v>0.0</v>
      </c>
      <c r="G41" s="91">
        <v>73433.0</v>
      </c>
      <c r="H41" s="91">
        <v>121873.0</v>
      </c>
      <c r="I41" s="91">
        <v>347866.0</v>
      </c>
      <c r="J41" s="91">
        <v>187320.0</v>
      </c>
    </row>
    <row r="42">
      <c r="A42" s="104">
        <v>44228.0</v>
      </c>
      <c r="B42" s="91">
        <v>37500.0</v>
      </c>
      <c r="C42" s="91">
        <v>0.0</v>
      </c>
      <c r="D42" s="91">
        <v>160407.0</v>
      </c>
      <c r="E42" s="91">
        <v>181637.0</v>
      </c>
      <c r="F42" s="91">
        <v>0.0</v>
      </c>
      <c r="G42" s="91">
        <v>81505.0</v>
      </c>
      <c r="H42" s="91">
        <v>131459.0</v>
      </c>
      <c r="I42" s="91">
        <v>368939.0</v>
      </c>
      <c r="J42" s="91">
        <v>217482.0</v>
      </c>
    </row>
    <row r="43">
      <c r="A43" s="104">
        <v>44256.0</v>
      </c>
      <c r="B43" s="91">
        <v>37500.0</v>
      </c>
      <c r="C43" s="91">
        <v>0.0</v>
      </c>
      <c r="D43" s="91">
        <v>397105.0</v>
      </c>
      <c r="E43" s="91">
        <v>199364.0</v>
      </c>
      <c r="F43" s="91">
        <v>0.0</v>
      </c>
      <c r="G43" s="91">
        <v>88950.0</v>
      </c>
      <c r="H43" s="91">
        <v>140167.0</v>
      </c>
      <c r="I43" s="91">
        <v>387773.0</v>
      </c>
      <c r="J43" s="91">
        <v>245640.0</v>
      </c>
    </row>
    <row r="44">
      <c r="A44" s="104">
        <v>44287.0</v>
      </c>
      <c r="B44" s="91">
        <v>37500.0</v>
      </c>
      <c r="C44" s="91">
        <v>0.0</v>
      </c>
      <c r="D44" s="91">
        <v>164319.0</v>
      </c>
      <c r="E44" s="91">
        <v>215427.0</v>
      </c>
      <c r="F44" s="91">
        <v>0.0</v>
      </c>
      <c r="G44" s="91">
        <v>95672.0</v>
      </c>
      <c r="H44" s="91">
        <v>147861.0</v>
      </c>
      <c r="I44" s="91">
        <v>404022.0</v>
      </c>
      <c r="J44" s="91">
        <v>271482.0</v>
      </c>
    </row>
    <row r="45">
      <c r="A45" s="104">
        <v>44317.0</v>
      </c>
      <c r="B45" s="91">
        <v>37500.0</v>
      </c>
      <c r="C45" s="91">
        <v>0.0</v>
      </c>
      <c r="D45" s="91">
        <v>166275.0</v>
      </c>
      <c r="E45" s="91">
        <v>230047.0</v>
      </c>
      <c r="F45" s="91">
        <v>0.0</v>
      </c>
      <c r="G45" s="91">
        <v>101767.0</v>
      </c>
      <c r="H45" s="91">
        <v>154677.0</v>
      </c>
      <c r="I45" s="91">
        <v>418032.0</v>
      </c>
      <c r="J45" s="91">
        <v>295320.0</v>
      </c>
    </row>
    <row r="46">
      <c r="A46" s="104">
        <v>44348.0</v>
      </c>
      <c r="B46" s="91">
        <v>37500.0</v>
      </c>
      <c r="C46" s="91">
        <v>0.0</v>
      </c>
      <c r="D46" s="91">
        <v>168232.0</v>
      </c>
      <c r="E46" s="91">
        <v>243836.0</v>
      </c>
      <c r="F46" s="91">
        <v>0.0</v>
      </c>
      <c r="G46" s="91">
        <v>107500.0</v>
      </c>
      <c r="H46" s="91">
        <v>160986.0</v>
      </c>
      <c r="I46" s="91">
        <v>430750.0</v>
      </c>
      <c r="J46" s="91">
        <v>318000.0</v>
      </c>
    </row>
    <row r="47">
      <c r="A47" s="104">
        <v>44378.0</v>
      </c>
      <c r="B47" s="91">
        <v>37500.0</v>
      </c>
      <c r="C47" s="91">
        <v>0.0</v>
      </c>
      <c r="D47" s="91">
        <v>170188.0</v>
      </c>
      <c r="E47" s="91">
        <v>257624.0</v>
      </c>
      <c r="F47" s="91">
        <v>0.0</v>
      </c>
      <c r="G47" s="91">
        <v>113233.0</v>
      </c>
      <c r="H47" s="91">
        <v>167295.0</v>
      </c>
      <c r="I47" s="91">
        <v>443468.0</v>
      </c>
      <c r="J47" s="91">
        <v>340680.0</v>
      </c>
    </row>
    <row r="48">
      <c r="A48" s="104">
        <v>44409.0</v>
      </c>
      <c r="B48" s="91">
        <v>37500.0</v>
      </c>
      <c r="C48" s="91">
        <v>0.0</v>
      </c>
      <c r="D48" s="91">
        <v>172144.0</v>
      </c>
      <c r="E48" s="91">
        <v>272244.0</v>
      </c>
      <c r="F48" s="91">
        <v>0.0</v>
      </c>
      <c r="G48" s="91">
        <v>119328.0</v>
      </c>
      <c r="H48" s="91">
        <v>174112.0</v>
      </c>
      <c r="I48" s="91">
        <v>457478.0</v>
      </c>
      <c r="J48" s="91">
        <v>364518.0</v>
      </c>
    </row>
    <row r="49">
      <c r="A49" s="104">
        <v>44440.0</v>
      </c>
      <c r="B49" s="91">
        <v>37500.0</v>
      </c>
      <c r="C49" s="91">
        <v>0.0</v>
      </c>
      <c r="D49" s="91">
        <v>408842.0</v>
      </c>
      <c r="E49" s="91">
        <v>288307.0</v>
      </c>
      <c r="F49" s="91">
        <v>0.0</v>
      </c>
      <c r="G49" s="91">
        <v>126050.0</v>
      </c>
      <c r="H49" s="91">
        <v>181806.0</v>
      </c>
      <c r="I49" s="91">
        <v>473727.0</v>
      </c>
      <c r="J49" s="91">
        <v>390360.0</v>
      </c>
    </row>
    <row r="50">
      <c r="A50" s="104">
        <v>44470.0</v>
      </c>
      <c r="B50" s="91">
        <v>37500.0</v>
      </c>
      <c r="C50" s="91">
        <v>0.0</v>
      </c>
      <c r="D50" s="91">
        <v>176056.0</v>
      </c>
      <c r="E50" s="91">
        <v>306034.0</v>
      </c>
      <c r="F50" s="91">
        <v>0.0</v>
      </c>
      <c r="G50" s="91">
        <v>133495.0</v>
      </c>
      <c r="H50" s="91">
        <v>190513.0</v>
      </c>
      <c r="I50" s="91">
        <v>492561.0</v>
      </c>
      <c r="J50" s="91">
        <v>418518.0</v>
      </c>
    </row>
    <row r="51">
      <c r="A51" s="104">
        <v>44501.0</v>
      </c>
      <c r="B51" s="91">
        <v>37500.0</v>
      </c>
      <c r="C51" s="91">
        <v>0.0</v>
      </c>
      <c r="D51" s="91">
        <v>178013.0</v>
      </c>
      <c r="E51" s="91">
        <v>325204.0</v>
      </c>
      <c r="F51" s="91">
        <v>0.0</v>
      </c>
      <c r="G51" s="91">
        <v>141567.0</v>
      </c>
      <c r="H51" s="91">
        <v>200099.0</v>
      </c>
      <c r="I51" s="91">
        <v>513634.0</v>
      </c>
      <c r="J51" s="91">
        <v>448680.0</v>
      </c>
    </row>
    <row r="52">
      <c r="A52" s="104">
        <v>44531.0</v>
      </c>
      <c r="B52" s="91">
        <v>37500.0</v>
      </c>
      <c r="C52" s="91">
        <v>0.0</v>
      </c>
      <c r="D52" s="91">
        <v>179968.0</v>
      </c>
      <c r="E52" s="91">
        <v>345205.0</v>
      </c>
      <c r="F52" s="91">
        <v>0.0</v>
      </c>
      <c r="G52" s="91">
        <v>150000.0</v>
      </c>
      <c r="H52" s="91">
        <v>210192.0</v>
      </c>
      <c r="I52" s="91">
        <v>536000.0</v>
      </c>
      <c r="J52" s="91">
        <v>480000.0</v>
      </c>
    </row>
    <row r="53">
      <c r="A53" s="104">
        <v>44562.0</v>
      </c>
      <c r="B53" s="91">
        <v>91667.0</v>
      </c>
      <c r="C53" s="91">
        <v>0.0</v>
      </c>
      <c r="D53" s="91">
        <v>190141.0</v>
      </c>
      <c r="E53" s="91">
        <v>384740.0</v>
      </c>
      <c r="F53" s="91">
        <v>0.0</v>
      </c>
      <c r="G53" s="91">
        <v>170740.0</v>
      </c>
      <c r="H53" s="91">
        <v>261546.0</v>
      </c>
      <c r="I53" s="91">
        <v>694467.0</v>
      </c>
      <c r="J53" s="91">
        <v>561880.0</v>
      </c>
    </row>
    <row r="54">
      <c r="A54" s="104">
        <v>44593.0</v>
      </c>
      <c r="B54" s="91">
        <v>91667.0</v>
      </c>
      <c r="C54" s="91">
        <v>0.0</v>
      </c>
      <c r="D54" s="91">
        <v>192488.0</v>
      </c>
      <c r="E54" s="91">
        <v>422490.0</v>
      </c>
      <c r="F54" s="91">
        <v>0.0</v>
      </c>
      <c r="G54" s="91">
        <v>190612.0</v>
      </c>
      <c r="H54" s="91">
        <v>311102.0</v>
      </c>
      <c r="I54" s="91">
        <v>847628.0</v>
      </c>
      <c r="J54" s="91">
        <v>640577.0</v>
      </c>
    </row>
    <row r="55">
      <c r="A55" s="104">
        <v>44621.0</v>
      </c>
      <c r="B55" s="91">
        <v>91667.0</v>
      </c>
      <c r="C55" s="91">
        <v>0.0</v>
      </c>
      <c r="D55" s="91">
        <v>476526.0</v>
      </c>
      <c r="E55" s="91">
        <v>457151.0</v>
      </c>
      <c r="F55" s="91">
        <v>0.0</v>
      </c>
      <c r="G55" s="91">
        <v>208980.0</v>
      </c>
      <c r="H55" s="91">
        <v>357542.0</v>
      </c>
      <c r="I55" s="91">
        <v>991600.0</v>
      </c>
      <c r="J55" s="91">
        <v>713760.0</v>
      </c>
    </row>
    <row r="56">
      <c r="A56" s="104">
        <v>44652.0</v>
      </c>
      <c r="B56" s="91">
        <v>91667.0</v>
      </c>
      <c r="C56" s="91">
        <v>0.0</v>
      </c>
      <c r="D56" s="91">
        <v>197183.0</v>
      </c>
      <c r="E56" s="91">
        <v>488244.0</v>
      </c>
      <c r="F56" s="91">
        <v>0.0</v>
      </c>
      <c r="G56" s="91">
        <v>225612.0</v>
      </c>
      <c r="H56" s="91">
        <v>400385.0</v>
      </c>
      <c r="I56" s="91">
        <v>1124961.0</v>
      </c>
      <c r="J56" s="91">
        <v>780577.0</v>
      </c>
    </row>
    <row r="57">
      <c r="A57" s="104">
        <v>44682.0</v>
      </c>
      <c r="B57" s="91">
        <v>91667.0</v>
      </c>
      <c r="C57" s="91">
        <v>0.0</v>
      </c>
      <c r="D57" s="91">
        <v>199531.0</v>
      </c>
      <c r="E57" s="91">
        <v>516247.0</v>
      </c>
      <c r="F57" s="91">
        <v>0.0</v>
      </c>
      <c r="G57" s="91">
        <v>240740.0</v>
      </c>
      <c r="H57" s="91">
        <v>440113.0</v>
      </c>
      <c r="I57" s="91">
        <v>1249133.0</v>
      </c>
      <c r="J57" s="91">
        <v>841880.0</v>
      </c>
    </row>
    <row r="58">
      <c r="A58" s="104">
        <v>44713.0</v>
      </c>
      <c r="B58" s="91">
        <v>91667.0</v>
      </c>
      <c r="C58" s="91">
        <v>0.0</v>
      </c>
      <c r="D58" s="91">
        <v>201878.0</v>
      </c>
      <c r="E58" s="91">
        <v>542466.0</v>
      </c>
      <c r="F58" s="91">
        <v>0.0</v>
      </c>
      <c r="G58" s="91">
        <v>255000.0</v>
      </c>
      <c r="H58" s="91">
        <v>478041.0</v>
      </c>
      <c r="I58" s="91">
        <v>1368000.0</v>
      </c>
      <c r="J58" s="91">
        <v>900000.0</v>
      </c>
    </row>
    <row r="59">
      <c r="A59" s="104">
        <v>44743.0</v>
      </c>
      <c r="B59" s="91">
        <v>91667.0</v>
      </c>
      <c r="C59" s="91">
        <v>0.0</v>
      </c>
      <c r="D59" s="91">
        <v>204225.0</v>
      </c>
      <c r="E59" s="91">
        <v>568685.0</v>
      </c>
      <c r="F59" s="91">
        <v>0.0</v>
      </c>
      <c r="G59" s="91">
        <v>269260.0</v>
      </c>
      <c r="H59" s="91">
        <v>515970.0</v>
      </c>
      <c r="I59" s="91">
        <v>1486867.0</v>
      </c>
      <c r="J59" s="91">
        <v>958120.0</v>
      </c>
    </row>
    <row r="60">
      <c r="A60" s="104">
        <v>44774.0</v>
      </c>
      <c r="B60" s="91">
        <v>91667.0</v>
      </c>
      <c r="C60" s="91">
        <v>0.0</v>
      </c>
      <c r="D60" s="91">
        <v>206573.0</v>
      </c>
      <c r="E60" s="91">
        <v>596688.0</v>
      </c>
      <c r="F60" s="91">
        <v>0.0</v>
      </c>
      <c r="G60" s="91">
        <v>284388.0</v>
      </c>
      <c r="H60" s="91">
        <v>555697.0</v>
      </c>
      <c r="I60" s="91">
        <v>1611039.0</v>
      </c>
      <c r="J60" s="91">
        <v>1019423.0</v>
      </c>
    </row>
    <row r="61">
      <c r="A61" s="104">
        <v>44805.0</v>
      </c>
      <c r="B61" s="91">
        <v>91667.0</v>
      </c>
      <c r="C61" s="91">
        <v>0.0</v>
      </c>
      <c r="D61" s="91">
        <v>490610.0</v>
      </c>
      <c r="E61" s="91">
        <v>627781.0</v>
      </c>
      <c r="F61" s="91">
        <v>0.0</v>
      </c>
      <c r="G61" s="91">
        <v>301020.0</v>
      </c>
      <c r="H61" s="91">
        <v>598540.0</v>
      </c>
      <c r="I61" s="91">
        <v>1744400.0</v>
      </c>
      <c r="J61" s="91">
        <v>1086240.0</v>
      </c>
    </row>
    <row r="62">
      <c r="A62" s="104">
        <v>44835.0</v>
      </c>
      <c r="B62" s="91">
        <v>91667.0</v>
      </c>
      <c r="C62" s="91">
        <v>0.0</v>
      </c>
      <c r="D62" s="91">
        <v>211268.0</v>
      </c>
      <c r="E62" s="91">
        <v>662441.0</v>
      </c>
      <c r="F62" s="91">
        <v>0.0</v>
      </c>
      <c r="G62" s="91">
        <v>319388.0</v>
      </c>
      <c r="H62" s="91">
        <v>644980.0</v>
      </c>
      <c r="I62" s="91">
        <v>1888372.0</v>
      </c>
      <c r="J62" s="91">
        <v>1159423.0</v>
      </c>
    </row>
    <row r="63">
      <c r="A63" s="104">
        <v>44866.0</v>
      </c>
      <c r="B63" s="91">
        <v>91667.0</v>
      </c>
      <c r="C63" s="91">
        <v>0.0</v>
      </c>
      <c r="D63" s="91">
        <v>213615.0</v>
      </c>
      <c r="E63" s="91">
        <v>700192.0</v>
      </c>
      <c r="F63" s="91">
        <v>0.0</v>
      </c>
      <c r="G63" s="91">
        <v>339260.0</v>
      </c>
      <c r="H63" s="91">
        <v>694536.0</v>
      </c>
      <c r="I63" s="91">
        <v>2041533.0</v>
      </c>
      <c r="J63" s="91">
        <v>1238120.0</v>
      </c>
    </row>
    <row r="64">
      <c r="A64" s="104">
        <v>44896.0</v>
      </c>
      <c r="B64" s="91">
        <v>91663.0</v>
      </c>
      <c r="C64" s="91">
        <v>0.0</v>
      </c>
      <c r="D64" s="91">
        <v>215962.0</v>
      </c>
      <c r="E64" s="91">
        <v>739726.0</v>
      </c>
      <c r="F64" s="91">
        <v>0.0</v>
      </c>
      <c r="G64" s="91">
        <v>360000.0</v>
      </c>
      <c r="H64" s="91">
        <v>745890.0</v>
      </c>
      <c r="I64" s="91">
        <v>2200000.0</v>
      </c>
      <c r="J64" s="91">
        <v>1320000.0</v>
      </c>
    </row>
    <row r="65">
      <c r="A65" s="104">
        <v>44927.0</v>
      </c>
      <c r="B65" s="91">
        <v>250000.0</v>
      </c>
      <c r="C65" s="91">
        <v>0.0</v>
      </c>
      <c r="D65" s="91">
        <v>380282.0</v>
      </c>
      <c r="E65" s="91">
        <v>884504.0</v>
      </c>
      <c r="F65" s="91">
        <v>0.0</v>
      </c>
      <c r="G65" s="91">
        <v>424180.0</v>
      </c>
      <c r="H65" s="91">
        <v>808155.0</v>
      </c>
      <c r="I65" s="91">
        <v>2413700.0</v>
      </c>
      <c r="J65" s="91">
        <v>1555327.0</v>
      </c>
    </row>
    <row r="66">
      <c r="A66" s="104">
        <v>44958.0</v>
      </c>
      <c r="B66" s="91">
        <v>250000.0</v>
      </c>
      <c r="C66" s="91">
        <v>0.0</v>
      </c>
      <c r="D66" s="91">
        <v>384977.0</v>
      </c>
      <c r="E66" s="91">
        <v>1023891.0</v>
      </c>
      <c r="F66" s="91">
        <v>0.0</v>
      </c>
      <c r="G66" s="91">
        <v>485900.0</v>
      </c>
      <c r="H66" s="91">
        <v>867170.0</v>
      </c>
      <c r="I66" s="91">
        <v>2617030.0</v>
      </c>
      <c r="J66" s="91">
        <v>1781634.0</v>
      </c>
    </row>
    <row r="67">
      <c r="A67" s="104">
        <v>44986.0</v>
      </c>
      <c r="B67" s="91">
        <v>250000.0</v>
      </c>
      <c r="C67" s="91">
        <v>0.0</v>
      </c>
      <c r="D67" s="91">
        <v>953052.0</v>
      </c>
      <c r="E67" s="91">
        <v>1153940.0</v>
      </c>
      <c r="F67" s="91">
        <v>0.0</v>
      </c>
      <c r="G67" s="91">
        <v>543360.0</v>
      </c>
      <c r="H67" s="91">
        <v>920557.0</v>
      </c>
      <c r="I67" s="91">
        <v>2802400.0</v>
      </c>
      <c r="J67" s="91">
        <v>1992320.0</v>
      </c>
    </row>
    <row r="68">
      <c r="A68" s="104">
        <v>45017.0</v>
      </c>
      <c r="B68" s="91">
        <v>250000.0</v>
      </c>
      <c r="C68" s="91">
        <v>0.0</v>
      </c>
      <c r="D68" s="91">
        <v>394366.0</v>
      </c>
      <c r="E68" s="91">
        <v>1273206.0</v>
      </c>
      <c r="F68" s="91">
        <v>0.0</v>
      </c>
      <c r="G68" s="91">
        <v>595900.0</v>
      </c>
      <c r="H68" s="91">
        <v>967444.0</v>
      </c>
      <c r="I68" s="91">
        <v>2967030.0</v>
      </c>
      <c r="J68" s="91">
        <v>2184967.0</v>
      </c>
    </row>
    <row r="69">
      <c r="A69" s="104">
        <v>45047.0</v>
      </c>
      <c r="B69" s="91">
        <v>250000.0</v>
      </c>
      <c r="C69" s="91">
        <v>0.0</v>
      </c>
      <c r="D69" s="91">
        <v>399061.0</v>
      </c>
      <c r="E69" s="91">
        <v>1383134.0</v>
      </c>
      <c r="F69" s="91">
        <v>0.0</v>
      </c>
      <c r="G69" s="91">
        <v>644180.0</v>
      </c>
      <c r="H69" s="91">
        <v>1008703.0</v>
      </c>
      <c r="I69" s="91">
        <v>3113700.0</v>
      </c>
      <c r="J69" s="91">
        <v>2361993.0</v>
      </c>
    </row>
    <row r="70">
      <c r="A70" s="104">
        <v>45078.0</v>
      </c>
      <c r="B70" s="91">
        <v>250000.0</v>
      </c>
      <c r="C70" s="91">
        <v>0.0</v>
      </c>
      <c r="D70" s="91">
        <v>403756.0</v>
      </c>
      <c r="E70" s="91">
        <v>1487671.0</v>
      </c>
      <c r="F70" s="91">
        <v>0.0</v>
      </c>
      <c r="G70" s="91">
        <v>690000.0</v>
      </c>
      <c r="H70" s="91">
        <v>1046712.0</v>
      </c>
      <c r="I70" s="91">
        <v>3250000.0</v>
      </c>
      <c r="J70" s="91">
        <v>2530000.0</v>
      </c>
    </row>
    <row r="71">
      <c r="A71" s="104">
        <v>45108.0</v>
      </c>
      <c r="B71" s="91">
        <v>250000.0</v>
      </c>
      <c r="C71" s="91">
        <v>0.0</v>
      </c>
      <c r="D71" s="91">
        <v>408451.0</v>
      </c>
      <c r="E71" s="91">
        <v>1592208.0</v>
      </c>
      <c r="F71" s="91">
        <v>0.0</v>
      </c>
      <c r="G71" s="91">
        <v>735820.0</v>
      </c>
      <c r="H71" s="91">
        <v>1084722.0</v>
      </c>
      <c r="I71" s="91">
        <v>3386300.0</v>
      </c>
      <c r="J71" s="91">
        <v>2698007.0</v>
      </c>
    </row>
    <row r="72">
      <c r="A72" s="104">
        <v>45139.0</v>
      </c>
      <c r="B72" s="91">
        <v>250000.0</v>
      </c>
      <c r="C72" s="91">
        <v>0.0</v>
      </c>
      <c r="D72" s="91">
        <v>413146.0</v>
      </c>
      <c r="E72" s="91">
        <v>1702136.0</v>
      </c>
      <c r="F72" s="91">
        <v>0.0</v>
      </c>
      <c r="G72" s="91">
        <v>784100.0</v>
      </c>
      <c r="H72" s="91">
        <v>1125980.0</v>
      </c>
      <c r="I72" s="91">
        <v>3532970.0</v>
      </c>
      <c r="J72" s="91">
        <v>2875033.0</v>
      </c>
    </row>
    <row r="73">
      <c r="A73" s="104">
        <v>45170.0</v>
      </c>
      <c r="B73" s="91">
        <v>250000.0</v>
      </c>
      <c r="C73" s="91">
        <v>0.0</v>
      </c>
      <c r="D73" s="91">
        <v>981221.0</v>
      </c>
      <c r="E73" s="91">
        <v>1821403.0</v>
      </c>
      <c r="F73" s="91">
        <v>0.0</v>
      </c>
      <c r="G73" s="91">
        <v>836640.0</v>
      </c>
      <c r="H73" s="91">
        <v>1172868.0</v>
      </c>
      <c r="I73" s="91">
        <v>3697600.0</v>
      </c>
      <c r="J73" s="91">
        <v>3067680.0</v>
      </c>
    </row>
    <row r="74">
      <c r="A74" s="104">
        <v>45200.0</v>
      </c>
      <c r="B74" s="91">
        <v>250000.0</v>
      </c>
      <c r="C74" s="91">
        <v>0.0</v>
      </c>
      <c r="D74" s="91">
        <v>422535.0</v>
      </c>
      <c r="E74" s="91">
        <v>1951452.0</v>
      </c>
      <c r="F74" s="91">
        <v>0.0</v>
      </c>
      <c r="G74" s="91">
        <v>894100.0</v>
      </c>
      <c r="H74" s="91">
        <v>1226254.0</v>
      </c>
      <c r="I74" s="91">
        <v>3882970.0</v>
      </c>
      <c r="J74" s="91">
        <v>3278366.0</v>
      </c>
    </row>
    <row r="75">
      <c r="A75" s="104">
        <v>45231.0</v>
      </c>
      <c r="B75" s="91">
        <v>250000.0</v>
      </c>
      <c r="C75" s="91">
        <v>0.0</v>
      </c>
      <c r="D75" s="91">
        <v>427230.0</v>
      </c>
      <c r="E75" s="91">
        <v>2090838.0</v>
      </c>
      <c r="F75" s="91">
        <v>0.0</v>
      </c>
      <c r="G75" s="91">
        <v>955820.0</v>
      </c>
      <c r="H75" s="91">
        <v>1285269.0</v>
      </c>
      <c r="I75" s="91">
        <v>4086300.0</v>
      </c>
      <c r="J75" s="91">
        <v>3504673.0</v>
      </c>
    </row>
    <row r="76">
      <c r="A76" s="104">
        <v>45261.0</v>
      </c>
      <c r="B76" s="91">
        <v>250000.0</v>
      </c>
      <c r="C76" s="91">
        <v>0.0</v>
      </c>
      <c r="D76" s="91">
        <v>431923.0</v>
      </c>
      <c r="E76" s="91">
        <v>2235616.0</v>
      </c>
      <c r="F76" s="91">
        <v>0.0</v>
      </c>
      <c r="G76" s="91">
        <v>1020000.0</v>
      </c>
      <c r="H76" s="91">
        <v>1347534.0</v>
      </c>
      <c r="I76" s="91">
        <v>4300000.0</v>
      </c>
      <c r="J76" s="91">
        <v>3740000.0</v>
      </c>
    </row>
    <row r="77">
      <c r="A77" s="104">
        <v>45292.0</v>
      </c>
      <c r="B77" s="91">
        <v>416667.0</v>
      </c>
      <c r="C77" s="91">
        <v>0.0</v>
      </c>
      <c r="D77" s="91">
        <v>760563.0</v>
      </c>
      <c r="E77" s="91">
        <v>2693878.0</v>
      </c>
      <c r="F77" s="91">
        <v>239291.0</v>
      </c>
      <c r="G77" s="91">
        <v>1206460.0</v>
      </c>
      <c r="H77" s="91">
        <v>1560774.0</v>
      </c>
      <c r="I77" s="91">
        <v>4726962.0</v>
      </c>
      <c r="J77" s="91">
        <v>3976793.0</v>
      </c>
    </row>
    <row r="78">
      <c r="A78" s="104">
        <v>45323.0</v>
      </c>
      <c r="B78" s="91">
        <v>416667.0</v>
      </c>
      <c r="C78" s="91">
        <v>0.0</v>
      </c>
      <c r="D78" s="91">
        <v>769953.0</v>
      </c>
      <c r="E78" s="91">
        <v>3135304.0</v>
      </c>
      <c r="F78" s="91">
        <v>472332.0</v>
      </c>
      <c r="G78" s="91">
        <v>1385830.0</v>
      </c>
      <c r="H78" s="91">
        <v>1765512.0</v>
      </c>
      <c r="I78" s="91">
        <v>5133413.0</v>
      </c>
      <c r="J78" s="91">
        <v>4199262.0</v>
      </c>
    </row>
    <row r="79">
      <c r="A79" s="104">
        <v>45352.0</v>
      </c>
      <c r="B79" s="91">
        <v>416667.0</v>
      </c>
      <c r="C79" s="91">
        <v>0.0</v>
      </c>
      <c r="D79" s="91">
        <v>1906103.0</v>
      </c>
      <c r="E79" s="91">
        <v>3547573.0</v>
      </c>
      <c r="F79" s="91">
        <v>694549.0</v>
      </c>
      <c r="G79" s="91">
        <v>1552920.0</v>
      </c>
      <c r="H79" s="91">
        <v>1955523.0</v>
      </c>
      <c r="I79" s="91">
        <v>5504340.0</v>
      </c>
      <c r="J79" s="91">
        <v>4396920.0</v>
      </c>
    </row>
    <row r="80">
      <c r="A80" s="104">
        <v>45383.0</v>
      </c>
      <c r="B80" s="91">
        <v>416667.0</v>
      </c>
      <c r="C80" s="91">
        <v>0.0</v>
      </c>
      <c r="D80" s="91">
        <v>788732.0</v>
      </c>
      <c r="E80" s="91">
        <v>3926172.0</v>
      </c>
      <c r="F80" s="91">
        <v>904266.0</v>
      </c>
      <c r="G80" s="91">
        <v>1705830.0</v>
      </c>
      <c r="H80" s="91">
        <v>2128530.0</v>
      </c>
      <c r="I80" s="91">
        <v>5834246.0</v>
      </c>
      <c r="J80" s="91">
        <v>4565929.0</v>
      </c>
    </row>
    <row r="81">
      <c r="A81" s="104">
        <v>45413.0</v>
      </c>
      <c r="B81" s="91">
        <v>416667.0</v>
      </c>
      <c r="C81" s="91">
        <v>0.0</v>
      </c>
      <c r="D81" s="91">
        <v>798122.0</v>
      </c>
      <c r="E81" s="91">
        <v>4275613.0</v>
      </c>
      <c r="F81" s="91">
        <v>1103158.0</v>
      </c>
      <c r="G81" s="91">
        <v>1846460.0</v>
      </c>
      <c r="H81" s="91">
        <v>2286811.0</v>
      </c>
      <c r="I81" s="91">
        <v>6128628.0</v>
      </c>
      <c r="J81" s="91">
        <v>4710127.0</v>
      </c>
    </row>
    <row r="82">
      <c r="A82" s="104">
        <v>45444.0</v>
      </c>
      <c r="B82" s="91">
        <v>416667.0</v>
      </c>
      <c r="C82" s="91">
        <v>0.0</v>
      </c>
      <c r="D82" s="91">
        <v>807512.0</v>
      </c>
      <c r="E82" s="91">
        <v>4608219.0</v>
      </c>
      <c r="F82" s="91">
        <v>1295800.0</v>
      </c>
      <c r="G82" s="91">
        <v>1980000.0</v>
      </c>
      <c r="H82" s="91">
        <v>2436589.0</v>
      </c>
      <c r="I82" s="91">
        <v>6402500.0</v>
      </c>
      <c r="J82" s="91">
        <v>4840000.0</v>
      </c>
    </row>
    <row r="83">
      <c r="A83" s="104">
        <v>45474.0</v>
      </c>
      <c r="B83" s="91">
        <v>416667.0</v>
      </c>
      <c r="C83" s="91">
        <v>0.0</v>
      </c>
      <c r="D83" s="91">
        <v>816901.0</v>
      </c>
      <c r="E83" s="91">
        <v>4940826.0</v>
      </c>
      <c r="F83" s="91">
        <v>1488442.0</v>
      </c>
      <c r="G83" s="91">
        <v>2113540.0</v>
      </c>
      <c r="H83" s="91">
        <v>2586367.0</v>
      </c>
      <c r="I83" s="91">
        <v>6676372.0</v>
      </c>
      <c r="J83" s="91">
        <v>4969873.0</v>
      </c>
    </row>
    <row r="84">
      <c r="A84" s="104">
        <v>45505.0</v>
      </c>
      <c r="B84" s="91">
        <v>416667.0</v>
      </c>
      <c r="C84" s="91">
        <v>0.0</v>
      </c>
      <c r="D84" s="91">
        <v>826291.0</v>
      </c>
      <c r="E84" s="91">
        <v>5290267.0</v>
      </c>
      <c r="F84" s="91">
        <v>1687334.0</v>
      </c>
      <c r="G84" s="91">
        <v>2254170.0</v>
      </c>
      <c r="H84" s="91">
        <v>2744648.0</v>
      </c>
      <c r="I84" s="91">
        <v>6970754.0</v>
      </c>
      <c r="J84" s="91">
        <v>5114071.0</v>
      </c>
    </row>
    <row r="85">
      <c r="A85" s="104">
        <v>45536.0</v>
      </c>
      <c r="B85" s="91">
        <v>416667.0</v>
      </c>
      <c r="C85" s="91">
        <v>0.0</v>
      </c>
      <c r="D85" s="91">
        <v>1962441.0</v>
      </c>
      <c r="E85" s="91">
        <v>5668866.0</v>
      </c>
      <c r="F85" s="91">
        <v>1897051.0</v>
      </c>
      <c r="G85" s="91">
        <v>2407080.0</v>
      </c>
      <c r="H85" s="91">
        <v>2917655.0</v>
      </c>
      <c r="I85" s="91">
        <v>7300660.0</v>
      </c>
      <c r="J85" s="91">
        <v>5283080.0</v>
      </c>
    </row>
    <row r="86">
      <c r="A86" s="104">
        <v>45566.0</v>
      </c>
      <c r="B86" s="91">
        <v>416667.0</v>
      </c>
      <c r="C86" s="91">
        <v>0.0</v>
      </c>
      <c r="D86" s="91">
        <v>845070.0</v>
      </c>
      <c r="E86" s="91">
        <v>6081134.0</v>
      </c>
      <c r="F86" s="91">
        <v>2119268.0</v>
      </c>
      <c r="G86" s="91">
        <v>2574170.0</v>
      </c>
      <c r="H86" s="91">
        <v>3107666.0</v>
      </c>
      <c r="I86" s="91">
        <v>7671587.0</v>
      </c>
      <c r="J86" s="91">
        <v>5480738.0</v>
      </c>
    </row>
    <row r="87">
      <c r="A87" s="104">
        <v>45597.0</v>
      </c>
      <c r="B87" s="91">
        <v>416667.0</v>
      </c>
      <c r="C87" s="91">
        <v>0.0</v>
      </c>
      <c r="D87" s="91">
        <v>854460.0</v>
      </c>
      <c r="E87" s="91">
        <v>6522561.0</v>
      </c>
      <c r="F87" s="91">
        <v>2352309.0</v>
      </c>
      <c r="G87" s="91">
        <v>2753540.0</v>
      </c>
      <c r="H87" s="91">
        <v>3312404.0</v>
      </c>
      <c r="I87" s="91">
        <v>8078038.0</v>
      </c>
      <c r="J87" s="91">
        <v>5703207.0</v>
      </c>
    </row>
    <row r="88">
      <c r="A88" s="104">
        <v>45627.0</v>
      </c>
      <c r="B88" s="91">
        <v>416663.0</v>
      </c>
      <c r="C88" s="91">
        <v>0.0</v>
      </c>
      <c r="D88" s="91">
        <v>863852.0</v>
      </c>
      <c r="E88" s="91">
        <v>6980822.0</v>
      </c>
      <c r="F88" s="91">
        <v>2591600.0</v>
      </c>
      <c r="G88" s="91">
        <v>2940000.0</v>
      </c>
      <c r="H88" s="91">
        <v>3525644.0</v>
      </c>
      <c r="I88" s="91">
        <v>8505000.0</v>
      </c>
      <c r="J88" s="91">
        <v>5940000.0</v>
      </c>
    </row>
    <row r="89">
      <c r="A89" s="104">
        <v>45658.0</v>
      </c>
      <c r="B89" s="91">
        <v>583333.0</v>
      </c>
      <c r="C89" s="91">
        <v>0.0</v>
      </c>
      <c r="D89" s="91">
        <v>1014085.0</v>
      </c>
      <c r="E89" s="91">
        <v>7730711.0</v>
      </c>
      <c r="F89" s="91">
        <v>2951793.0</v>
      </c>
      <c r="G89" s="91">
        <v>3215760.0</v>
      </c>
      <c r="H89" s="91">
        <v>3802779.0</v>
      </c>
      <c r="I89" s="91">
        <v>9157243.0</v>
      </c>
      <c r="J89" s="91">
        <v>6087640.0</v>
      </c>
    </row>
    <row r="90">
      <c r="A90" s="104">
        <v>45689.0</v>
      </c>
      <c r="B90" s="91">
        <v>583333.0</v>
      </c>
      <c r="C90" s="91">
        <v>0.0</v>
      </c>
      <c r="D90" s="91">
        <v>1026604.0</v>
      </c>
      <c r="E90" s="91">
        <v>8445820.0</v>
      </c>
      <c r="F90" s="91">
        <v>3296939.0</v>
      </c>
      <c r="G90" s="91">
        <v>3477919.0</v>
      </c>
      <c r="H90" s="91">
        <v>4065002.0</v>
      </c>
      <c r="I90" s="91">
        <v>9773941.0</v>
      </c>
      <c r="J90" s="91">
        <v>6218496.0</v>
      </c>
    </row>
    <row r="91">
      <c r="A91" s="104">
        <v>45717.0</v>
      </c>
      <c r="B91" s="91">
        <v>583333.0</v>
      </c>
      <c r="C91" s="91">
        <v>0.0</v>
      </c>
      <c r="D91" s="91">
        <v>2541471.0</v>
      </c>
      <c r="E91" s="91">
        <v>9100690.0</v>
      </c>
      <c r="F91" s="91">
        <v>3616020.0</v>
      </c>
      <c r="G91" s="91">
        <v>3716520.0</v>
      </c>
      <c r="H91" s="91">
        <v>4301398.0</v>
      </c>
      <c r="I91" s="91">
        <v>1.032907E7</v>
      </c>
      <c r="J91" s="91">
        <v>6320280.0</v>
      </c>
    </row>
    <row r="92">
      <c r="A92" s="104">
        <v>45748.0</v>
      </c>
      <c r="B92" s="91">
        <v>583333.0</v>
      </c>
      <c r="C92" s="91">
        <v>0.0</v>
      </c>
      <c r="D92" s="91">
        <v>1051643.0</v>
      </c>
      <c r="E92" s="91">
        <v>9686003.0</v>
      </c>
      <c r="F92" s="91">
        <v>3905005.0</v>
      </c>
      <c r="G92" s="91">
        <v>3927919.0</v>
      </c>
      <c r="H92" s="91">
        <v>4507970.0</v>
      </c>
      <c r="I92" s="91">
        <v>1.0813107E7</v>
      </c>
      <c r="J92" s="91">
        <v>6388496.0</v>
      </c>
    </row>
    <row r="93">
      <c r="A93" s="104">
        <v>45778.0</v>
      </c>
      <c r="B93" s="91">
        <v>583333.0</v>
      </c>
      <c r="C93" s="91">
        <v>0.0</v>
      </c>
      <c r="D93" s="91">
        <v>1064163.0</v>
      </c>
      <c r="E93" s="91">
        <v>1.0211076E7</v>
      </c>
      <c r="F93" s="91">
        <v>4167927.0</v>
      </c>
      <c r="G93" s="91">
        <v>4115760.0</v>
      </c>
      <c r="H93" s="91">
        <v>4688715.0</v>
      </c>
      <c r="I93" s="91">
        <v>1.1235577E7</v>
      </c>
      <c r="J93" s="91">
        <v>6427640.0</v>
      </c>
    </row>
    <row r="94">
      <c r="A94" s="104">
        <v>45809.0</v>
      </c>
      <c r="B94" s="91">
        <v>583333.0</v>
      </c>
      <c r="C94" s="91">
        <v>0.0</v>
      </c>
      <c r="D94" s="91">
        <v>1076682.0</v>
      </c>
      <c r="E94" s="91">
        <v>1.070137E7</v>
      </c>
      <c r="F94" s="91">
        <v>4415800.0</v>
      </c>
      <c r="G94" s="91">
        <v>4290000.0</v>
      </c>
      <c r="H94" s="91">
        <v>4854548.0</v>
      </c>
      <c r="I94" s="91">
        <v>1.16225E7</v>
      </c>
      <c r="J94" s="91">
        <v>6450000.0</v>
      </c>
    </row>
    <row r="95">
      <c r="A95" s="104">
        <v>45839.0</v>
      </c>
      <c r="B95" s="91">
        <v>583333.0</v>
      </c>
      <c r="C95" s="91">
        <v>0.0</v>
      </c>
      <c r="D95" s="91">
        <v>1089202.0</v>
      </c>
      <c r="E95" s="91">
        <v>1.1191664E7</v>
      </c>
      <c r="F95" s="91">
        <v>4663673.0</v>
      </c>
      <c r="G95" s="91">
        <v>4464240.0</v>
      </c>
      <c r="H95" s="91">
        <v>5020381.0</v>
      </c>
      <c r="I95" s="91">
        <v>1.2009423E7</v>
      </c>
      <c r="J95" s="91">
        <v>6472360.0</v>
      </c>
    </row>
    <row r="96">
      <c r="A96" s="104">
        <v>45870.0</v>
      </c>
      <c r="B96" s="91">
        <v>583333.0</v>
      </c>
      <c r="C96" s="91">
        <v>0.0</v>
      </c>
      <c r="D96" s="91">
        <v>1101721.0</v>
      </c>
      <c r="E96" s="91">
        <v>1.1716737E7</v>
      </c>
      <c r="F96" s="91">
        <v>4926595.0</v>
      </c>
      <c r="G96" s="91">
        <v>4652081.0</v>
      </c>
      <c r="H96" s="91">
        <v>5201126.0</v>
      </c>
      <c r="I96" s="91">
        <v>1.2431893E7</v>
      </c>
      <c r="J96" s="91">
        <v>6511504.0</v>
      </c>
    </row>
    <row r="97">
      <c r="A97" s="104">
        <v>45901.0</v>
      </c>
      <c r="B97" s="91">
        <v>583333.0</v>
      </c>
      <c r="C97" s="91">
        <v>0.0</v>
      </c>
      <c r="D97" s="91">
        <v>2616588.0</v>
      </c>
      <c r="E97" s="91">
        <v>1.2302049E7</v>
      </c>
      <c r="F97" s="91">
        <v>5215580.0</v>
      </c>
      <c r="G97" s="91">
        <v>4863480.0</v>
      </c>
      <c r="H97" s="91">
        <v>5407698.0</v>
      </c>
      <c r="I97" s="91">
        <v>1.291593E7</v>
      </c>
      <c r="J97" s="91">
        <v>6579720.0</v>
      </c>
    </row>
    <row r="98">
      <c r="A98" s="104">
        <v>45931.0</v>
      </c>
      <c r="B98" s="91">
        <v>583333.0</v>
      </c>
      <c r="C98" s="91">
        <v>0.0</v>
      </c>
      <c r="D98" s="91">
        <v>1126761.0</v>
      </c>
      <c r="E98" s="91">
        <v>1.295692E7</v>
      </c>
      <c r="F98" s="91">
        <v>5534661.0</v>
      </c>
      <c r="G98" s="91">
        <v>5102081.0</v>
      </c>
      <c r="H98" s="91">
        <v>5644094.0</v>
      </c>
      <c r="I98" s="91">
        <v>1.3471059E7</v>
      </c>
      <c r="J98" s="91">
        <v>6681504.0</v>
      </c>
    </row>
    <row r="99">
      <c r="A99" s="104">
        <v>45962.0</v>
      </c>
      <c r="B99" s="91">
        <v>583333.0</v>
      </c>
      <c r="C99" s="91">
        <v>0.0</v>
      </c>
      <c r="D99" s="91">
        <v>1139280.0</v>
      </c>
      <c r="E99" s="91">
        <v>1.3672029E7</v>
      </c>
      <c r="F99" s="91">
        <v>5879807.0</v>
      </c>
      <c r="G99" s="91">
        <v>5364240.0</v>
      </c>
      <c r="H99" s="91">
        <v>5906317.0</v>
      </c>
      <c r="I99" s="91">
        <v>1.4087757E7</v>
      </c>
      <c r="J99" s="91">
        <v>6812360.0</v>
      </c>
    </row>
    <row r="100">
      <c r="A100" s="104">
        <v>45992.0</v>
      </c>
      <c r="B100" s="91">
        <v>583337.0</v>
      </c>
      <c r="C100" s="91">
        <v>0.0</v>
      </c>
      <c r="D100" s="91">
        <v>1151800.0</v>
      </c>
      <c r="E100" s="91">
        <v>1.4421918E7</v>
      </c>
      <c r="F100" s="91">
        <v>6240000.0</v>
      </c>
      <c r="G100" s="91">
        <v>5640000.0</v>
      </c>
      <c r="H100" s="91">
        <v>6183452.0</v>
      </c>
      <c r="I100" s="91">
        <v>1.474E7</v>
      </c>
      <c r="J100" s="91">
        <v>6960000.0</v>
      </c>
    </row>
    <row r="102">
      <c r="A102" s="239" t="s">
        <v>652</v>
      </c>
      <c r="B102" s="240"/>
      <c r="C102" s="240"/>
      <c r="D102" s="240"/>
      <c r="E102" s="240"/>
      <c r="F102" s="240"/>
      <c r="G102" s="240"/>
      <c r="H102" s="240"/>
      <c r="I102" s="240"/>
      <c r="J102" s="240"/>
    </row>
    <row r="103" ht="39.0" customHeight="1">
      <c r="A103" s="241" t="s">
        <v>2</v>
      </c>
      <c r="B103" s="241" t="s">
        <v>569</v>
      </c>
      <c r="C103" s="241" t="s">
        <v>571</v>
      </c>
      <c r="D103" s="241" t="s">
        <v>85</v>
      </c>
      <c r="E103" s="241" t="s">
        <v>66</v>
      </c>
      <c r="F103" s="241" t="s">
        <v>79</v>
      </c>
      <c r="G103" s="241" t="s">
        <v>87</v>
      </c>
      <c r="H103" s="241" t="s">
        <v>107</v>
      </c>
      <c r="I103" s="241" t="s">
        <v>653</v>
      </c>
      <c r="J103" s="241" t="s">
        <v>654</v>
      </c>
    </row>
    <row r="104">
      <c r="A104" s="104">
        <v>46023.0</v>
      </c>
      <c r="B104" s="242">
        <v>816666.0</v>
      </c>
      <c r="C104" s="242">
        <v>0.0</v>
      </c>
      <c r="D104" s="242">
        <v>1327775.0</v>
      </c>
      <c r="E104" s="242">
        <v>1.2741677E7</v>
      </c>
      <c r="F104" s="242">
        <v>6064369.0</v>
      </c>
      <c r="G104" s="242">
        <v>5300182.0</v>
      </c>
      <c r="H104" s="242">
        <v>6600326.0</v>
      </c>
      <c r="I104" s="242">
        <v>1.5961986E7</v>
      </c>
      <c r="J104" s="242">
        <v>8979442.0</v>
      </c>
    </row>
    <row r="105">
      <c r="A105" s="104">
        <v>46054.0</v>
      </c>
      <c r="B105" s="242">
        <v>816666.0</v>
      </c>
      <c r="C105" s="242">
        <v>0.0</v>
      </c>
      <c r="D105" s="242">
        <v>1368805.0</v>
      </c>
      <c r="E105" s="242">
        <v>1.37341E7</v>
      </c>
      <c r="F105" s="242">
        <v>6537591.0</v>
      </c>
      <c r="G105" s="242">
        <v>5655590.0</v>
      </c>
      <c r="H105" s="242">
        <v>6898881.0</v>
      </c>
      <c r="I105" s="242">
        <v>1.6470279E7</v>
      </c>
      <c r="J105" s="242">
        <v>9214526.0</v>
      </c>
    </row>
    <row r="106">
      <c r="A106" s="104">
        <v>46082.0</v>
      </c>
      <c r="B106" s="242">
        <v>816666.0</v>
      </c>
      <c r="C106" s="242">
        <v>0.0</v>
      </c>
      <c r="D106" s="242">
        <v>3449623.0</v>
      </c>
      <c r="E106" s="242">
        <v>1.3988514E7</v>
      </c>
      <c r="F106" s="242">
        <v>7035149.0</v>
      </c>
      <c r="G106" s="242">
        <v>5712598.0</v>
      </c>
      <c r="H106" s="242">
        <v>7274535.0</v>
      </c>
      <c r="I106" s="242">
        <v>1.7098451E7</v>
      </c>
      <c r="J106" s="242">
        <v>8228707.0</v>
      </c>
    </row>
    <row r="107">
      <c r="A107" s="104">
        <v>46113.0</v>
      </c>
      <c r="B107" s="242">
        <v>816666.0</v>
      </c>
      <c r="C107" s="242">
        <v>0.0</v>
      </c>
      <c r="D107" s="242">
        <v>1376952.0</v>
      </c>
      <c r="E107" s="242">
        <v>1.5854615E7</v>
      </c>
      <c r="F107" s="242">
        <v>7368545.0</v>
      </c>
      <c r="G107" s="242">
        <v>6429447.0</v>
      </c>
      <c r="H107" s="242">
        <v>7717252.0</v>
      </c>
      <c r="I107" s="242">
        <v>1.779659E7</v>
      </c>
      <c r="J107" s="242">
        <v>9513683.0</v>
      </c>
    </row>
    <row r="108">
      <c r="A108" s="104">
        <v>46143.0</v>
      </c>
      <c r="B108" s="242">
        <v>816666.0</v>
      </c>
      <c r="C108" s="242">
        <v>0.0</v>
      </c>
      <c r="D108" s="242">
        <v>1418884.0</v>
      </c>
      <c r="E108" s="242">
        <v>1.6860181E7</v>
      </c>
      <c r="F108" s="242">
        <v>7747151.0</v>
      </c>
      <c r="G108" s="242">
        <v>6795802.0</v>
      </c>
      <c r="H108" s="242">
        <v>8225069.0</v>
      </c>
      <c r="I108" s="242">
        <v>1.8648241E7</v>
      </c>
      <c r="J108" s="242">
        <v>9611505.0</v>
      </c>
    </row>
    <row r="109">
      <c r="A109" s="104">
        <v>46174.0</v>
      </c>
      <c r="B109" s="242">
        <v>816666.0</v>
      </c>
      <c r="C109" s="242">
        <v>0.0</v>
      </c>
      <c r="D109" s="242">
        <v>1461416.0</v>
      </c>
      <c r="E109" s="242">
        <v>1.6286209E7</v>
      </c>
      <c r="F109" s="242">
        <v>7953000.0</v>
      </c>
      <c r="G109" s="242">
        <v>6528868.0</v>
      </c>
      <c r="H109" s="242">
        <v>8483435.0</v>
      </c>
      <c r="I109" s="242">
        <v>1.9476112E7</v>
      </c>
      <c r="J109" s="242">
        <v>8245307.0</v>
      </c>
    </row>
    <row r="110">
      <c r="A110" s="104">
        <v>46204.0</v>
      </c>
      <c r="B110" s="242">
        <v>816666.0</v>
      </c>
      <c r="C110" s="242">
        <v>0.0</v>
      </c>
      <c r="D110" s="242">
        <v>1426128.0</v>
      </c>
      <c r="E110" s="242">
        <v>1.8301254E7</v>
      </c>
      <c r="F110" s="242">
        <v>8276068.0</v>
      </c>
      <c r="G110" s="242">
        <v>7300183.0</v>
      </c>
      <c r="H110" s="242">
        <v>8986020.0</v>
      </c>
      <c r="I110" s="242">
        <v>2.0078235E7</v>
      </c>
      <c r="J110" s="242">
        <v>9325706.0</v>
      </c>
    </row>
    <row r="111">
      <c r="A111" s="104">
        <v>46235.0</v>
      </c>
      <c r="B111" s="242">
        <v>816666.0</v>
      </c>
      <c r="C111" s="242">
        <v>0.0</v>
      </c>
      <c r="D111" s="242">
        <v>1468961.0</v>
      </c>
      <c r="E111" s="242">
        <v>1.9102397E7</v>
      </c>
      <c r="F111" s="242">
        <v>8580892.0</v>
      </c>
      <c r="G111" s="242">
        <v>7584526.0</v>
      </c>
      <c r="H111" s="242">
        <v>9282948.0</v>
      </c>
      <c r="I111" s="242">
        <v>2.0478069E7</v>
      </c>
      <c r="J111" s="242">
        <v>9284442.0</v>
      </c>
    </row>
    <row r="112">
      <c r="A112" s="104">
        <v>46266.0</v>
      </c>
      <c r="B112" s="242">
        <v>816666.0</v>
      </c>
      <c r="C112" s="242">
        <v>0.0</v>
      </c>
      <c r="D112" s="242">
        <v>3551582.0</v>
      </c>
      <c r="E112" s="242">
        <v>1.9179911E7</v>
      </c>
      <c r="F112" s="242">
        <v>8860034.0</v>
      </c>
      <c r="G112" s="242">
        <v>7582567.0</v>
      </c>
      <c r="H112" s="242">
        <v>9343155.0</v>
      </c>
      <c r="I112" s="242">
        <v>2.0699914E7</v>
      </c>
      <c r="J112" s="242">
        <v>8356443.0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sheetData>
    <row r="1">
      <c r="A1" s="16" t="s">
        <v>650</v>
      </c>
    </row>
    <row r="2">
      <c r="A2" s="16" t="s">
        <v>651</v>
      </c>
      <c r="AD2" s="16"/>
    </row>
    <row r="3">
      <c r="A3" s="16" t="s">
        <v>2</v>
      </c>
      <c r="B3" s="16" t="s">
        <v>3</v>
      </c>
      <c r="C3" s="16" t="s">
        <v>4</v>
      </c>
      <c r="D3" s="16" t="s">
        <v>5</v>
      </c>
      <c r="E3" s="16" t="s">
        <v>6</v>
      </c>
      <c r="F3" s="16" t="s">
        <v>7</v>
      </c>
      <c r="G3" s="16" t="s">
        <v>8</v>
      </c>
      <c r="H3" s="16" t="s">
        <v>9</v>
      </c>
      <c r="I3" s="16" t="s">
        <v>11</v>
      </c>
      <c r="J3" s="16" t="s">
        <v>12</v>
      </c>
      <c r="K3" s="16" t="s">
        <v>13</v>
      </c>
      <c r="L3" s="16" t="s">
        <v>14</v>
      </c>
      <c r="M3" s="16" t="s">
        <v>15</v>
      </c>
      <c r="N3" s="16" t="s">
        <v>16</v>
      </c>
      <c r="O3" s="16" t="s">
        <v>17</v>
      </c>
      <c r="P3" s="16" t="s">
        <v>18</v>
      </c>
      <c r="Q3" s="16" t="s">
        <v>20</v>
      </c>
      <c r="R3" s="16" t="s">
        <v>21</v>
      </c>
      <c r="S3" s="16" t="s">
        <v>22</v>
      </c>
      <c r="T3" s="16" t="s">
        <v>23</v>
      </c>
      <c r="U3" s="16" t="s">
        <v>26</v>
      </c>
      <c r="V3" s="16" t="s">
        <v>29</v>
      </c>
      <c r="W3" s="16" t="s">
        <v>34</v>
      </c>
      <c r="X3" s="16" t="s">
        <v>36</v>
      </c>
      <c r="Y3" s="16" t="s">
        <v>39</v>
      </c>
      <c r="Z3" s="16" t="s">
        <v>44</v>
      </c>
      <c r="AA3" s="16" t="s">
        <v>46</v>
      </c>
      <c r="AB3" s="16" t="s">
        <v>47</v>
      </c>
      <c r="AC3" s="16" t="s">
        <v>48</v>
      </c>
      <c r="AD3" s="16" t="s">
        <v>49</v>
      </c>
      <c r="AE3" s="16" t="s">
        <v>50</v>
      </c>
      <c r="AF3" s="16" t="s">
        <v>51</v>
      </c>
      <c r="AG3" s="16" t="s">
        <v>52</v>
      </c>
      <c r="AH3" s="16" t="s">
        <v>53</v>
      </c>
      <c r="AI3" s="16" t="s">
        <v>54</v>
      </c>
      <c r="AJ3" s="16" t="s">
        <v>55</v>
      </c>
    </row>
    <row r="4">
      <c r="A4" s="16">
        <v>43101.0</v>
      </c>
      <c r="B4" s="16">
        <v>2018.0</v>
      </c>
      <c r="C4" s="16">
        <v>0.0</v>
      </c>
      <c r="D4" s="16">
        <v>0.0</v>
      </c>
      <c r="E4" s="16">
        <v>0.0</v>
      </c>
      <c r="F4" s="16">
        <v>0.0</v>
      </c>
      <c r="G4" s="16">
        <v>0.0</v>
      </c>
      <c r="H4" s="16">
        <v>0.0</v>
      </c>
      <c r="I4" s="16">
        <v>0.0</v>
      </c>
      <c r="J4" s="16">
        <v>0.0</v>
      </c>
      <c r="K4" s="16">
        <v>0.0</v>
      </c>
      <c r="L4" s="16">
        <v>96895.0</v>
      </c>
      <c r="M4" s="16">
        <v>0.0</v>
      </c>
      <c r="N4" s="16">
        <v>3632.0</v>
      </c>
      <c r="O4" s="16">
        <v>49115.0</v>
      </c>
      <c r="P4" s="16">
        <v>3009.0</v>
      </c>
      <c r="Q4" s="16">
        <v>2500.0</v>
      </c>
      <c r="R4" s="16">
        <v>0.0</v>
      </c>
      <c r="S4" s="16">
        <v>0.0</v>
      </c>
      <c r="T4" s="16">
        <v>22183.0</v>
      </c>
      <c r="U4" s="16">
        <v>6000000.0</v>
      </c>
      <c r="V4" s="16">
        <v>0.0</v>
      </c>
      <c r="W4" s="16">
        <v>0.0</v>
      </c>
      <c r="X4" s="16">
        <v>0.0</v>
      </c>
      <c r="Y4" s="16">
        <v>0.0</v>
      </c>
      <c r="Z4" s="16">
        <v>0.0</v>
      </c>
      <c r="AA4" s="16">
        <v>873.0</v>
      </c>
      <c r="AB4" s="16">
        <v>8541.0</v>
      </c>
      <c r="AC4" s="16">
        <v>0.0</v>
      </c>
      <c r="AD4" s="16">
        <v>0.0</v>
      </c>
      <c r="AE4" s="16">
        <v>0.0</v>
      </c>
      <c r="AF4" s="16">
        <v>5837589.0</v>
      </c>
      <c r="AG4" s="16">
        <v>-162411.0</v>
      </c>
      <c r="AH4" s="16">
        <v>0.0</v>
      </c>
      <c r="AI4" s="16">
        <v>0.0</v>
      </c>
      <c r="AJ4" s="16">
        <v>0.0</v>
      </c>
    </row>
    <row r="5">
      <c r="A5" s="16">
        <v>43132.0</v>
      </c>
      <c r="B5" s="16">
        <v>2018.0</v>
      </c>
      <c r="C5" s="16">
        <v>0.0</v>
      </c>
      <c r="D5" s="16">
        <v>0.0</v>
      </c>
      <c r="E5" s="16">
        <v>0.0</v>
      </c>
      <c r="F5" s="16">
        <v>0.0</v>
      </c>
      <c r="G5" s="16">
        <v>0.0</v>
      </c>
      <c r="H5" s="16">
        <v>0.0</v>
      </c>
      <c r="I5" s="16">
        <v>0.0</v>
      </c>
      <c r="J5" s="16">
        <v>0.0</v>
      </c>
      <c r="K5" s="16">
        <v>0.0</v>
      </c>
      <c r="L5" s="16">
        <v>99034.0</v>
      </c>
      <c r="M5" s="16">
        <v>0.0</v>
      </c>
      <c r="N5" s="16">
        <v>4487.0</v>
      </c>
      <c r="O5" s="16">
        <v>50150.0</v>
      </c>
      <c r="P5" s="16">
        <v>3068.0</v>
      </c>
      <c r="Q5" s="16">
        <v>2500.0</v>
      </c>
      <c r="R5" s="16">
        <v>0.0</v>
      </c>
      <c r="S5" s="16">
        <v>0.0</v>
      </c>
      <c r="T5" s="16">
        <v>22457.0</v>
      </c>
      <c r="U5" s="16">
        <v>0.0</v>
      </c>
      <c r="V5" s="16">
        <v>0.0</v>
      </c>
      <c r="W5" s="16">
        <v>0.0</v>
      </c>
      <c r="X5" s="16">
        <v>0.0</v>
      </c>
      <c r="Y5" s="16">
        <v>0.0</v>
      </c>
      <c r="Z5" s="16">
        <v>0.0</v>
      </c>
      <c r="AA5" s="16">
        <v>1723.0</v>
      </c>
      <c r="AB5" s="16">
        <v>16859.0</v>
      </c>
      <c r="AC5" s="16">
        <v>0.0</v>
      </c>
      <c r="AD5" s="16">
        <v>0.0</v>
      </c>
      <c r="AE5" s="16">
        <v>0.0</v>
      </c>
      <c r="AF5" s="16">
        <v>5670629.0</v>
      </c>
      <c r="AG5" s="16">
        <v>-166960.0</v>
      </c>
      <c r="AH5" s="16">
        <v>0.0</v>
      </c>
      <c r="AI5" s="16">
        <v>0.0</v>
      </c>
      <c r="AJ5" s="16">
        <v>0.0</v>
      </c>
    </row>
    <row r="6">
      <c r="A6" s="16">
        <v>43160.0</v>
      </c>
      <c r="B6" s="16">
        <v>2018.0</v>
      </c>
      <c r="C6" s="16">
        <v>0.0</v>
      </c>
      <c r="D6" s="16">
        <v>0.0</v>
      </c>
      <c r="E6" s="16">
        <v>0.0</v>
      </c>
      <c r="F6" s="16">
        <v>0.0</v>
      </c>
      <c r="G6" s="16">
        <v>0.0</v>
      </c>
      <c r="H6" s="16">
        <v>0.0</v>
      </c>
      <c r="I6" s="16">
        <v>0.0</v>
      </c>
      <c r="J6" s="16">
        <v>0.0</v>
      </c>
      <c r="K6" s="16">
        <v>0.0</v>
      </c>
      <c r="L6" s="16">
        <v>99028.0</v>
      </c>
      <c r="M6" s="16">
        <v>0.0</v>
      </c>
      <c r="N6" s="16">
        <v>5342.0</v>
      </c>
      <c r="O6" s="16">
        <v>50741.0</v>
      </c>
      <c r="P6" s="16">
        <v>3127.0</v>
      </c>
      <c r="Q6" s="16">
        <v>2500.0</v>
      </c>
      <c r="R6" s="16">
        <v>0.0</v>
      </c>
      <c r="S6" s="16">
        <v>0.0</v>
      </c>
      <c r="T6" s="16">
        <v>55595.0</v>
      </c>
      <c r="U6" s="16">
        <v>0.0</v>
      </c>
      <c r="V6" s="16">
        <v>0.0</v>
      </c>
      <c r="W6" s="16">
        <v>0.0</v>
      </c>
      <c r="X6" s="16">
        <v>0.0</v>
      </c>
      <c r="Y6" s="16">
        <v>0.0</v>
      </c>
      <c r="Z6" s="16">
        <v>0.0</v>
      </c>
      <c r="AA6" s="16">
        <v>2533.0</v>
      </c>
      <c r="AB6" s="16">
        <v>24790.0</v>
      </c>
      <c r="AC6" s="16">
        <v>0.0</v>
      </c>
      <c r="AD6" s="16">
        <v>0.0</v>
      </c>
      <c r="AE6" s="16">
        <v>0.0</v>
      </c>
      <c r="AF6" s="16">
        <v>5468664.0</v>
      </c>
      <c r="AG6" s="16">
        <v>-201965.0</v>
      </c>
      <c r="AH6" s="16">
        <v>0.0</v>
      </c>
      <c r="AI6" s="16">
        <v>0.0</v>
      </c>
      <c r="AJ6" s="16">
        <v>0.0</v>
      </c>
    </row>
    <row r="7">
      <c r="A7" s="16">
        <v>43191.0</v>
      </c>
      <c r="B7" s="16">
        <v>2018.0</v>
      </c>
      <c r="C7" s="16">
        <v>0.0</v>
      </c>
      <c r="D7" s="16">
        <v>0.0</v>
      </c>
      <c r="E7" s="16">
        <v>0.0</v>
      </c>
      <c r="F7" s="16">
        <v>0.0</v>
      </c>
      <c r="G7" s="16">
        <v>0.0</v>
      </c>
      <c r="H7" s="16">
        <v>0.0</v>
      </c>
      <c r="I7" s="16">
        <v>0.0</v>
      </c>
      <c r="J7" s="16">
        <v>0.0</v>
      </c>
      <c r="K7" s="16">
        <v>0.0</v>
      </c>
      <c r="L7" s="16">
        <v>97167.0</v>
      </c>
      <c r="M7" s="16">
        <v>0.0</v>
      </c>
      <c r="N7" s="16">
        <v>6197.0</v>
      </c>
      <c r="O7" s="16">
        <v>50820.0</v>
      </c>
      <c r="P7" s="16">
        <v>3186.0</v>
      </c>
      <c r="Q7" s="16">
        <v>2500.0</v>
      </c>
      <c r="R7" s="16">
        <v>0.0</v>
      </c>
      <c r="S7" s="16">
        <v>0.0</v>
      </c>
      <c r="T7" s="16">
        <v>23005.0</v>
      </c>
      <c r="U7" s="16">
        <v>0.0</v>
      </c>
      <c r="V7" s="16">
        <v>0.0</v>
      </c>
      <c r="W7" s="16">
        <v>0.0</v>
      </c>
      <c r="X7" s="16">
        <v>0.0</v>
      </c>
      <c r="Y7" s="16">
        <v>0.0</v>
      </c>
      <c r="Z7" s="16">
        <v>0.0</v>
      </c>
      <c r="AA7" s="16">
        <v>3298.0</v>
      </c>
      <c r="AB7" s="16">
        <v>32275.0</v>
      </c>
      <c r="AC7" s="16">
        <v>0.0</v>
      </c>
      <c r="AD7" s="16">
        <v>0.0</v>
      </c>
      <c r="AE7" s="16">
        <v>0.0</v>
      </c>
      <c r="AF7" s="16">
        <v>5299725.0</v>
      </c>
      <c r="AG7" s="16">
        <v>-168939.0</v>
      </c>
      <c r="AH7" s="16">
        <v>0.0</v>
      </c>
      <c r="AI7" s="16">
        <v>0.0</v>
      </c>
      <c r="AJ7" s="16">
        <v>0.0</v>
      </c>
    </row>
    <row r="8">
      <c r="A8" s="16">
        <v>43221.0</v>
      </c>
      <c r="B8" s="16">
        <v>2018.0</v>
      </c>
      <c r="C8" s="16">
        <v>0.0</v>
      </c>
      <c r="D8" s="16">
        <v>0.0</v>
      </c>
      <c r="E8" s="16">
        <v>0.0</v>
      </c>
      <c r="F8" s="16">
        <v>0.0</v>
      </c>
      <c r="G8" s="16">
        <v>0.0</v>
      </c>
      <c r="H8" s="16">
        <v>0.0</v>
      </c>
      <c r="I8" s="16">
        <v>0.0</v>
      </c>
      <c r="J8" s="16">
        <v>0.0</v>
      </c>
      <c r="K8" s="16">
        <v>0.0</v>
      </c>
      <c r="L8" s="16">
        <v>94233.0</v>
      </c>
      <c r="M8" s="16">
        <v>0.0</v>
      </c>
      <c r="N8" s="16">
        <v>7051.0</v>
      </c>
      <c r="O8" s="16">
        <v>50454.0</v>
      </c>
      <c r="P8" s="16">
        <v>3245.0</v>
      </c>
      <c r="Q8" s="16">
        <v>2500.0</v>
      </c>
      <c r="R8" s="16">
        <v>0.0</v>
      </c>
      <c r="S8" s="16">
        <v>0.0</v>
      </c>
      <c r="T8" s="16">
        <v>23279.0</v>
      </c>
      <c r="U8" s="16">
        <v>0.0</v>
      </c>
      <c r="V8" s="16">
        <v>0.0</v>
      </c>
      <c r="W8" s="16">
        <v>0.0</v>
      </c>
      <c r="X8" s="16">
        <v>0.0</v>
      </c>
      <c r="Y8" s="16">
        <v>0.0</v>
      </c>
      <c r="Z8" s="16">
        <v>0.0</v>
      </c>
      <c r="AA8" s="16">
        <v>4023.0</v>
      </c>
      <c r="AB8" s="16">
        <v>39374.0</v>
      </c>
      <c r="AC8" s="16">
        <v>0.0</v>
      </c>
      <c r="AD8" s="16">
        <v>0.0</v>
      </c>
      <c r="AE8" s="16">
        <v>0.0</v>
      </c>
      <c r="AF8" s="16">
        <v>5132532.0</v>
      </c>
      <c r="AG8" s="16">
        <v>-167193.0</v>
      </c>
      <c r="AH8" s="16">
        <v>0.0</v>
      </c>
      <c r="AI8" s="16">
        <v>0.0</v>
      </c>
      <c r="AJ8" s="16">
        <v>0.0</v>
      </c>
    </row>
    <row r="9">
      <c r="A9" s="16">
        <v>43252.0</v>
      </c>
      <c r="B9" s="16">
        <v>2018.0</v>
      </c>
      <c r="C9" s="16">
        <v>0.0</v>
      </c>
      <c r="D9" s="16">
        <v>0.0</v>
      </c>
      <c r="E9" s="16">
        <v>0.0</v>
      </c>
      <c r="F9" s="16">
        <v>0.0</v>
      </c>
      <c r="G9" s="16">
        <v>0.0</v>
      </c>
      <c r="H9" s="16">
        <v>0.0</v>
      </c>
      <c r="I9" s="16">
        <v>0.0</v>
      </c>
      <c r="J9" s="16">
        <v>0.0</v>
      </c>
      <c r="K9" s="16">
        <v>0.0</v>
      </c>
      <c r="L9" s="16">
        <v>91299.0</v>
      </c>
      <c r="M9" s="16">
        <v>0.0</v>
      </c>
      <c r="N9" s="16">
        <v>7906.0</v>
      </c>
      <c r="O9" s="16">
        <v>49833.0</v>
      </c>
      <c r="P9" s="16">
        <v>3304.0</v>
      </c>
      <c r="Q9" s="16">
        <v>2500.0</v>
      </c>
      <c r="R9" s="16">
        <v>0.0</v>
      </c>
      <c r="S9" s="16">
        <v>0.0</v>
      </c>
      <c r="T9" s="16">
        <v>23552.0</v>
      </c>
      <c r="U9" s="16">
        <v>0.0</v>
      </c>
      <c r="V9" s="16">
        <v>0.0</v>
      </c>
      <c r="W9" s="16">
        <v>0.0</v>
      </c>
      <c r="X9" s="16">
        <v>0.0</v>
      </c>
      <c r="Y9" s="16">
        <v>0.0</v>
      </c>
      <c r="Z9" s="16">
        <v>0.0</v>
      </c>
      <c r="AA9" s="16">
        <v>4726.0</v>
      </c>
      <c r="AB9" s="16">
        <v>46250.0</v>
      </c>
      <c r="AC9" s="16">
        <v>0.0</v>
      </c>
      <c r="AD9" s="16">
        <v>0.0</v>
      </c>
      <c r="AE9" s="16">
        <v>0.0</v>
      </c>
      <c r="AF9" s="16">
        <v>4967521.0</v>
      </c>
      <c r="AG9" s="16">
        <v>-165011.0</v>
      </c>
      <c r="AH9" s="16">
        <v>0.0</v>
      </c>
      <c r="AI9" s="16">
        <v>0.0</v>
      </c>
      <c r="AJ9" s="16">
        <v>0.0</v>
      </c>
    </row>
    <row r="10">
      <c r="A10" s="16">
        <v>43282.0</v>
      </c>
      <c r="B10" s="16">
        <v>2018.0</v>
      </c>
      <c r="C10" s="16">
        <v>0.0</v>
      </c>
      <c r="D10" s="16">
        <v>0.0</v>
      </c>
      <c r="E10" s="16">
        <v>0.0</v>
      </c>
      <c r="F10" s="16">
        <v>0.0</v>
      </c>
      <c r="G10" s="16">
        <v>0.0</v>
      </c>
      <c r="H10" s="16">
        <v>0.0</v>
      </c>
      <c r="I10" s="16">
        <v>0.0</v>
      </c>
      <c r="J10" s="16">
        <v>0.0</v>
      </c>
      <c r="K10" s="16">
        <v>0.0</v>
      </c>
      <c r="L10" s="16">
        <v>89438.0</v>
      </c>
      <c r="M10" s="16">
        <v>0.0</v>
      </c>
      <c r="N10" s="16">
        <v>8761.0</v>
      </c>
      <c r="O10" s="16">
        <v>49211.0</v>
      </c>
      <c r="P10" s="16">
        <v>3363.0</v>
      </c>
      <c r="Q10" s="16">
        <v>2500.0</v>
      </c>
      <c r="R10" s="16">
        <v>0.0</v>
      </c>
      <c r="S10" s="16">
        <v>0.0</v>
      </c>
      <c r="T10" s="16">
        <v>23826.0</v>
      </c>
      <c r="U10" s="16">
        <v>0.0</v>
      </c>
      <c r="V10" s="16">
        <v>0.0</v>
      </c>
      <c r="W10" s="16">
        <v>0.0</v>
      </c>
      <c r="X10" s="16">
        <v>0.0</v>
      </c>
      <c r="Y10" s="16">
        <v>0.0</v>
      </c>
      <c r="Z10" s="16">
        <v>0.0</v>
      </c>
      <c r="AA10" s="16">
        <v>5429.0</v>
      </c>
      <c r="AB10" s="16">
        <v>53126.0</v>
      </c>
      <c r="AC10" s="16">
        <v>0.0</v>
      </c>
      <c r="AD10" s="16">
        <v>0.0</v>
      </c>
      <c r="AE10" s="16">
        <v>0.0</v>
      </c>
      <c r="AF10" s="16">
        <v>4803864.0</v>
      </c>
      <c r="AG10" s="16">
        <v>-163657.0</v>
      </c>
      <c r="AH10" s="16">
        <v>0.0</v>
      </c>
      <c r="AI10" s="16">
        <v>0.0</v>
      </c>
      <c r="AJ10" s="16">
        <v>0.0</v>
      </c>
    </row>
    <row r="11">
      <c r="A11" s="16">
        <v>43313.0</v>
      </c>
      <c r="B11" s="16">
        <v>2018.0</v>
      </c>
      <c r="C11" s="16">
        <v>0.0</v>
      </c>
      <c r="D11" s="16">
        <v>0.0</v>
      </c>
      <c r="E11" s="16">
        <v>0.0</v>
      </c>
      <c r="F11" s="16">
        <v>0.0</v>
      </c>
      <c r="G11" s="16">
        <v>0.0</v>
      </c>
      <c r="H11" s="16">
        <v>0.0</v>
      </c>
      <c r="I11" s="16">
        <v>0.0</v>
      </c>
      <c r="J11" s="16">
        <v>0.0</v>
      </c>
      <c r="K11" s="16">
        <v>0.0</v>
      </c>
      <c r="L11" s="16">
        <v>89433.0</v>
      </c>
      <c r="M11" s="16">
        <v>0.0</v>
      </c>
      <c r="N11" s="16">
        <v>9615.0</v>
      </c>
      <c r="O11" s="16">
        <v>48845.0</v>
      </c>
      <c r="P11" s="16">
        <v>3422.0</v>
      </c>
      <c r="Q11" s="16">
        <v>2500.0</v>
      </c>
      <c r="R11" s="16">
        <v>0.0</v>
      </c>
      <c r="S11" s="16">
        <v>0.0</v>
      </c>
      <c r="T11" s="16">
        <v>24100.0</v>
      </c>
      <c r="U11" s="16">
        <v>0.0</v>
      </c>
      <c r="V11" s="16">
        <v>0.0</v>
      </c>
      <c r="W11" s="16">
        <v>0.0</v>
      </c>
      <c r="X11" s="16">
        <v>0.0</v>
      </c>
      <c r="Y11" s="16">
        <v>0.0</v>
      </c>
      <c r="Z11" s="16">
        <v>0.0</v>
      </c>
      <c r="AA11" s="16">
        <v>6154.0</v>
      </c>
      <c r="AB11" s="16">
        <v>60225.0</v>
      </c>
      <c r="AC11" s="16">
        <v>0.0</v>
      </c>
      <c r="AD11" s="16">
        <v>0.0</v>
      </c>
      <c r="AE11" s="16">
        <v>0.0</v>
      </c>
      <c r="AF11" s="16">
        <v>4639695.0</v>
      </c>
      <c r="AG11" s="16">
        <v>-164169.0</v>
      </c>
      <c r="AH11" s="16">
        <v>0.0</v>
      </c>
      <c r="AI11" s="16">
        <v>0.0</v>
      </c>
      <c r="AJ11" s="16">
        <v>0.0</v>
      </c>
    </row>
    <row r="12">
      <c r="A12" s="16">
        <v>43344.0</v>
      </c>
      <c r="B12" s="16">
        <v>2018.0</v>
      </c>
      <c r="C12" s="16">
        <v>0.0</v>
      </c>
      <c r="D12" s="16">
        <v>0.0</v>
      </c>
      <c r="E12" s="16">
        <v>0.0</v>
      </c>
      <c r="F12" s="16">
        <v>0.0</v>
      </c>
      <c r="G12" s="16">
        <v>0.0</v>
      </c>
      <c r="H12" s="16">
        <v>0.0</v>
      </c>
      <c r="I12" s="16">
        <v>0.0</v>
      </c>
      <c r="J12" s="16">
        <v>0.0</v>
      </c>
      <c r="K12" s="16">
        <v>0.0</v>
      </c>
      <c r="L12" s="16">
        <v>91572.0</v>
      </c>
      <c r="M12" s="16">
        <v>0.0</v>
      </c>
      <c r="N12" s="16">
        <v>10470.0</v>
      </c>
      <c r="O12" s="16">
        <v>48924.0</v>
      </c>
      <c r="P12" s="16">
        <v>3481.0</v>
      </c>
      <c r="Q12" s="16">
        <v>2500.0</v>
      </c>
      <c r="R12" s="16">
        <v>0.0</v>
      </c>
      <c r="S12" s="16">
        <v>0.0</v>
      </c>
      <c r="T12" s="16">
        <v>57238.0</v>
      </c>
      <c r="U12" s="16">
        <v>0.0</v>
      </c>
      <c r="V12" s="16">
        <v>0.0</v>
      </c>
      <c r="W12" s="16">
        <v>0.0</v>
      </c>
      <c r="X12" s="16">
        <v>0.0</v>
      </c>
      <c r="Y12" s="16">
        <v>0.0</v>
      </c>
      <c r="Z12" s="16">
        <v>0.0</v>
      </c>
      <c r="AA12" s="16">
        <v>6919.0</v>
      </c>
      <c r="AB12" s="16">
        <v>67710.0</v>
      </c>
      <c r="AC12" s="16">
        <v>0.0</v>
      </c>
      <c r="AD12" s="16">
        <v>0.0</v>
      </c>
      <c r="AE12" s="16">
        <v>0.0</v>
      </c>
      <c r="AF12" s="16">
        <v>4439741.0</v>
      </c>
      <c r="AG12" s="16">
        <v>-199954.0</v>
      </c>
      <c r="AH12" s="16">
        <v>0.0</v>
      </c>
      <c r="AI12" s="16">
        <v>0.0</v>
      </c>
      <c r="AJ12" s="16">
        <v>0.0</v>
      </c>
    </row>
    <row r="13">
      <c r="A13" s="16">
        <v>43374.0</v>
      </c>
      <c r="B13" s="16">
        <v>2018.0</v>
      </c>
      <c r="C13" s="16">
        <v>0.0</v>
      </c>
      <c r="D13" s="16">
        <v>0.0</v>
      </c>
      <c r="E13" s="16">
        <v>0.0</v>
      </c>
      <c r="F13" s="16">
        <v>0.0</v>
      </c>
      <c r="G13" s="16">
        <v>0.0</v>
      </c>
      <c r="H13" s="16">
        <v>0.0</v>
      </c>
      <c r="I13" s="16">
        <v>0.0</v>
      </c>
      <c r="J13" s="16">
        <v>0.0</v>
      </c>
      <c r="K13" s="16">
        <v>0.0</v>
      </c>
      <c r="L13" s="16">
        <v>95567.0</v>
      </c>
      <c r="M13" s="16">
        <v>0.0</v>
      </c>
      <c r="N13" s="16">
        <v>11325.0</v>
      </c>
      <c r="O13" s="16">
        <v>49515.0</v>
      </c>
      <c r="P13" s="16">
        <v>3540.0</v>
      </c>
      <c r="Q13" s="16">
        <v>2500.0</v>
      </c>
      <c r="R13" s="16">
        <v>0.0</v>
      </c>
      <c r="S13" s="16">
        <v>0.0</v>
      </c>
      <c r="T13" s="16">
        <v>24648.0</v>
      </c>
      <c r="U13" s="16">
        <v>0.0</v>
      </c>
      <c r="V13" s="16">
        <v>0.0</v>
      </c>
      <c r="W13" s="16">
        <v>0.0</v>
      </c>
      <c r="X13" s="16">
        <v>0.0</v>
      </c>
      <c r="Y13" s="16">
        <v>0.0</v>
      </c>
      <c r="Z13" s="16">
        <v>0.0</v>
      </c>
      <c r="AA13" s="16">
        <v>7729.0</v>
      </c>
      <c r="AB13" s="16">
        <v>75641.0</v>
      </c>
      <c r="AC13" s="16">
        <v>0.0</v>
      </c>
      <c r="AD13" s="16">
        <v>0.0</v>
      </c>
      <c r="AE13" s="16">
        <v>0.0</v>
      </c>
      <c r="AF13" s="16">
        <v>4267427.0</v>
      </c>
      <c r="AG13" s="16">
        <v>-172314.0</v>
      </c>
      <c r="AH13" s="16">
        <v>0.0</v>
      </c>
      <c r="AI13" s="16">
        <v>0.0</v>
      </c>
      <c r="AJ13" s="16">
        <v>0.0</v>
      </c>
    </row>
    <row r="14">
      <c r="A14" s="16">
        <v>43405.0</v>
      </c>
      <c r="B14" s="16">
        <v>2018.0</v>
      </c>
      <c r="C14" s="16">
        <v>0.0</v>
      </c>
      <c r="D14" s="16">
        <v>0.0</v>
      </c>
      <c r="E14" s="16">
        <v>0.0</v>
      </c>
      <c r="F14" s="16">
        <v>0.0</v>
      </c>
      <c r="G14" s="16">
        <v>0.0</v>
      </c>
      <c r="H14" s="16">
        <v>0.0</v>
      </c>
      <c r="I14" s="16">
        <v>0.0</v>
      </c>
      <c r="J14" s="16">
        <v>0.0</v>
      </c>
      <c r="K14" s="16">
        <v>0.0</v>
      </c>
      <c r="L14" s="16">
        <v>100634.0</v>
      </c>
      <c r="M14" s="16">
        <v>0.0</v>
      </c>
      <c r="N14" s="16">
        <v>12179.0</v>
      </c>
      <c r="O14" s="16">
        <v>50550.0</v>
      </c>
      <c r="P14" s="16">
        <v>3599.0</v>
      </c>
      <c r="Q14" s="16">
        <v>2500.0</v>
      </c>
      <c r="R14" s="16">
        <v>0.0</v>
      </c>
      <c r="S14" s="16">
        <v>0.0</v>
      </c>
      <c r="T14" s="16">
        <v>24922.0</v>
      </c>
      <c r="U14" s="16">
        <v>0.0</v>
      </c>
      <c r="V14" s="16">
        <v>0.0</v>
      </c>
      <c r="W14" s="16">
        <v>0.0</v>
      </c>
      <c r="X14" s="16">
        <v>0.0</v>
      </c>
      <c r="Y14" s="16">
        <v>0.0</v>
      </c>
      <c r="Z14" s="16">
        <v>0.0</v>
      </c>
      <c r="AA14" s="16">
        <v>8579.0</v>
      </c>
      <c r="AB14" s="16">
        <v>83959.0</v>
      </c>
      <c r="AC14" s="16">
        <v>0.0</v>
      </c>
      <c r="AD14" s="16">
        <v>0.0</v>
      </c>
      <c r="AE14" s="16">
        <v>0.0</v>
      </c>
      <c r="AF14" s="16">
        <v>4088310.0</v>
      </c>
      <c r="AG14" s="16">
        <v>-179117.0</v>
      </c>
      <c r="AH14" s="16">
        <v>0.0</v>
      </c>
      <c r="AI14" s="16">
        <v>0.0</v>
      </c>
      <c r="AJ14" s="16">
        <v>0.0</v>
      </c>
    </row>
    <row r="15">
      <c r="A15" s="16">
        <v>43435.0</v>
      </c>
      <c r="B15" s="16">
        <v>2018.0</v>
      </c>
      <c r="C15" s="16">
        <v>0.0</v>
      </c>
      <c r="D15" s="16">
        <v>0.0</v>
      </c>
      <c r="E15" s="16">
        <v>0.0</v>
      </c>
      <c r="F15" s="16">
        <v>0.0</v>
      </c>
      <c r="G15" s="16">
        <v>0.0</v>
      </c>
      <c r="H15" s="16">
        <v>0.0</v>
      </c>
      <c r="I15" s="16">
        <v>0.0</v>
      </c>
      <c r="J15" s="16">
        <v>0.0</v>
      </c>
      <c r="K15" s="16">
        <v>0.0</v>
      </c>
      <c r="L15" s="16">
        <v>105700.0</v>
      </c>
      <c r="M15" s="16">
        <v>0.0</v>
      </c>
      <c r="N15" s="16">
        <v>13035.0</v>
      </c>
      <c r="O15" s="16">
        <v>51842.0</v>
      </c>
      <c r="P15" s="16">
        <v>3656.0</v>
      </c>
      <c r="Q15" s="16">
        <v>2500.0</v>
      </c>
      <c r="R15" s="16">
        <v>0.0</v>
      </c>
      <c r="S15" s="16">
        <v>0.0</v>
      </c>
      <c r="T15" s="16">
        <v>25195.0</v>
      </c>
      <c r="U15" s="16">
        <v>0.0</v>
      </c>
      <c r="V15" s="16">
        <v>0.0</v>
      </c>
      <c r="W15" s="16">
        <v>0.0</v>
      </c>
      <c r="X15" s="16">
        <v>0.0</v>
      </c>
      <c r="Y15" s="16">
        <v>0.0</v>
      </c>
      <c r="Z15" s="16">
        <v>0.0</v>
      </c>
      <c r="AA15" s="16">
        <v>9452.0</v>
      </c>
      <c r="AB15" s="16">
        <v>92500.0</v>
      </c>
      <c r="AC15" s="16">
        <v>0.0</v>
      </c>
      <c r="AD15" s="16">
        <v>0.0</v>
      </c>
      <c r="AE15" s="16">
        <v>0.0</v>
      </c>
      <c r="AF15" s="16">
        <v>3901952.0</v>
      </c>
      <c r="AG15" s="16">
        <v>-186358.0</v>
      </c>
      <c r="AH15" s="16">
        <v>0.0</v>
      </c>
      <c r="AI15" s="16">
        <v>0.0</v>
      </c>
      <c r="AJ15" s="16">
        <v>0.0</v>
      </c>
    </row>
    <row r="16">
      <c r="A16" s="16">
        <v>43466.0</v>
      </c>
      <c r="B16" s="16">
        <v>2019.0</v>
      </c>
      <c r="C16" s="16">
        <v>0.0</v>
      </c>
      <c r="D16" s="16">
        <v>0.0</v>
      </c>
      <c r="E16" s="16">
        <v>0.0</v>
      </c>
      <c r="F16" s="16">
        <v>25277.0</v>
      </c>
      <c r="G16" s="16">
        <v>2941.0</v>
      </c>
      <c r="H16" s="16">
        <v>0.0</v>
      </c>
      <c r="I16" s="16">
        <v>0.0</v>
      </c>
      <c r="J16" s="16">
        <v>10111.0</v>
      </c>
      <c r="K16" s="16">
        <v>294.0</v>
      </c>
      <c r="L16" s="16">
        <v>139023.0</v>
      </c>
      <c r="M16" s="16">
        <v>0.0</v>
      </c>
      <c r="N16" s="16">
        <v>7326.0</v>
      </c>
      <c r="O16" s="16">
        <v>69580.0</v>
      </c>
      <c r="P16" s="16">
        <v>7522.0</v>
      </c>
      <c r="Q16" s="16">
        <v>10000.0</v>
      </c>
      <c r="R16" s="16">
        <v>0.0</v>
      </c>
      <c r="S16" s="16">
        <v>0.0</v>
      </c>
      <c r="T16" s="16">
        <v>47535.0</v>
      </c>
      <c r="U16" s="16">
        <v>0.0</v>
      </c>
      <c r="V16" s="16">
        <v>0.0</v>
      </c>
      <c r="W16" s="16">
        <v>0.0</v>
      </c>
      <c r="X16" s="16">
        <v>4047.0</v>
      </c>
      <c r="Y16" s="16">
        <v>0.0</v>
      </c>
      <c r="Z16" s="16">
        <v>1847.0</v>
      </c>
      <c r="AA16" s="16">
        <v>12007.0</v>
      </c>
      <c r="AB16" s="16">
        <v>99750.0</v>
      </c>
      <c r="AC16" s="16">
        <v>3693.0</v>
      </c>
      <c r="AD16" s="16">
        <v>0.0</v>
      </c>
      <c r="AE16" s="16">
        <v>0.0</v>
      </c>
      <c r="AF16" s="16">
        <v>3663905.0</v>
      </c>
      <c r="AG16" s="16">
        <v>-238047.0</v>
      </c>
      <c r="AH16" s="16">
        <v>0.0</v>
      </c>
      <c r="AI16" s="16">
        <v>0.0</v>
      </c>
      <c r="AJ16" s="16">
        <v>0.0</v>
      </c>
    </row>
    <row r="17">
      <c r="A17" s="16">
        <v>43497.0</v>
      </c>
      <c r="B17" s="16">
        <v>2019.0</v>
      </c>
      <c r="C17" s="16">
        <v>0.0</v>
      </c>
      <c r="D17" s="16">
        <v>0.0</v>
      </c>
      <c r="E17" s="16">
        <v>0.0</v>
      </c>
      <c r="F17" s="16">
        <v>25835.0</v>
      </c>
      <c r="G17" s="16">
        <v>2941.0</v>
      </c>
      <c r="H17" s="16">
        <v>0.0</v>
      </c>
      <c r="I17" s="16">
        <v>0.0</v>
      </c>
      <c r="J17" s="16">
        <v>10334.0</v>
      </c>
      <c r="K17" s="16">
        <v>294.0</v>
      </c>
      <c r="L17" s="16">
        <v>142092.0</v>
      </c>
      <c r="M17" s="16">
        <v>0.0</v>
      </c>
      <c r="N17" s="16">
        <v>9027.0</v>
      </c>
      <c r="O17" s="16">
        <v>71046.0</v>
      </c>
      <c r="P17" s="16">
        <v>7670.0</v>
      </c>
      <c r="Q17" s="16">
        <v>10000.0</v>
      </c>
      <c r="R17" s="16">
        <v>0.0</v>
      </c>
      <c r="S17" s="16">
        <v>0.0</v>
      </c>
      <c r="T17" s="16">
        <v>48122.0</v>
      </c>
      <c r="U17" s="16">
        <v>0.0</v>
      </c>
      <c r="V17" s="16">
        <v>0.0</v>
      </c>
      <c r="W17" s="16">
        <v>0.0</v>
      </c>
      <c r="X17" s="16">
        <v>7989.0</v>
      </c>
      <c r="Y17" s="16">
        <v>0.0</v>
      </c>
      <c r="Z17" s="16">
        <v>3645.0</v>
      </c>
      <c r="AA17" s="16">
        <v>14474.0</v>
      </c>
      <c r="AB17" s="16">
        <v>106609.0</v>
      </c>
      <c r="AC17" s="16">
        <v>7290.0</v>
      </c>
      <c r="AD17" s="16">
        <v>0.0</v>
      </c>
      <c r="AE17" s="16">
        <v>0.0</v>
      </c>
      <c r="AF17" s="16">
        <v>3418949.0</v>
      </c>
      <c r="AG17" s="16">
        <v>-244956.0</v>
      </c>
      <c r="AH17" s="16">
        <v>0.0</v>
      </c>
      <c r="AI17" s="16">
        <v>0.0</v>
      </c>
      <c r="AJ17" s="16">
        <v>0.0</v>
      </c>
    </row>
    <row r="18">
      <c r="A18" s="16">
        <v>43525.0</v>
      </c>
      <c r="B18" s="16">
        <v>2019.0</v>
      </c>
      <c r="C18" s="16">
        <v>0.0</v>
      </c>
      <c r="D18" s="16">
        <v>0.0</v>
      </c>
      <c r="E18" s="16">
        <v>0.0</v>
      </c>
      <c r="F18" s="16">
        <v>25833.0</v>
      </c>
      <c r="G18" s="16">
        <v>18382.0</v>
      </c>
      <c r="H18" s="16">
        <v>0.0</v>
      </c>
      <c r="I18" s="16">
        <v>0.0</v>
      </c>
      <c r="J18" s="16">
        <v>10333.0</v>
      </c>
      <c r="K18" s="16">
        <v>1838.0</v>
      </c>
      <c r="L18" s="16">
        <v>142084.0</v>
      </c>
      <c r="M18" s="16">
        <v>0.0</v>
      </c>
      <c r="N18" s="16">
        <v>10725.0</v>
      </c>
      <c r="O18" s="16">
        <v>71883.0</v>
      </c>
      <c r="P18" s="16">
        <v>7817.0</v>
      </c>
      <c r="Q18" s="16">
        <v>10000.0</v>
      </c>
      <c r="R18" s="16">
        <v>0.0</v>
      </c>
      <c r="S18" s="16">
        <v>0.0</v>
      </c>
      <c r="T18" s="16">
        <v>119131.0</v>
      </c>
      <c r="U18" s="16">
        <v>0.0</v>
      </c>
      <c r="V18" s="16">
        <v>0.0</v>
      </c>
      <c r="W18" s="16">
        <v>0.0</v>
      </c>
      <c r="X18" s="16">
        <v>11748.0</v>
      </c>
      <c r="Y18" s="16">
        <v>0.0</v>
      </c>
      <c r="Z18" s="16">
        <v>5360.0</v>
      </c>
      <c r="AA18" s="16">
        <v>16790.0</v>
      </c>
      <c r="AB18" s="16">
        <v>112791.0</v>
      </c>
      <c r="AC18" s="16">
        <v>10720.0</v>
      </c>
      <c r="AD18" s="16">
        <v>0.0</v>
      </c>
      <c r="AE18" s="16">
        <v>0.0</v>
      </c>
      <c r="AF18" s="16">
        <v>3113624.0</v>
      </c>
      <c r="AG18" s="16">
        <v>-305325.0</v>
      </c>
      <c r="AH18" s="16">
        <v>0.0</v>
      </c>
      <c r="AI18" s="16">
        <v>0.0</v>
      </c>
      <c r="AJ18" s="16">
        <v>0.0</v>
      </c>
    </row>
    <row r="19">
      <c r="A19" s="16">
        <v>43556.0</v>
      </c>
      <c r="B19" s="16">
        <v>2019.0</v>
      </c>
      <c r="C19" s="16">
        <v>0.0</v>
      </c>
      <c r="D19" s="16">
        <v>0.0</v>
      </c>
      <c r="E19" s="16">
        <v>0.0</v>
      </c>
      <c r="F19" s="16">
        <v>25348.0</v>
      </c>
      <c r="G19" s="16">
        <v>2941.0</v>
      </c>
      <c r="H19" s="16">
        <v>0.0</v>
      </c>
      <c r="I19" s="16">
        <v>0.0</v>
      </c>
      <c r="J19" s="16">
        <v>10139.0</v>
      </c>
      <c r="K19" s="16">
        <v>294.0</v>
      </c>
      <c r="L19" s="16">
        <v>139413.0</v>
      </c>
      <c r="M19" s="16">
        <v>0.0</v>
      </c>
      <c r="N19" s="16">
        <v>12422.0</v>
      </c>
      <c r="O19" s="16">
        <v>71995.0</v>
      </c>
      <c r="P19" s="16">
        <v>7965.0</v>
      </c>
      <c r="Q19" s="16">
        <v>10000.0</v>
      </c>
      <c r="R19" s="16">
        <v>0.0</v>
      </c>
      <c r="S19" s="16">
        <v>0.0</v>
      </c>
      <c r="T19" s="16">
        <v>49296.0</v>
      </c>
      <c r="U19" s="16">
        <v>0.0</v>
      </c>
      <c r="V19" s="16">
        <v>0.0</v>
      </c>
      <c r="W19" s="16">
        <v>0.0</v>
      </c>
      <c r="X19" s="16">
        <v>15295.0</v>
      </c>
      <c r="Y19" s="16">
        <v>0.0</v>
      </c>
      <c r="Z19" s="16">
        <v>6978.0</v>
      </c>
      <c r="AA19" s="16">
        <v>18932.0</v>
      </c>
      <c r="AB19" s="16">
        <v>118192.0</v>
      </c>
      <c r="AC19" s="16">
        <v>13957.0</v>
      </c>
      <c r="AD19" s="16">
        <v>0.0</v>
      </c>
      <c r="AE19" s="16">
        <v>0.0</v>
      </c>
      <c r="AF19" s="16">
        <v>2863969.0</v>
      </c>
      <c r="AG19" s="16">
        <v>-249655.0</v>
      </c>
      <c r="AH19" s="16">
        <v>0.0</v>
      </c>
      <c r="AI19" s="16">
        <v>0.0</v>
      </c>
      <c r="AJ19" s="16">
        <v>0.0</v>
      </c>
    </row>
    <row r="20">
      <c r="A20" s="16">
        <v>43586.0</v>
      </c>
      <c r="B20" s="16">
        <v>2019.0</v>
      </c>
      <c r="C20" s="16">
        <v>0.0</v>
      </c>
      <c r="D20" s="16">
        <v>0.0</v>
      </c>
      <c r="E20" s="16">
        <v>0.0</v>
      </c>
      <c r="F20" s="16">
        <v>24583.0</v>
      </c>
      <c r="G20" s="16">
        <v>2941.0</v>
      </c>
      <c r="H20" s="16">
        <v>0.0</v>
      </c>
      <c r="I20" s="16">
        <v>0.0</v>
      </c>
      <c r="J20" s="16">
        <v>9833.0</v>
      </c>
      <c r="K20" s="16">
        <v>294.0</v>
      </c>
      <c r="L20" s="16">
        <v>135204.0</v>
      </c>
      <c r="M20" s="16">
        <v>0.0</v>
      </c>
      <c r="N20" s="16">
        <v>14117.0</v>
      </c>
      <c r="O20" s="16">
        <v>71477.0</v>
      </c>
      <c r="P20" s="16">
        <v>8112.0</v>
      </c>
      <c r="Q20" s="16">
        <v>10000.0</v>
      </c>
      <c r="R20" s="16">
        <v>0.0</v>
      </c>
      <c r="S20" s="16">
        <v>0.0</v>
      </c>
      <c r="T20" s="16">
        <v>49883.0</v>
      </c>
      <c r="U20" s="16">
        <v>0.0</v>
      </c>
      <c r="V20" s="16">
        <v>0.0</v>
      </c>
      <c r="W20" s="16">
        <v>0.0</v>
      </c>
      <c r="X20" s="16">
        <v>18659.0</v>
      </c>
      <c r="Y20" s="16">
        <v>0.0</v>
      </c>
      <c r="Z20" s="16">
        <v>8513.0</v>
      </c>
      <c r="AA20" s="16">
        <v>20922.0</v>
      </c>
      <c r="AB20" s="16">
        <v>122916.0</v>
      </c>
      <c r="AC20" s="16">
        <v>17027.0</v>
      </c>
      <c r="AD20" s="16">
        <v>0.0</v>
      </c>
      <c r="AE20" s="16">
        <v>0.0</v>
      </c>
      <c r="AF20" s="16">
        <v>2615570.0</v>
      </c>
      <c r="AG20" s="16">
        <v>-248399.0</v>
      </c>
      <c r="AH20" s="16">
        <v>0.0</v>
      </c>
      <c r="AI20" s="16">
        <v>0.0</v>
      </c>
      <c r="AJ20" s="16">
        <v>0.0</v>
      </c>
    </row>
    <row r="21">
      <c r="A21" s="16">
        <v>43617.0</v>
      </c>
      <c r="B21" s="16">
        <v>2019.0</v>
      </c>
      <c r="C21" s="16">
        <v>0.0</v>
      </c>
      <c r="D21" s="16">
        <v>1.0</v>
      </c>
      <c r="E21" s="16">
        <v>0.0</v>
      </c>
      <c r="F21" s="16">
        <v>23817.0</v>
      </c>
      <c r="G21" s="16">
        <v>18382.0</v>
      </c>
      <c r="H21" s="16">
        <v>0.0</v>
      </c>
      <c r="I21" s="16">
        <v>0.0</v>
      </c>
      <c r="J21" s="16">
        <v>9527.0</v>
      </c>
      <c r="K21" s="16">
        <v>1838.0</v>
      </c>
      <c r="L21" s="16">
        <v>130995.0</v>
      </c>
      <c r="M21" s="16">
        <v>0.0</v>
      </c>
      <c r="N21" s="16">
        <v>15812.0</v>
      </c>
      <c r="O21" s="16">
        <v>70596.0</v>
      </c>
      <c r="P21" s="16">
        <v>8260.0</v>
      </c>
      <c r="Q21" s="16">
        <v>10000.0</v>
      </c>
      <c r="R21" s="16">
        <v>0.0</v>
      </c>
      <c r="S21" s="16">
        <v>0.0</v>
      </c>
      <c r="T21" s="16">
        <v>50469.0</v>
      </c>
      <c r="U21" s="16">
        <v>0.0</v>
      </c>
      <c r="V21" s="16">
        <v>0.0</v>
      </c>
      <c r="W21" s="16">
        <v>0.0</v>
      </c>
      <c r="X21" s="16">
        <v>21918.0</v>
      </c>
      <c r="Y21" s="16">
        <v>0.0</v>
      </c>
      <c r="Z21" s="16">
        <v>10000.0</v>
      </c>
      <c r="AA21" s="16">
        <v>22825.0</v>
      </c>
      <c r="AB21" s="16">
        <v>127250.0</v>
      </c>
      <c r="AC21" s="16">
        <v>20000.0</v>
      </c>
      <c r="AD21" s="16">
        <v>0.0</v>
      </c>
      <c r="AE21" s="16">
        <v>0.0</v>
      </c>
      <c r="AF21" s="16">
        <v>2382996.0</v>
      </c>
      <c r="AG21" s="16">
        <v>-232574.0</v>
      </c>
      <c r="AH21" s="16">
        <v>0.0</v>
      </c>
      <c r="AI21" s="16">
        <v>0.0</v>
      </c>
      <c r="AJ21" s="16">
        <v>0.0</v>
      </c>
    </row>
    <row r="22">
      <c r="A22" s="16">
        <v>43647.0</v>
      </c>
      <c r="B22" s="16">
        <v>2019.0</v>
      </c>
      <c r="C22" s="16">
        <v>0.0</v>
      </c>
      <c r="D22" s="16">
        <v>1.0</v>
      </c>
      <c r="E22" s="16">
        <v>0.0</v>
      </c>
      <c r="F22" s="16">
        <v>23332.0</v>
      </c>
      <c r="G22" s="16">
        <v>2941.0</v>
      </c>
      <c r="H22" s="16">
        <v>0.0</v>
      </c>
      <c r="I22" s="16">
        <v>0.0</v>
      </c>
      <c r="J22" s="16">
        <v>9333.0</v>
      </c>
      <c r="K22" s="16">
        <v>294.0</v>
      </c>
      <c r="L22" s="16">
        <v>128324.0</v>
      </c>
      <c r="M22" s="16">
        <v>0.0</v>
      </c>
      <c r="N22" s="16">
        <v>17509.0</v>
      </c>
      <c r="O22" s="16">
        <v>69715.0</v>
      </c>
      <c r="P22" s="16">
        <v>8407.0</v>
      </c>
      <c r="Q22" s="16">
        <v>10000.0</v>
      </c>
      <c r="R22" s="16">
        <v>0.0</v>
      </c>
      <c r="S22" s="16">
        <v>0.0</v>
      </c>
      <c r="T22" s="16">
        <v>51056.0</v>
      </c>
      <c r="U22" s="16">
        <v>0.0</v>
      </c>
      <c r="V22" s="16">
        <v>0.0</v>
      </c>
      <c r="W22" s="16">
        <v>0.0</v>
      </c>
      <c r="X22" s="16">
        <v>25176.0</v>
      </c>
      <c r="Y22" s="16">
        <v>0.0</v>
      </c>
      <c r="Z22" s="16">
        <v>11487.0</v>
      </c>
      <c r="AA22" s="16">
        <v>24728.0</v>
      </c>
      <c r="AB22" s="16">
        <v>131584.0</v>
      </c>
      <c r="AC22" s="16">
        <v>22973.0</v>
      </c>
      <c r="AD22" s="16">
        <v>0.0</v>
      </c>
      <c r="AE22" s="16">
        <v>0.0</v>
      </c>
      <c r="AF22" s="16">
        <v>2137503.0</v>
      </c>
      <c r="AG22" s="16">
        <v>-245493.0</v>
      </c>
      <c r="AH22" s="16">
        <v>0.0</v>
      </c>
      <c r="AI22" s="16">
        <v>0.0</v>
      </c>
      <c r="AJ22" s="16">
        <v>0.0</v>
      </c>
    </row>
    <row r="23">
      <c r="A23" s="16">
        <v>43678.0</v>
      </c>
      <c r="B23" s="16">
        <v>2019.0</v>
      </c>
      <c r="C23" s="16">
        <v>0.0</v>
      </c>
      <c r="D23" s="16">
        <v>1.0</v>
      </c>
      <c r="E23" s="16">
        <v>0.0</v>
      </c>
      <c r="F23" s="16">
        <v>23330.0</v>
      </c>
      <c r="G23" s="16">
        <v>2941.0</v>
      </c>
      <c r="H23" s="16">
        <v>0.0</v>
      </c>
      <c r="I23" s="16">
        <v>0.0</v>
      </c>
      <c r="J23" s="16">
        <v>9332.0</v>
      </c>
      <c r="K23" s="16">
        <v>294.0</v>
      </c>
      <c r="L23" s="16">
        <v>128316.0</v>
      </c>
      <c r="M23" s="16">
        <v>0.0</v>
      </c>
      <c r="N23" s="16">
        <v>19207.0</v>
      </c>
      <c r="O23" s="16">
        <v>69198.0</v>
      </c>
      <c r="P23" s="16">
        <v>8555.0</v>
      </c>
      <c r="Q23" s="16">
        <v>10000.0</v>
      </c>
      <c r="R23" s="16">
        <v>0.0</v>
      </c>
      <c r="S23" s="16">
        <v>0.0</v>
      </c>
      <c r="T23" s="16">
        <v>51643.0</v>
      </c>
      <c r="U23" s="16">
        <v>0.0</v>
      </c>
      <c r="V23" s="16">
        <v>0.0</v>
      </c>
      <c r="W23" s="16">
        <v>0.0</v>
      </c>
      <c r="X23" s="16">
        <v>28540.0</v>
      </c>
      <c r="Y23" s="16">
        <v>0.0</v>
      </c>
      <c r="Z23" s="16">
        <v>13022.0</v>
      </c>
      <c r="AA23" s="16">
        <v>26719.0</v>
      </c>
      <c r="AB23" s="16">
        <v>136308.0</v>
      </c>
      <c r="AC23" s="16">
        <v>26043.0</v>
      </c>
      <c r="AD23" s="16">
        <v>0.0</v>
      </c>
      <c r="AE23" s="16">
        <v>0.0</v>
      </c>
      <c r="AF23" s="16">
        <v>1890670.0</v>
      </c>
      <c r="AG23" s="16">
        <v>-246833.0</v>
      </c>
      <c r="AH23" s="16">
        <v>0.0</v>
      </c>
      <c r="AI23" s="16">
        <v>0.0</v>
      </c>
      <c r="AJ23" s="16">
        <v>0.0</v>
      </c>
    </row>
    <row r="24">
      <c r="A24" s="16">
        <v>43709.0</v>
      </c>
      <c r="B24" s="16">
        <v>2019.0</v>
      </c>
      <c r="C24" s="16">
        <v>0.0</v>
      </c>
      <c r="D24" s="16">
        <v>1.0</v>
      </c>
      <c r="E24" s="16">
        <v>0.0</v>
      </c>
      <c r="F24" s="16">
        <v>23888.0</v>
      </c>
      <c r="G24" s="16">
        <v>18382.0</v>
      </c>
      <c r="H24" s="16">
        <v>0.0</v>
      </c>
      <c r="I24" s="16">
        <v>0.0</v>
      </c>
      <c r="J24" s="16">
        <v>9555.0</v>
      </c>
      <c r="K24" s="16">
        <v>1838.0</v>
      </c>
      <c r="L24" s="16">
        <v>131385.0</v>
      </c>
      <c r="M24" s="16">
        <v>0.0</v>
      </c>
      <c r="N24" s="16">
        <v>20908.0</v>
      </c>
      <c r="O24" s="16">
        <v>69309.0</v>
      </c>
      <c r="P24" s="16">
        <v>8702.0</v>
      </c>
      <c r="Q24" s="16">
        <v>10000.0</v>
      </c>
      <c r="R24" s="16">
        <v>0.0</v>
      </c>
      <c r="S24" s="16">
        <v>0.0</v>
      </c>
      <c r="T24" s="16">
        <v>122653.0</v>
      </c>
      <c r="U24" s="16">
        <v>0.0</v>
      </c>
      <c r="V24" s="16">
        <v>0.0</v>
      </c>
      <c r="W24" s="16">
        <v>0.0</v>
      </c>
      <c r="X24" s="16">
        <v>32088.0</v>
      </c>
      <c r="Y24" s="16">
        <v>0.0</v>
      </c>
      <c r="Z24" s="16">
        <v>14640.0</v>
      </c>
      <c r="AA24" s="16">
        <v>28860.0</v>
      </c>
      <c r="AB24" s="16">
        <v>141709.0</v>
      </c>
      <c r="AC24" s="16">
        <v>29280.0</v>
      </c>
      <c r="AD24" s="16">
        <v>0.0</v>
      </c>
      <c r="AE24" s="16">
        <v>0.0</v>
      </c>
      <c r="AF24" s="16">
        <v>1582905.0</v>
      </c>
      <c r="AG24" s="16">
        <v>-307765.0</v>
      </c>
      <c r="AH24" s="16">
        <v>0.0</v>
      </c>
      <c r="AI24" s="16">
        <v>0.0</v>
      </c>
      <c r="AJ24" s="16">
        <v>0.0</v>
      </c>
    </row>
    <row r="25">
      <c r="A25" s="16">
        <v>43739.0</v>
      </c>
      <c r="B25" s="16">
        <v>2019.0</v>
      </c>
      <c r="C25" s="16">
        <v>0.0</v>
      </c>
      <c r="D25" s="16">
        <v>1.0</v>
      </c>
      <c r="E25" s="16">
        <v>0.0</v>
      </c>
      <c r="F25" s="16">
        <v>24930.0</v>
      </c>
      <c r="G25" s="16">
        <v>2941.0</v>
      </c>
      <c r="H25" s="16">
        <v>0.0</v>
      </c>
      <c r="I25" s="16">
        <v>0.0</v>
      </c>
      <c r="J25" s="16">
        <v>9972.0</v>
      </c>
      <c r="K25" s="16">
        <v>294.0</v>
      </c>
      <c r="L25" s="16">
        <v>137117.0</v>
      </c>
      <c r="M25" s="16">
        <v>0.0</v>
      </c>
      <c r="N25" s="16">
        <v>22611.0</v>
      </c>
      <c r="O25" s="16">
        <v>70146.0</v>
      </c>
      <c r="P25" s="16">
        <v>8850.0</v>
      </c>
      <c r="Q25" s="16">
        <v>10000.0</v>
      </c>
      <c r="R25" s="16">
        <v>0.0</v>
      </c>
      <c r="S25" s="16">
        <v>0.0</v>
      </c>
      <c r="T25" s="16">
        <v>52817.0</v>
      </c>
      <c r="U25" s="16">
        <v>0.0</v>
      </c>
      <c r="V25" s="16">
        <v>0.0</v>
      </c>
      <c r="W25" s="16">
        <v>0.0</v>
      </c>
      <c r="X25" s="16">
        <v>35846.0</v>
      </c>
      <c r="Y25" s="16">
        <v>0.0</v>
      </c>
      <c r="Z25" s="16">
        <v>16355.0</v>
      </c>
      <c r="AA25" s="16">
        <v>31177.0</v>
      </c>
      <c r="AB25" s="16">
        <v>147891.0</v>
      </c>
      <c r="AC25" s="16">
        <v>32710.0</v>
      </c>
      <c r="AD25" s="16">
        <v>0.0</v>
      </c>
      <c r="AE25" s="16">
        <v>0.0</v>
      </c>
      <c r="AF25" s="16">
        <v>1324275.0</v>
      </c>
      <c r="AG25" s="16">
        <v>-258630.0</v>
      </c>
      <c r="AH25" s="16">
        <v>0.0</v>
      </c>
      <c r="AI25" s="16">
        <v>0.0</v>
      </c>
      <c r="AJ25" s="16">
        <v>0.0</v>
      </c>
    </row>
    <row r="26">
      <c r="A26" s="16">
        <v>43770.0</v>
      </c>
      <c r="B26" s="16">
        <v>2019.0</v>
      </c>
      <c r="C26" s="16">
        <v>0.0</v>
      </c>
      <c r="D26" s="16">
        <v>1.0</v>
      </c>
      <c r="E26" s="16">
        <v>0.0</v>
      </c>
      <c r="F26" s="16">
        <v>26252.0</v>
      </c>
      <c r="G26" s="16">
        <v>2941.0</v>
      </c>
      <c r="H26" s="16">
        <v>0.0</v>
      </c>
      <c r="I26" s="16">
        <v>0.0</v>
      </c>
      <c r="J26" s="16">
        <v>10501.0</v>
      </c>
      <c r="K26" s="16">
        <v>294.0</v>
      </c>
      <c r="L26" s="16">
        <v>144388.0</v>
      </c>
      <c r="M26" s="16">
        <v>0.0</v>
      </c>
      <c r="N26" s="16">
        <v>24315.0</v>
      </c>
      <c r="O26" s="16">
        <v>71612.0</v>
      </c>
      <c r="P26" s="16">
        <v>8997.0</v>
      </c>
      <c r="Q26" s="16">
        <v>10000.0</v>
      </c>
      <c r="R26" s="16">
        <v>0.0</v>
      </c>
      <c r="S26" s="16">
        <v>0.0</v>
      </c>
      <c r="T26" s="16">
        <v>53404.0</v>
      </c>
      <c r="U26" s="16">
        <v>0.0</v>
      </c>
      <c r="V26" s="16">
        <v>0.0</v>
      </c>
      <c r="W26" s="16">
        <v>0.0</v>
      </c>
      <c r="X26" s="16">
        <v>39788.0</v>
      </c>
      <c r="Y26" s="16">
        <v>0.0</v>
      </c>
      <c r="Z26" s="16">
        <v>18153.0</v>
      </c>
      <c r="AA26" s="16">
        <v>33644.0</v>
      </c>
      <c r="AB26" s="16">
        <v>154750.0</v>
      </c>
      <c r="AC26" s="16">
        <v>36307.0</v>
      </c>
      <c r="AD26" s="16">
        <v>0.0</v>
      </c>
      <c r="AE26" s="16">
        <v>0.0</v>
      </c>
      <c r="AF26" s="16">
        <v>1056137.0</v>
      </c>
      <c r="AG26" s="16">
        <v>-268138.0</v>
      </c>
      <c r="AH26" s="16">
        <v>0.0</v>
      </c>
      <c r="AI26" s="16">
        <v>0.0</v>
      </c>
      <c r="AJ26" s="16">
        <v>0.0</v>
      </c>
    </row>
    <row r="27">
      <c r="A27" s="16">
        <v>43800.0</v>
      </c>
      <c r="B27" s="16">
        <v>2019.0</v>
      </c>
      <c r="C27" s="16">
        <v>0.0</v>
      </c>
      <c r="D27" s="16">
        <v>1.0</v>
      </c>
      <c r="E27" s="16">
        <v>0.0</v>
      </c>
      <c r="F27" s="16">
        <v>27575.0</v>
      </c>
      <c r="G27" s="16">
        <v>21326.0</v>
      </c>
      <c r="H27" s="16">
        <v>0.0</v>
      </c>
      <c r="I27" s="16">
        <v>0.0</v>
      </c>
      <c r="J27" s="16">
        <v>11030.0</v>
      </c>
      <c r="K27" s="16">
        <v>2134.0</v>
      </c>
      <c r="L27" s="16">
        <v>151659.0</v>
      </c>
      <c r="M27" s="16">
        <v>0.0</v>
      </c>
      <c r="N27" s="16">
        <v>26021.0</v>
      </c>
      <c r="O27" s="16">
        <v>73443.0</v>
      </c>
      <c r="P27" s="16">
        <v>9143.0</v>
      </c>
      <c r="Q27" s="16">
        <v>10000.0</v>
      </c>
      <c r="R27" s="16">
        <v>0.0</v>
      </c>
      <c r="S27" s="16">
        <v>0.0</v>
      </c>
      <c r="T27" s="16">
        <v>53991.0</v>
      </c>
      <c r="U27" s="16">
        <v>0.0</v>
      </c>
      <c r="V27" s="16">
        <v>0.0</v>
      </c>
      <c r="W27" s="16">
        <v>0.0</v>
      </c>
      <c r="X27" s="16">
        <v>43836.0</v>
      </c>
      <c r="Y27" s="16">
        <v>0.0</v>
      </c>
      <c r="Z27" s="16">
        <v>20000.0</v>
      </c>
      <c r="AA27" s="16">
        <v>36199.0</v>
      </c>
      <c r="AB27" s="16">
        <v>162000.0</v>
      </c>
      <c r="AC27" s="16">
        <v>40000.0</v>
      </c>
      <c r="AD27" s="16">
        <v>0.0</v>
      </c>
      <c r="AE27" s="16">
        <v>0.0</v>
      </c>
      <c r="AF27" s="16">
        <v>794363.0</v>
      </c>
      <c r="AG27" s="16">
        <v>-261774.0</v>
      </c>
      <c r="AH27" s="16">
        <v>0.0</v>
      </c>
      <c r="AI27" s="16">
        <v>0.0</v>
      </c>
      <c r="AJ27" s="16">
        <v>0.0</v>
      </c>
    </row>
    <row r="28">
      <c r="A28" s="16">
        <v>43831.0</v>
      </c>
      <c r="B28" s="16">
        <v>2020.0</v>
      </c>
      <c r="C28" s="16">
        <v>0.0</v>
      </c>
      <c r="D28" s="16">
        <v>1.0</v>
      </c>
      <c r="E28" s="16">
        <v>0.0</v>
      </c>
      <c r="F28" s="16">
        <v>84256.0</v>
      </c>
      <c r="G28" s="16">
        <v>8824.0</v>
      </c>
      <c r="H28" s="16">
        <v>0.0</v>
      </c>
      <c r="I28" s="16">
        <v>0.0</v>
      </c>
      <c r="J28" s="16">
        <v>37073.0</v>
      </c>
      <c r="K28" s="16">
        <v>882.0</v>
      </c>
      <c r="L28" s="16">
        <v>231705.0</v>
      </c>
      <c r="M28" s="16">
        <v>0.0</v>
      </c>
      <c r="N28" s="16">
        <v>14931.0</v>
      </c>
      <c r="O28" s="16">
        <v>122788.0</v>
      </c>
      <c r="P28" s="16">
        <v>18053.0</v>
      </c>
      <c r="Q28" s="16">
        <v>20000.0</v>
      </c>
      <c r="R28" s="16">
        <v>0.0</v>
      </c>
      <c r="S28" s="16">
        <v>0.0</v>
      </c>
      <c r="T28" s="16">
        <v>79225.0</v>
      </c>
      <c r="U28" s="16">
        <v>0.0</v>
      </c>
      <c r="V28" s="16">
        <v>0.0</v>
      </c>
      <c r="W28" s="16">
        <v>0.0</v>
      </c>
      <c r="X28" s="16">
        <v>53337.0</v>
      </c>
      <c r="Y28" s="16">
        <v>0.0</v>
      </c>
      <c r="Z28" s="16">
        <v>24335.0</v>
      </c>
      <c r="AA28" s="16">
        <v>43503.0</v>
      </c>
      <c r="AB28" s="16">
        <v>178555.0</v>
      </c>
      <c r="AC28" s="16">
        <v>51071.0</v>
      </c>
      <c r="AD28" s="16">
        <v>0.0</v>
      </c>
      <c r="AE28" s="16">
        <v>0.0</v>
      </c>
      <c r="AF28" s="16">
        <v>421933.0</v>
      </c>
      <c r="AG28" s="16">
        <v>-372430.0</v>
      </c>
      <c r="AH28" s="16">
        <v>0.0</v>
      </c>
      <c r="AI28" s="16">
        <v>0.0</v>
      </c>
      <c r="AJ28" s="16">
        <v>0.0</v>
      </c>
    </row>
    <row r="29">
      <c r="A29" s="16">
        <v>43862.0</v>
      </c>
      <c r="B29" s="16">
        <v>2020.0</v>
      </c>
      <c r="C29" s="16">
        <v>0.0</v>
      </c>
      <c r="D29" s="16">
        <v>1.0</v>
      </c>
      <c r="E29" s="16">
        <v>0.0</v>
      </c>
      <c r="F29" s="16">
        <v>86116.0</v>
      </c>
      <c r="G29" s="16">
        <v>8824.0</v>
      </c>
      <c r="H29" s="16">
        <v>0.0</v>
      </c>
      <c r="I29" s="16">
        <v>0.0</v>
      </c>
      <c r="J29" s="16">
        <v>37891.0</v>
      </c>
      <c r="K29" s="16">
        <v>882.0</v>
      </c>
      <c r="L29" s="16">
        <v>236820.0</v>
      </c>
      <c r="M29" s="16">
        <v>0.0</v>
      </c>
      <c r="N29" s="16">
        <v>18294.0</v>
      </c>
      <c r="O29" s="16">
        <v>125376.0</v>
      </c>
      <c r="P29" s="16">
        <v>18407.0</v>
      </c>
      <c r="Q29" s="16">
        <v>20000.0</v>
      </c>
      <c r="R29" s="16">
        <v>0.0</v>
      </c>
      <c r="S29" s="16">
        <v>0.0</v>
      </c>
      <c r="T29" s="16">
        <v>80203.0</v>
      </c>
      <c r="U29" s="16">
        <v>0.0</v>
      </c>
      <c r="V29" s="16">
        <v>0.0</v>
      </c>
      <c r="W29" s="16">
        <v>0.0</v>
      </c>
      <c r="X29" s="16">
        <v>62495.0</v>
      </c>
      <c r="Y29" s="16">
        <v>0.0</v>
      </c>
      <c r="Z29" s="16">
        <v>28513.0</v>
      </c>
      <c r="AA29" s="16">
        <v>50538.0</v>
      </c>
      <c r="AB29" s="16">
        <v>194324.0</v>
      </c>
      <c r="AC29" s="16">
        <v>61765.0</v>
      </c>
      <c r="AD29" s="16">
        <v>0.0</v>
      </c>
      <c r="AE29" s="16">
        <v>0.0</v>
      </c>
      <c r="AF29" s="16">
        <v>37569.0</v>
      </c>
      <c r="AG29" s="16">
        <v>-384364.0</v>
      </c>
      <c r="AH29" s="16">
        <v>0.0</v>
      </c>
      <c r="AI29" s="16">
        <v>0.0</v>
      </c>
      <c r="AJ29" s="16">
        <v>0.0</v>
      </c>
    </row>
    <row r="30">
      <c r="A30" s="16">
        <v>43891.0</v>
      </c>
      <c r="B30" s="16">
        <v>2020.0</v>
      </c>
      <c r="C30" s="16">
        <v>0.0</v>
      </c>
      <c r="D30" s="16">
        <v>2.0</v>
      </c>
      <c r="E30" s="16">
        <v>0.0</v>
      </c>
      <c r="F30" s="16">
        <v>86112.0</v>
      </c>
      <c r="G30" s="16">
        <v>55147.0</v>
      </c>
      <c r="H30" s="16">
        <v>0.0</v>
      </c>
      <c r="I30" s="16">
        <v>0.0</v>
      </c>
      <c r="J30" s="16">
        <v>37889.0</v>
      </c>
      <c r="K30" s="16">
        <v>5515.0</v>
      </c>
      <c r="L30" s="16">
        <v>236807.0</v>
      </c>
      <c r="M30" s="16">
        <v>0.0</v>
      </c>
      <c r="N30" s="16">
        <v>21641.0</v>
      </c>
      <c r="O30" s="16">
        <v>126853.0</v>
      </c>
      <c r="P30" s="16">
        <v>18761.0</v>
      </c>
      <c r="Q30" s="16">
        <v>20000.0</v>
      </c>
      <c r="R30" s="16">
        <v>0.0</v>
      </c>
      <c r="S30" s="16">
        <v>0.0</v>
      </c>
      <c r="T30" s="16">
        <v>198552.0</v>
      </c>
      <c r="U30" s="16">
        <v>2.4E7</v>
      </c>
      <c r="V30" s="16">
        <v>0.0</v>
      </c>
      <c r="W30" s="16">
        <v>0.0</v>
      </c>
      <c r="X30" s="16">
        <v>71058.0</v>
      </c>
      <c r="Y30" s="16">
        <v>0.0</v>
      </c>
      <c r="Z30" s="16">
        <v>32420.0</v>
      </c>
      <c r="AA30" s="16">
        <v>57106.0</v>
      </c>
      <c r="AB30" s="16">
        <v>208734.0</v>
      </c>
      <c r="AC30" s="16">
        <v>71808.0</v>
      </c>
      <c r="AD30" s="16">
        <v>0.0</v>
      </c>
      <c r="AE30" s="16">
        <v>0.0</v>
      </c>
      <c r="AF30" s="16">
        <v>2.3570122E7</v>
      </c>
      <c r="AG30" s="16">
        <v>-467447.0</v>
      </c>
      <c r="AH30" s="16">
        <v>0.0</v>
      </c>
      <c r="AI30" s="16">
        <v>0.0</v>
      </c>
      <c r="AJ30" s="16">
        <v>0.0</v>
      </c>
    </row>
    <row r="31">
      <c r="A31" s="16">
        <v>43922.0</v>
      </c>
      <c r="B31" s="16">
        <v>2020.0</v>
      </c>
      <c r="C31" s="16">
        <v>0.0</v>
      </c>
      <c r="D31" s="16">
        <v>2.0</v>
      </c>
      <c r="E31" s="16">
        <v>0.0</v>
      </c>
      <c r="F31" s="16">
        <v>84493.0</v>
      </c>
      <c r="G31" s="16">
        <v>8824.0</v>
      </c>
      <c r="H31" s="16">
        <v>0.0</v>
      </c>
      <c r="I31" s="16">
        <v>0.0</v>
      </c>
      <c r="J31" s="16">
        <v>37177.0</v>
      </c>
      <c r="K31" s="16">
        <v>882.0</v>
      </c>
      <c r="L31" s="16">
        <v>232355.0</v>
      </c>
      <c r="M31" s="16">
        <v>0.0</v>
      </c>
      <c r="N31" s="16">
        <v>24975.0</v>
      </c>
      <c r="O31" s="16">
        <v>127049.0</v>
      </c>
      <c r="P31" s="16">
        <v>19115.0</v>
      </c>
      <c r="Q31" s="16">
        <v>20000.0</v>
      </c>
      <c r="R31" s="16">
        <v>0.0</v>
      </c>
      <c r="S31" s="16">
        <v>0.0</v>
      </c>
      <c r="T31" s="16">
        <v>82160.0</v>
      </c>
      <c r="U31" s="16">
        <v>0.0</v>
      </c>
      <c r="V31" s="16">
        <v>0.0</v>
      </c>
      <c r="W31" s="16">
        <v>0.0</v>
      </c>
      <c r="X31" s="16">
        <v>78933.0</v>
      </c>
      <c r="Y31" s="16">
        <v>0.0</v>
      </c>
      <c r="Z31" s="16">
        <v>36013.0</v>
      </c>
      <c r="AA31" s="16">
        <v>63135.0</v>
      </c>
      <c r="AB31" s="16">
        <v>221574.0</v>
      </c>
      <c r="AC31" s="16">
        <v>81098.0</v>
      </c>
      <c r="AD31" s="16">
        <v>0.0</v>
      </c>
      <c r="AE31" s="16">
        <v>0.0</v>
      </c>
      <c r="AF31" s="16">
        <v>2.3175532E7</v>
      </c>
      <c r="AG31" s="16">
        <v>-394590.0</v>
      </c>
      <c r="AH31" s="16">
        <v>0.0</v>
      </c>
      <c r="AI31" s="16">
        <v>0.0</v>
      </c>
      <c r="AJ31" s="16">
        <v>0.0</v>
      </c>
    </row>
    <row r="32">
      <c r="A32" s="16">
        <v>43952.0</v>
      </c>
      <c r="B32" s="16">
        <v>2020.0</v>
      </c>
      <c r="C32" s="16">
        <v>0.0</v>
      </c>
      <c r="D32" s="16">
        <v>2.0</v>
      </c>
      <c r="E32" s="16">
        <v>0.0</v>
      </c>
      <c r="F32" s="16">
        <v>81942.0</v>
      </c>
      <c r="G32" s="16">
        <v>8824.0</v>
      </c>
      <c r="H32" s="16">
        <v>0.0</v>
      </c>
      <c r="I32" s="16">
        <v>0.0</v>
      </c>
      <c r="J32" s="16">
        <v>36054.0</v>
      </c>
      <c r="K32" s="16">
        <v>882.0</v>
      </c>
      <c r="L32" s="16">
        <v>225340.0</v>
      </c>
      <c r="M32" s="16">
        <v>0.0</v>
      </c>
      <c r="N32" s="16">
        <v>28301.0</v>
      </c>
      <c r="O32" s="16">
        <v>126136.0</v>
      </c>
      <c r="P32" s="16">
        <v>19469.0</v>
      </c>
      <c r="Q32" s="16">
        <v>20000.0</v>
      </c>
      <c r="R32" s="16">
        <v>0.0</v>
      </c>
      <c r="S32" s="16">
        <v>0.0</v>
      </c>
      <c r="T32" s="16">
        <v>83138.0</v>
      </c>
      <c r="U32" s="16">
        <v>0.0</v>
      </c>
      <c r="V32" s="16">
        <v>0.0</v>
      </c>
      <c r="W32" s="16">
        <v>0.0</v>
      </c>
      <c r="X32" s="16">
        <v>86214.0</v>
      </c>
      <c r="Y32" s="16">
        <v>0.0</v>
      </c>
      <c r="Z32" s="16">
        <v>39335.0</v>
      </c>
      <c r="AA32" s="16">
        <v>68697.0</v>
      </c>
      <c r="AB32" s="16">
        <v>233055.0</v>
      </c>
      <c r="AC32" s="16">
        <v>89737.0</v>
      </c>
      <c r="AD32" s="16">
        <v>0.0</v>
      </c>
      <c r="AE32" s="16">
        <v>0.0</v>
      </c>
      <c r="AF32" s="16">
        <v>2.2781526E7</v>
      </c>
      <c r="AG32" s="16">
        <v>-394006.0</v>
      </c>
      <c r="AH32" s="16">
        <v>0.0</v>
      </c>
      <c r="AI32" s="16">
        <v>0.0</v>
      </c>
      <c r="AJ32" s="16">
        <v>0.0</v>
      </c>
    </row>
    <row r="33">
      <c r="A33" s="16">
        <v>43983.0</v>
      </c>
      <c r="B33" s="16">
        <v>2020.0</v>
      </c>
      <c r="C33" s="16">
        <v>0.0</v>
      </c>
      <c r="D33" s="16">
        <v>2.0</v>
      </c>
      <c r="E33" s="16">
        <v>0.0</v>
      </c>
      <c r="F33" s="16">
        <v>79391.0</v>
      </c>
      <c r="G33" s="16">
        <v>55147.0</v>
      </c>
      <c r="H33" s="16">
        <v>0.0</v>
      </c>
      <c r="I33" s="16">
        <v>0.0</v>
      </c>
      <c r="J33" s="16">
        <v>34932.0</v>
      </c>
      <c r="K33" s="16">
        <v>5515.0</v>
      </c>
      <c r="L33" s="16">
        <v>218325.0</v>
      </c>
      <c r="M33" s="16">
        <v>0.0</v>
      </c>
      <c r="N33" s="16">
        <v>31627.0</v>
      </c>
      <c r="O33" s="16">
        <v>124582.0</v>
      </c>
      <c r="P33" s="16">
        <v>19823.0</v>
      </c>
      <c r="Q33" s="16">
        <v>20000.0</v>
      </c>
      <c r="R33" s="16">
        <v>0.0</v>
      </c>
      <c r="S33" s="16">
        <v>0.0</v>
      </c>
      <c r="T33" s="16">
        <v>84116.0</v>
      </c>
      <c r="U33" s="16">
        <v>0.0</v>
      </c>
      <c r="V33" s="16">
        <v>0.0</v>
      </c>
      <c r="W33" s="16">
        <v>0.0</v>
      </c>
      <c r="X33" s="16">
        <v>93151.0</v>
      </c>
      <c r="Y33" s="16">
        <v>0.0</v>
      </c>
      <c r="Z33" s="16">
        <v>42500.0</v>
      </c>
      <c r="AA33" s="16">
        <v>73990.0</v>
      </c>
      <c r="AB33" s="16">
        <v>243750.0</v>
      </c>
      <c r="AC33" s="16">
        <v>98000.0</v>
      </c>
      <c r="AD33" s="16">
        <v>0.0</v>
      </c>
      <c r="AE33" s="16">
        <v>0.0</v>
      </c>
      <c r="AF33" s="16">
        <v>2.2431116E7</v>
      </c>
      <c r="AG33" s="16">
        <v>-350410.0</v>
      </c>
      <c r="AH33" s="16">
        <v>0.0</v>
      </c>
      <c r="AI33" s="16">
        <v>0.0</v>
      </c>
      <c r="AJ33" s="16">
        <v>0.0</v>
      </c>
    </row>
    <row r="34">
      <c r="A34" s="16">
        <v>44013.0</v>
      </c>
      <c r="B34" s="16">
        <v>2020.0</v>
      </c>
      <c r="C34" s="16">
        <v>0.0</v>
      </c>
      <c r="D34" s="16">
        <v>2.0</v>
      </c>
      <c r="E34" s="16">
        <v>0.0</v>
      </c>
      <c r="F34" s="16">
        <v>77772.0</v>
      </c>
      <c r="G34" s="16">
        <v>8824.0</v>
      </c>
      <c r="H34" s="16">
        <v>0.0</v>
      </c>
      <c r="I34" s="16">
        <v>0.0</v>
      </c>
      <c r="J34" s="16">
        <v>34220.0</v>
      </c>
      <c r="K34" s="16">
        <v>882.0</v>
      </c>
      <c r="L34" s="16">
        <v>213873.0</v>
      </c>
      <c r="M34" s="16">
        <v>0.0</v>
      </c>
      <c r="N34" s="16">
        <v>34960.0</v>
      </c>
      <c r="O34" s="16">
        <v>123027.0</v>
      </c>
      <c r="P34" s="16">
        <v>20177.0</v>
      </c>
      <c r="Q34" s="16">
        <v>20000.0</v>
      </c>
      <c r="R34" s="16">
        <v>0.0</v>
      </c>
      <c r="S34" s="16">
        <v>0.0</v>
      </c>
      <c r="T34" s="16">
        <v>85094.0</v>
      </c>
      <c r="U34" s="16">
        <v>0.0</v>
      </c>
      <c r="V34" s="16">
        <v>0.0</v>
      </c>
      <c r="W34" s="16">
        <v>0.0</v>
      </c>
      <c r="X34" s="16">
        <v>100088.0</v>
      </c>
      <c r="Y34" s="16">
        <v>0.0</v>
      </c>
      <c r="Z34" s="16">
        <v>45665.0</v>
      </c>
      <c r="AA34" s="16">
        <v>79282.0</v>
      </c>
      <c r="AB34" s="16">
        <v>254446.0</v>
      </c>
      <c r="AC34" s="16">
        <v>106263.0</v>
      </c>
      <c r="AD34" s="16">
        <v>0.0</v>
      </c>
      <c r="AE34" s="16">
        <v>0.0</v>
      </c>
      <c r="AF34" s="16">
        <v>2.2039805E7</v>
      </c>
      <c r="AG34" s="16">
        <v>-391311.0</v>
      </c>
      <c r="AH34" s="16">
        <v>0.0</v>
      </c>
      <c r="AI34" s="16">
        <v>0.0</v>
      </c>
      <c r="AJ34" s="16">
        <v>0.0</v>
      </c>
    </row>
    <row r="35">
      <c r="A35" s="16">
        <v>44044.0</v>
      </c>
      <c r="B35" s="16">
        <v>2020.0</v>
      </c>
      <c r="C35" s="16">
        <v>0.0</v>
      </c>
      <c r="D35" s="16">
        <v>2.0</v>
      </c>
      <c r="E35" s="16">
        <v>0.0</v>
      </c>
      <c r="F35" s="16">
        <v>77767.0</v>
      </c>
      <c r="G35" s="16">
        <v>8824.0</v>
      </c>
      <c r="H35" s="16">
        <v>0.0</v>
      </c>
      <c r="I35" s="16">
        <v>0.0</v>
      </c>
      <c r="J35" s="16">
        <v>34218.0</v>
      </c>
      <c r="K35" s="16">
        <v>882.0</v>
      </c>
      <c r="L35" s="16">
        <v>213861.0</v>
      </c>
      <c r="M35" s="16">
        <v>0.0</v>
      </c>
      <c r="N35" s="16">
        <v>38308.0</v>
      </c>
      <c r="O35" s="16">
        <v>122114.0</v>
      </c>
      <c r="P35" s="16">
        <v>20531.0</v>
      </c>
      <c r="Q35" s="16">
        <v>20000.0</v>
      </c>
      <c r="R35" s="16">
        <v>0.0</v>
      </c>
      <c r="S35" s="16">
        <v>0.0</v>
      </c>
      <c r="T35" s="16">
        <v>86072.0</v>
      </c>
      <c r="U35" s="16">
        <v>0.0</v>
      </c>
      <c r="V35" s="16">
        <v>0.0</v>
      </c>
      <c r="W35" s="16">
        <v>0.0</v>
      </c>
      <c r="X35" s="16">
        <v>107368.0</v>
      </c>
      <c r="Y35" s="16">
        <v>0.0</v>
      </c>
      <c r="Z35" s="16">
        <v>48987.0</v>
      </c>
      <c r="AA35" s="16">
        <v>84844.0</v>
      </c>
      <c r="AB35" s="16">
        <v>265926.0</v>
      </c>
      <c r="AC35" s="16">
        <v>114902.0</v>
      </c>
      <c r="AD35" s="16">
        <v>0.0</v>
      </c>
      <c r="AE35" s="16">
        <v>0.0</v>
      </c>
      <c r="AF35" s="16">
        <v>2.164602E7</v>
      </c>
      <c r="AG35" s="16">
        <v>-393785.0</v>
      </c>
      <c r="AH35" s="16">
        <v>0.0</v>
      </c>
      <c r="AI35" s="16">
        <v>0.0</v>
      </c>
      <c r="AJ35" s="16">
        <v>0.0</v>
      </c>
    </row>
    <row r="36">
      <c r="A36" s="16">
        <v>44075.0</v>
      </c>
      <c r="B36" s="16">
        <v>2020.0</v>
      </c>
      <c r="C36" s="16">
        <v>0.0</v>
      </c>
      <c r="D36" s="16">
        <v>3.0</v>
      </c>
      <c r="E36" s="16">
        <v>0.0</v>
      </c>
      <c r="F36" s="16">
        <v>79627.0</v>
      </c>
      <c r="G36" s="16">
        <v>55147.0</v>
      </c>
      <c r="H36" s="16">
        <v>0.0</v>
      </c>
      <c r="I36" s="16">
        <v>0.0</v>
      </c>
      <c r="J36" s="16">
        <v>35036.0</v>
      </c>
      <c r="K36" s="16">
        <v>5515.0</v>
      </c>
      <c r="L36" s="16">
        <v>218975.0</v>
      </c>
      <c r="M36" s="16">
        <v>0.0</v>
      </c>
      <c r="N36" s="16">
        <v>41671.0</v>
      </c>
      <c r="O36" s="16">
        <v>122310.0</v>
      </c>
      <c r="P36" s="16">
        <v>20885.0</v>
      </c>
      <c r="Q36" s="16">
        <v>20000.0</v>
      </c>
      <c r="R36" s="16">
        <v>0.0</v>
      </c>
      <c r="S36" s="16">
        <v>0.0</v>
      </c>
      <c r="T36" s="16">
        <v>204421.0</v>
      </c>
      <c r="U36" s="16">
        <v>0.0</v>
      </c>
      <c r="V36" s="16">
        <v>0.0</v>
      </c>
      <c r="W36" s="16">
        <v>0.0</v>
      </c>
      <c r="X36" s="16">
        <v>115244.0</v>
      </c>
      <c r="Y36" s="16">
        <v>0.0</v>
      </c>
      <c r="Z36" s="16">
        <v>52580.0</v>
      </c>
      <c r="AA36" s="16">
        <v>90873.0</v>
      </c>
      <c r="AB36" s="16">
        <v>278766.0</v>
      </c>
      <c r="AC36" s="16">
        <v>124192.0</v>
      </c>
      <c r="AD36" s="16">
        <v>0.0</v>
      </c>
      <c r="AE36" s="16">
        <v>0.0</v>
      </c>
      <c r="AF36" s="16">
        <v>2.1169556E7</v>
      </c>
      <c r="AG36" s="16">
        <v>-476464.0</v>
      </c>
      <c r="AH36" s="16">
        <v>0.0</v>
      </c>
      <c r="AI36" s="16">
        <v>0.0</v>
      </c>
      <c r="AJ36" s="16">
        <v>0.0</v>
      </c>
    </row>
    <row r="37">
      <c r="A37" s="16">
        <v>44105.0</v>
      </c>
      <c r="B37" s="16">
        <v>2020.0</v>
      </c>
      <c r="C37" s="16">
        <v>0.0</v>
      </c>
      <c r="D37" s="16">
        <v>3.0</v>
      </c>
      <c r="E37" s="16">
        <v>0.0</v>
      </c>
      <c r="F37" s="16">
        <v>83101.0</v>
      </c>
      <c r="G37" s="16">
        <v>8824.0</v>
      </c>
      <c r="H37" s="16">
        <v>0.0</v>
      </c>
      <c r="I37" s="16">
        <v>0.0</v>
      </c>
      <c r="J37" s="16">
        <v>36565.0</v>
      </c>
      <c r="K37" s="16">
        <v>882.0</v>
      </c>
      <c r="L37" s="16">
        <v>228529.0</v>
      </c>
      <c r="M37" s="16">
        <v>0.0</v>
      </c>
      <c r="N37" s="16">
        <v>45047.0</v>
      </c>
      <c r="O37" s="16">
        <v>123788.0</v>
      </c>
      <c r="P37" s="16">
        <v>21239.0</v>
      </c>
      <c r="Q37" s="16">
        <v>20000.0</v>
      </c>
      <c r="R37" s="16">
        <v>0.0</v>
      </c>
      <c r="S37" s="16">
        <v>0.0</v>
      </c>
      <c r="T37" s="16">
        <v>88028.0</v>
      </c>
      <c r="U37" s="16">
        <v>0.0</v>
      </c>
      <c r="V37" s="16">
        <v>0.0</v>
      </c>
      <c r="W37" s="16">
        <v>0.0</v>
      </c>
      <c r="X37" s="16">
        <v>123807.0</v>
      </c>
      <c r="Y37" s="16">
        <v>0.0</v>
      </c>
      <c r="Z37" s="16">
        <v>56487.0</v>
      </c>
      <c r="AA37" s="16">
        <v>97441.0</v>
      </c>
      <c r="AB37" s="16">
        <v>293176.0</v>
      </c>
      <c r="AC37" s="16">
        <v>134235.0</v>
      </c>
      <c r="AD37" s="16">
        <v>0.0</v>
      </c>
      <c r="AE37" s="16">
        <v>0.0</v>
      </c>
      <c r="AF37" s="16">
        <v>2.0757193E7</v>
      </c>
      <c r="AG37" s="16">
        <v>-412363.0</v>
      </c>
      <c r="AH37" s="16">
        <v>0.0</v>
      </c>
      <c r="AI37" s="16">
        <v>0.0</v>
      </c>
      <c r="AJ37" s="16">
        <v>0.0</v>
      </c>
    </row>
    <row r="38">
      <c r="A38" s="16">
        <v>44136.0</v>
      </c>
      <c r="B38" s="16">
        <v>2020.0</v>
      </c>
      <c r="C38" s="16">
        <v>0.0</v>
      </c>
      <c r="D38" s="16">
        <v>3.0</v>
      </c>
      <c r="E38" s="16">
        <v>0.0</v>
      </c>
      <c r="F38" s="16">
        <v>87508.0</v>
      </c>
      <c r="G38" s="16">
        <v>8824.0</v>
      </c>
      <c r="H38" s="16">
        <v>0.0</v>
      </c>
      <c r="I38" s="16">
        <v>0.0</v>
      </c>
      <c r="J38" s="16">
        <v>38503.0</v>
      </c>
      <c r="K38" s="16">
        <v>882.0</v>
      </c>
      <c r="L38" s="16">
        <v>240646.0</v>
      </c>
      <c r="M38" s="16">
        <v>0.0</v>
      </c>
      <c r="N38" s="16">
        <v>48431.0</v>
      </c>
      <c r="O38" s="16">
        <v>126375.0</v>
      </c>
      <c r="P38" s="16">
        <v>21593.0</v>
      </c>
      <c r="Q38" s="16">
        <v>20000.0</v>
      </c>
      <c r="R38" s="16">
        <v>0.0</v>
      </c>
      <c r="S38" s="16">
        <v>0.0</v>
      </c>
      <c r="T38" s="16">
        <v>89006.0</v>
      </c>
      <c r="U38" s="16">
        <v>0.0</v>
      </c>
      <c r="V38" s="16">
        <v>0.0</v>
      </c>
      <c r="W38" s="16">
        <v>0.0</v>
      </c>
      <c r="X38" s="16">
        <v>132964.0</v>
      </c>
      <c r="Y38" s="16">
        <v>0.0</v>
      </c>
      <c r="Z38" s="16">
        <v>60665.0</v>
      </c>
      <c r="AA38" s="16">
        <v>104476.0</v>
      </c>
      <c r="AB38" s="16">
        <v>308946.0</v>
      </c>
      <c r="AC38" s="16">
        <v>144929.0</v>
      </c>
      <c r="AD38" s="16">
        <v>0.0</v>
      </c>
      <c r="AE38" s="16">
        <v>0.0</v>
      </c>
      <c r="AF38" s="16">
        <v>2.0329846E7</v>
      </c>
      <c r="AG38" s="16">
        <v>-427347.0</v>
      </c>
      <c r="AH38" s="16">
        <v>0.0</v>
      </c>
      <c r="AI38" s="16">
        <v>0.0</v>
      </c>
      <c r="AJ38" s="16">
        <v>0.0</v>
      </c>
    </row>
    <row r="39">
      <c r="A39" s="16">
        <v>44166.0</v>
      </c>
      <c r="B39" s="16">
        <v>2020.0</v>
      </c>
      <c r="C39" s="16">
        <v>0.0</v>
      </c>
      <c r="D39" s="16">
        <v>3.0</v>
      </c>
      <c r="E39" s="16">
        <v>0.0</v>
      </c>
      <c r="F39" s="16">
        <v>91915.0</v>
      </c>
      <c r="G39" s="16">
        <v>63967.0</v>
      </c>
      <c r="H39" s="16">
        <v>0.0</v>
      </c>
      <c r="I39" s="16">
        <v>0.0</v>
      </c>
      <c r="J39" s="16">
        <v>40442.0</v>
      </c>
      <c r="K39" s="16">
        <v>6399.0</v>
      </c>
      <c r="L39" s="16">
        <v>252764.0</v>
      </c>
      <c r="M39" s="16">
        <v>0.0</v>
      </c>
      <c r="N39" s="16">
        <v>51814.0</v>
      </c>
      <c r="O39" s="16">
        <v>129602.0</v>
      </c>
      <c r="P39" s="16">
        <v>21947.0</v>
      </c>
      <c r="Q39" s="16">
        <v>20000.0</v>
      </c>
      <c r="R39" s="16">
        <v>0.0</v>
      </c>
      <c r="S39" s="16">
        <v>0.0</v>
      </c>
      <c r="T39" s="16">
        <v>89985.0</v>
      </c>
      <c r="U39" s="16">
        <v>0.0</v>
      </c>
      <c r="V39" s="16">
        <v>0.0</v>
      </c>
      <c r="W39" s="16">
        <v>0.0</v>
      </c>
      <c r="X39" s="16">
        <v>142466.0</v>
      </c>
      <c r="Y39" s="16">
        <v>0.0</v>
      </c>
      <c r="Z39" s="16">
        <v>65000.0</v>
      </c>
      <c r="AA39" s="16">
        <v>111781.0</v>
      </c>
      <c r="AB39" s="16">
        <v>325500.0</v>
      </c>
      <c r="AC39" s="16">
        <v>156000.0</v>
      </c>
      <c r="AD39" s="16">
        <v>0.0</v>
      </c>
      <c r="AE39" s="16">
        <v>0.0</v>
      </c>
      <c r="AF39" s="16">
        <v>1.9935815E7</v>
      </c>
      <c r="AG39" s="16">
        <v>-394031.0</v>
      </c>
      <c r="AH39" s="16">
        <v>0.0</v>
      </c>
      <c r="AI39" s="16">
        <v>0.0</v>
      </c>
      <c r="AJ39" s="16">
        <v>0.0</v>
      </c>
    </row>
    <row r="40">
      <c r="A40" s="16">
        <v>44197.0</v>
      </c>
      <c r="B40" s="16">
        <v>2021.0</v>
      </c>
      <c r="C40" s="16">
        <v>0.0</v>
      </c>
      <c r="D40" s="16">
        <v>3.0</v>
      </c>
      <c r="E40" s="16">
        <v>0.0</v>
      </c>
      <c r="F40" s="16">
        <v>193790.0</v>
      </c>
      <c r="G40" s="16">
        <v>20588.0</v>
      </c>
      <c r="H40" s="16">
        <v>0.0</v>
      </c>
      <c r="I40" s="16">
        <v>0.0</v>
      </c>
      <c r="J40" s="16">
        <v>85267.0</v>
      </c>
      <c r="K40" s="16">
        <v>2059.0</v>
      </c>
      <c r="L40" s="16">
        <v>320174.0</v>
      </c>
      <c r="M40" s="16">
        <v>0.0</v>
      </c>
      <c r="N40" s="16">
        <v>25071.0</v>
      </c>
      <c r="O40" s="16">
        <v>184182.0</v>
      </c>
      <c r="P40" s="16">
        <v>33850.0</v>
      </c>
      <c r="Q40" s="16">
        <v>37500.0</v>
      </c>
      <c r="R40" s="16">
        <v>0.0</v>
      </c>
      <c r="S40" s="16">
        <v>0.0</v>
      </c>
      <c r="T40" s="16">
        <v>158451.0</v>
      </c>
      <c r="U40" s="16">
        <v>0.0</v>
      </c>
      <c r="V40" s="16">
        <v>0.0</v>
      </c>
      <c r="W40" s="16">
        <v>0.0</v>
      </c>
      <c r="X40" s="16">
        <v>162468.0</v>
      </c>
      <c r="Y40" s="16">
        <v>0.0</v>
      </c>
      <c r="Z40" s="16">
        <v>73433.0</v>
      </c>
      <c r="AA40" s="16">
        <v>121873.0</v>
      </c>
      <c r="AB40" s="16">
        <v>347866.0</v>
      </c>
      <c r="AC40" s="16">
        <v>187320.0</v>
      </c>
      <c r="AD40" s="16">
        <v>0.0</v>
      </c>
      <c r="AE40" s="16">
        <v>0.0</v>
      </c>
      <c r="AF40" s="16">
        <v>1.9410332E7</v>
      </c>
      <c r="AG40" s="16">
        <v>-525483.0</v>
      </c>
      <c r="AH40" s="16">
        <v>0.0</v>
      </c>
      <c r="AI40" s="16">
        <v>0.0</v>
      </c>
      <c r="AJ40" s="16">
        <v>0.0</v>
      </c>
    </row>
    <row r="41">
      <c r="A41" s="16">
        <v>44228.0</v>
      </c>
      <c r="B41" s="16">
        <v>2021.0</v>
      </c>
      <c r="C41" s="16">
        <v>0.0</v>
      </c>
      <c r="D41" s="16">
        <v>4.0</v>
      </c>
      <c r="E41" s="16">
        <v>0.0</v>
      </c>
      <c r="F41" s="16">
        <v>198067.0</v>
      </c>
      <c r="G41" s="16">
        <v>20588.0</v>
      </c>
      <c r="H41" s="16">
        <v>0.0</v>
      </c>
      <c r="I41" s="16">
        <v>0.0</v>
      </c>
      <c r="J41" s="16">
        <v>87150.0</v>
      </c>
      <c r="K41" s="16">
        <v>2059.0</v>
      </c>
      <c r="L41" s="16">
        <v>327242.0</v>
      </c>
      <c r="M41" s="16">
        <v>0.0</v>
      </c>
      <c r="N41" s="16">
        <v>30422.0</v>
      </c>
      <c r="O41" s="16">
        <v>188063.0</v>
      </c>
      <c r="P41" s="16">
        <v>34513.0</v>
      </c>
      <c r="Q41" s="16">
        <v>37500.0</v>
      </c>
      <c r="R41" s="16">
        <v>0.0</v>
      </c>
      <c r="S41" s="16">
        <v>0.0</v>
      </c>
      <c r="T41" s="16">
        <v>160407.0</v>
      </c>
      <c r="U41" s="16">
        <v>0.0</v>
      </c>
      <c r="V41" s="16">
        <v>0.0</v>
      </c>
      <c r="W41" s="16">
        <v>0.0</v>
      </c>
      <c r="X41" s="16">
        <v>181637.0</v>
      </c>
      <c r="Y41" s="16">
        <v>0.0</v>
      </c>
      <c r="Z41" s="16">
        <v>81505.0</v>
      </c>
      <c r="AA41" s="16">
        <v>131459.0</v>
      </c>
      <c r="AB41" s="16">
        <v>368939.0</v>
      </c>
      <c r="AC41" s="16">
        <v>217482.0</v>
      </c>
      <c r="AD41" s="16">
        <v>0.0</v>
      </c>
      <c r="AE41" s="16">
        <v>0.0</v>
      </c>
      <c r="AF41" s="16">
        <v>1.8867224E7</v>
      </c>
      <c r="AG41" s="16">
        <v>-543108.0</v>
      </c>
      <c r="AH41" s="16">
        <v>0.0</v>
      </c>
      <c r="AI41" s="16">
        <v>0.0</v>
      </c>
      <c r="AJ41" s="16">
        <v>0.0</v>
      </c>
    </row>
    <row r="42">
      <c r="A42" s="16">
        <v>44256.0</v>
      </c>
      <c r="B42" s="16">
        <v>2021.0</v>
      </c>
      <c r="C42" s="16">
        <v>0.0</v>
      </c>
      <c r="D42" s="16">
        <v>4.0</v>
      </c>
      <c r="E42" s="16">
        <v>0.0</v>
      </c>
      <c r="F42" s="16">
        <v>198057.0</v>
      </c>
      <c r="G42" s="16">
        <v>128676.0</v>
      </c>
      <c r="H42" s="16">
        <v>0.0</v>
      </c>
      <c r="I42" s="16">
        <v>0.0</v>
      </c>
      <c r="J42" s="16">
        <v>87145.0</v>
      </c>
      <c r="K42" s="16">
        <v>12868.0</v>
      </c>
      <c r="L42" s="16">
        <v>327224.0</v>
      </c>
      <c r="M42" s="16">
        <v>0.0</v>
      </c>
      <c r="N42" s="16">
        <v>35718.0</v>
      </c>
      <c r="O42" s="16">
        <v>190280.0</v>
      </c>
      <c r="P42" s="16">
        <v>35177.0</v>
      </c>
      <c r="Q42" s="16">
        <v>37500.0</v>
      </c>
      <c r="R42" s="16">
        <v>0.0</v>
      </c>
      <c r="S42" s="16">
        <v>0.0</v>
      </c>
      <c r="T42" s="16">
        <v>397105.0</v>
      </c>
      <c r="U42" s="16">
        <v>0.0</v>
      </c>
      <c r="V42" s="16">
        <v>0.0</v>
      </c>
      <c r="W42" s="16">
        <v>0.0</v>
      </c>
      <c r="X42" s="16">
        <v>199364.0</v>
      </c>
      <c r="Y42" s="16">
        <v>0.0</v>
      </c>
      <c r="Z42" s="16">
        <v>88950.0</v>
      </c>
      <c r="AA42" s="16">
        <v>140167.0</v>
      </c>
      <c r="AB42" s="16">
        <v>387773.0</v>
      </c>
      <c r="AC42" s="16">
        <v>245640.0</v>
      </c>
      <c r="AD42" s="16">
        <v>0.0</v>
      </c>
      <c r="AE42" s="16">
        <v>0.0</v>
      </c>
      <c r="AF42" s="16">
        <v>1.8174145E7</v>
      </c>
      <c r="AG42" s="16">
        <v>-693079.0</v>
      </c>
      <c r="AH42" s="16">
        <v>0.0</v>
      </c>
      <c r="AI42" s="16">
        <v>0.0</v>
      </c>
      <c r="AJ42" s="16">
        <v>0.0</v>
      </c>
    </row>
    <row r="43">
      <c r="A43" s="16">
        <v>44287.0</v>
      </c>
      <c r="B43" s="16">
        <v>2021.0</v>
      </c>
      <c r="C43" s="16">
        <v>0.0</v>
      </c>
      <c r="D43" s="16">
        <v>5.0</v>
      </c>
      <c r="E43" s="16">
        <v>0.0</v>
      </c>
      <c r="F43" s="16">
        <v>194334.0</v>
      </c>
      <c r="G43" s="16">
        <v>20588.0</v>
      </c>
      <c r="H43" s="16">
        <v>0.0</v>
      </c>
      <c r="I43" s="16">
        <v>0.0</v>
      </c>
      <c r="J43" s="16">
        <v>85507.0</v>
      </c>
      <c r="K43" s="16">
        <v>2059.0</v>
      </c>
      <c r="L43" s="16">
        <v>321073.0</v>
      </c>
      <c r="M43" s="16">
        <v>0.0</v>
      </c>
      <c r="N43" s="16">
        <v>40964.0</v>
      </c>
      <c r="O43" s="16">
        <v>190574.0</v>
      </c>
      <c r="P43" s="16">
        <v>35841.0</v>
      </c>
      <c r="Q43" s="16">
        <v>37500.0</v>
      </c>
      <c r="R43" s="16">
        <v>0.0</v>
      </c>
      <c r="S43" s="16">
        <v>0.0</v>
      </c>
      <c r="T43" s="16">
        <v>164319.0</v>
      </c>
      <c r="U43" s="16">
        <v>0.0</v>
      </c>
      <c r="V43" s="16">
        <v>0.0</v>
      </c>
      <c r="W43" s="16">
        <v>0.0</v>
      </c>
      <c r="X43" s="16">
        <v>215427.0</v>
      </c>
      <c r="Y43" s="16">
        <v>0.0</v>
      </c>
      <c r="Z43" s="16">
        <v>95672.0</v>
      </c>
      <c r="AA43" s="16">
        <v>147861.0</v>
      </c>
      <c r="AB43" s="16">
        <v>404022.0</v>
      </c>
      <c r="AC43" s="16">
        <v>271482.0</v>
      </c>
      <c r="AD43" s="16">
        <v>0.0</v>
      </c>
      <c r="AE43" s="16">
        <v>0.0</v>
      </c>
      <c r="AF43" s="16">
        <v>1.7611571E7</v>
      </c>
      <c r="AG43" s="16">
        <v>-562574.0</v>
      </c>
      <c r="AH43" s="16">
        <v>0.0</v>
      </c>
      <c r="AI43" s="16">
        <v>0.0</v>
      </c>
      <c r="AJ43" s="16">
        <v>0.0</v>
      </c>
    </row>
    <row r="44">
      <c r="A44" s="16">
        <v>44317.0</v>
      </c>
      <c r="B44" s="16">
        <v>2021.0</v>
      </c>
      <c r="C44" s="16">
        <v>0.0</v>
      </c>
      <c r="D44" s="16">
        <v>5.0</v>
      </c>
      <c r="E44" s="16">
        <v>0.0</v>
      </c>
      <c r="F44" s="16">
        <v>188466.0</v>
      </c>
      <c r="G44" s="16">
        <v>20588.0</v>
      </c>
      <c r="H44" s="16">
        <v>0.0</v>
      </c>
      <c r="I44" s="16">
        <v>0.0</v>
      </c>
      <c r="J44" s="16">
        <v>82925.0</v>
      </c>
      <c r="K44" s="16">
        <v>2059.0</v>
      </c>
      <c r="L44" s="16">
        <v>311379.0</v>
      </c>
      <c r="M44" s="16">
        <v>0.0</v>
      </c>
      <c r="N44" s="16">
        <v>46181.0</v>
      </c>
      <c r="O44" s="16">
        <v>189204.0</v>
      </c>
      <c r="P44" s="16">
        <v>36504.0</v>
      </c>
      <c r="Q44" s="16">
        <v>37500.0</v>
      </c>
      <c r="R44" s="16">
        <v>0.0</v>
      </c>
      <c r="S44" s="16">
        <v>0.0</v>
      </c>
      <c r="T44" s="16">
        <v>166275.0</v>
      </c>
      <c r="U44" s="16">
        <v>0.0</v>
      </c>
      <c r="V44" s="16">
        <v>0.0</v>
      </c>
      <c r="W44" s="16">
        <v>0.0</v>
      </c>
      <c r="X44" s="16">
        <v>230047.0</v>
      </c>
      <c r="Y44" s="16">
        <v>0.0</v>
      </c>
      <c r="Z44" s="16">
        <v>101767.0</v>
      </c>
      <c r="AA44" s="16">
        <v>154677.0</v>
      </c>
      <c r="AB44" s="16">
        <v>418032.0</v>
      </c>
      <c r="AC44" s="16">
        <v>295320.0</v>
      </c>
      <c r="AD44" s="16">
        <v>0.0</v>
      </c>
      <c r="AE44" s="16">
        <v>0.0</v>
      </c>
      <c r="AF44" s="16">
        <v>1.7046551E7</v>
      </c>
      <c r="AG44" s="16">
        <v>-565020.0</v>
      </c>
      <c r="AH44" s="16">
        <v>0.0</v>
      </c>
      <c r="AI44" s="16">
        <v>0.0</v>
      </c>
      <c r="AJ44" s="16">
        <v>0.0</v>
      </c>
    </row>
    <row r="45">
      <c r="A45" s="16">
        <v>44348.0</v>
      </c>
      <c r="B45" s="16">
        <v>2021.0</v>
      </c>
      <c r="C45" s="16">
        <v>0.0</v>
      </c>
      <c r="D45" s="16">
        <v>6.0</v>
      </c>
      <c r="E45" s="16">
        <v>0.0</v>
      </c>
      <c r="F45" s="16">
        <v>182599.0</v>
      </c>
      <c r="G45" s="16">
        <v>128676.0</v>
      </c>
      <c r="H45" s="16">
        <v>0.0</v>
      </c>
      <c r="I45" s="16">
        <v>0.0</v>
      </c>
      <c r="J45" s="16">
        <v>80344.0</v>
      </c>
      <c r="K45" s="16">
        <v>12868.0</v>
      </c>
      <c r="L45" s="16">
        <v>301685.0</v>
      </c>
      <c r="M45" s="16">
        <v>0.0</v>
      </c>
      <c r="N45" s="16">
        <v>51399.0</v>
      </c>
      <c r="O45" s="16">
        <v>186872.0</v>
      </c>
      <c r="P45" s="16">
        <v>37168.0</v>
      </c>
      <c r="Q45" s="16">
        <v>37500.0</v>
      </c>
      <c r="R45" s="16">
        <v>0.0</v>
      </c>
      <c r="S45" s="16">
        <v>0.0</v>
      </c>
      <c r="T45" s="16">
        <v>168232.0</v>
      </c>
      <c r="U45" s="16">
        <v>0.0</v>
      </c>
      <c r="V45" s="16">
        <v>0.0</v>
      </c>
      <c r="W45" s="16">
        <v>0.0</v>
      </c>
      <c r="X45" s="16">
        <v>243836.0</v>
      </c>
      <c r="Y45" s="16">
        <v>0.0</v>
      </c>
      <c r="Z45" s="16">
        <v>107500.0</v>
      </c>
      <c r="AA45" s="16">
        <v>160986.0</v>
      </c>
      <c r="AB45" s="16">
        <v>430750.0</v>
      </c>
      <c r="AC45" s="16">
        <v>318000.0</v>
      </c>
      <c r="AD45" s="16">
        <v>0.0</v>
      </c>
      <c r="AE45" s="16">
        <v>0.0</v>
      </c>
      <c r="AF45" s="16">
        <v>1.6578611E7</v>
      </c>
      <c r="AG45" s="16">
        <v>-467940.0</v>
      </c>
      <c r="AH45" s="16">
        <v>0.0</v>
      </c>
      <c r="AI45" s="16">
        <v>0.0</v>
      </c>
      <c r="AJ45" s="16">
        <v>0.0</v>
      </c>
    </row>
    <row r="46">
      <c r="A46" s="16">
        <v>44378.0</v>
      </c>
      <c r="B46" s="16">
        <v>2021.0</v>
      </c>
      <c r="C46" s="16">
        <v>0.0</v>
      </c>
      <c r="D46" s="16">
        <v>6.0</v>
      </c>
      <c r="E46" s="16">
        <v>0.0</v>
      </c>
      <c r="F46" s="16">
        <v>178876.0</v>
      </c>
      <c r="G46" s="16">
        <v>20588.0</v>
      </c>
      <c r="H46" s="16">
        <v>0.0</v>
      </c>
      <c r="I46" s="16">
        <v>0.0</v>
      </c>
      <c r="J46" s="16">
        <v>78705.0</v>
      </c>
      <c r="K46" s="16">
        <v>2059.0</v>
      </c>
      <c r="L46" s="16">
        <v>295534.0</v>
      </c>
      <c r="M46" s="16">
        <v>0.0</v>
      </c>
      <c r="N46" s="16">
        <v>56645.0</v>
      </c>
      <c r="O46" s="16">
        <v>184541.0</v>
      </c>
      <c r="P46" s="16">
        <v>37832.0</v>
      </c>
      <c r="Q46" s="16">
        <v>37500.0</v>
      </c>
      <c r="R46" s="16">
        <v>0.0</v>
      </c>
      <c r="S46" s="16">
        <v>0.0</v>
      </c>
      <c r="T46" s="16">
        <v>170188.0</v>
      </c>
      <c r="U46" s="16">
        <v>0.0</v>
      </c>
      <c r="V46" s="16">
        <v>0.0</v>
      </c>
      <c r="W46" s="16">
        <v>0.0</v>
      </c>
      <c r="X46" s="16">
        <v>257624.0</v>
      </c>
      <c r="Y46" s="16">
        <v>0.0</v>
      </c>
      <c r="Z46" s="16">
        <v>113233.0</v>
      </c>
      <c r="AA46" s="16">
        <v>167295.0</v>
      </c>
      <c r="AB46" s="16">
        <v>443468.0</v>
      </c>
      <c r="AC46" s="16">
        <v>340680.0</v>
      </c>
      <c r="AD46" s="16">
        <v>0.0</v>
      </c>
      <c r="AE46" s="16">
        <v>0.0</v>
      </c>
      <c r="AF46" s="16">
        <v>1.6012589E7</v>
      </c>
      <c r="AG46" s="16">
        <v>-566022.0</v>
      </c>
      <c r="AH46" s="16">
        <v>0.0</v>
      </c>
      <c r="AI46" s="16">
        <v>0.0</v>
      </c>
      <c r="AJ46" s="16">
        <v>0.0</v>
      </c>
    </row>
    <row r="47">
      <c r="A47" s="16">
        <v>44409.0</v>
      </c>
      <c r="B47" s="16">
        <v>2021.0</v>
      </c>
      <c r="C47" s="16">
        <v>0.0</v>
      </c>
      <c r="D47" s="16">
        <v>6.0</v>
      </c>
      <c r="E47" s="16">
        <v>0.0</v>
      </c>
      <c r="F47" s="16">
        <v>178865.0</v>
      </c>
      <c r="G47" s="16">
        <v>20588.0</v>
      </c>
      <c r="H47" s="16">
        <v>0.0</v>
      </c>
      <c r="I47" s="16">
        <v>0.0</v>
      </c>
      <c r="J47" s="16">
        <v>78701.0</v>
      </c>
      <c r="K47" s="16">
        <v>2059.0</v>
      </c>
      <c r="L47" s="16">
        <v>295516.0</v>
      </c>
      <c r="M47" s="16">
        <v>0.0</v>
      </c>
      <c r="N47" s="16">
        <v>61940.0</v>
      </c>
      <c r="O47" s="16">
        <v>183171.0</v>
      </c>
      <c r="P47" s="16">
        <v>38496.0</v>
      </c>
      <c r="Q47" s="16">
        <v>37500.0</v>
      </c>
      <c r="R47" s="16">
        <v>0.0</v>
      </c>
      <c r="S47" s="16">
        <v>0.0</v>
      </c>
      <c r="T47" s="16">
        <v>172144.0</v>
      </c>
      <c r="U47" s="16">
        <v>0.0</v>
      </c>
      <c r="V47" s="16">
        <v>0.0</v>
      </c>
      <c r="W47" s="16">
        <v>0.0</v>
      </c>
      <c r="X47" s="16">
        <v>272244.0</v>
      </c>
      <c r="Y47" s="16">
        <v>0.0</v>
      </c>
      <c r="Z47" s="16">
        <v>119328.0</v>
      </c>
      <c r="AA47" s="16">
        <v>174112.0</v>
      </c>
      <c r="AB47" s="16">
        <v>457478.0</v>
      </c>
      <c r="AC47" s="16">
        <v>364518.0</v>
      </c>
      <c r="AD47" s="16">
        <v>0.0</v>
      </c>
      <c r="AE47" s="16">
        <v>0.0</v>
      </c>
      <c r="AF47" s="16">
        <v>1.5442461E7</v>
      </c>
      <c r="AG47" s="16">
        <v>-570128.0</v>
      </c>
      <c r="AH47" s="16">
        <v>0.0</v>
      </c>
      <c r="AI47" s="16">
        <v>0.0</v>
      </c>
      <c r="AJ47" s="16">
        <v>0.0</v>
      </c>
    </row>
    <row r="48">
      <c r="A48" s="16">
        <v>44440.0</v>
      </c>
      <c r="B48" s="16">
        <v>2021.0</v>
      </c>
      <c r="C48" s="16">
        <v>0.0</v>
      </c>
      <c r="D48" s="16">
        <v>7.0</v>
      </c>
      <c r="E48" s="16">
        <v>0.0</v>
      </c>
      <c r="F48" s="16">
        <v>183143.0</v>
      </c>
      <c r="G48" s="16">
        <v>128676.0</v>
      </c>
      <c r="H48" s="16">
        <v>0.0</v>
      </c>
      <c r="I48" s="16">
        <v>0.0</v>
      </c>
      <c r="J48" s="16">
        <v>80583.0</v>
      </c>
      <c r="K48" s="16">
        <v>12868.0</v>
      </c>
      <c r="L48" s="16">
        <v>302584.0</v>
      </c>
      <c r="M48" s="16">
        <v>0.0</v>
      </c>
      <c r="N48" s="16">
        <v>67292.0</v>
      </c>
      <c r="O48" s="16">
        <v>183465.0</v>
      </c>
      <c r="P48" s="16">
        <v>39159.0</v>
      </c>
      <c r="Q48" s="16">
        <v>37500.0</v>
      </c>
      <c r="R48" s="16">
        <v>0.0</v>
      </c>
      <c r="S48" s="16">
        <v>0.0</v>
      </c>
      <c r="T48" s="16">
        <v>408842.0</v>
      </c>
      <c r="U48" s="16">
        <v>0.0</v>
      </c>
      <c r="V48" s="16">
        <v>0.0</v>
      </c>
      <c r="W48" s="16">
        <v>0.0</v>
      </c>
      <c r="X48" s="16">
        <v>288307.0</v>
      </c>
      <c r="Y48" s="16">
        <v>0.0</v>
      </c>
      <c r="Z48" s="16">
        <v>126050.0</v>
      </c>
      <c r="AA48" s="16">
        <v>181806.0</v>
      </c>
      <c r="AB48" s="16">
        <v>473727.0</v>
      </c>
      <c r="AC48" s="16">
        <v>390360.0</v>
      </c>
      <c r="AD48" s="16">
        <v>0.0</v>
      </c>
      <c r="AE48" s="16">
        <v>0.0</v>
      </c>
      <c r="AF48" s="16">
        <v>1.4725646E7</v>
      </c>
      <c r="AG48" s="16">
        <v>-716815.0</v>
      </c>
      <c r="AH48" s="16">
        <v>0.0</v>
      </c>
      <c r="AI48" s="16">
        <v>0.0</v>
      </c>
      <c r="AJ48" s="16">
        <v>0.0</v>
      </c>
    </row>
    <row r="49">
      <c r="A49" s="16">
        <v>44470.0</v>
      </c>
      <c r="B49" s="16">
        <v>2021.0</v>
      </c>
      <c r="C49" s="16">
        <v>0.0</v>
      </c>
      <c r="D49" s="16">
        <v>7.0</v>
      </c>
      <c r="E49" s="16">
        <v>0.0</v>
      </c>
      <c r="F49" s="16">
        <v>191133.0</v>
      </c>
      <c r="G49" s="16">
        <v>20588.0</v>
      </c>
      <c r="H49" s="16">
        <v>0.0</v>
      </c>
      <c r="I49" s="16">
        <v>0.0</v>
      </c>
      <c r="J49" s="16">
        <v>84099.0</v>
      </c>
      <c r="K49" s="16">
        <v>2059.0</v>
      </c>
      <c r="L49" s="16">
        <v>315785.0</v>
      </c>
      <c r="M49" s="16">
        <v>0.0</v>
      </c>
      <c r="N49" s="16">
        <v>72693.0</v>
      </c>
      <c r="O49" s="16">
        <v>185681.0</v>
      </c>
      <c r="P49" s="16">
        <v>39823.0</v>
      </c>
      <c r="Q49" s="16">
        <v>37500.0</v>
      </c>
      <c r="R49" s="16">
        <v>0.0</v>
      </c>
      <c r="S49" s="16">
        <v>0.0</v>
      </c>
      <c r="T49" s="16">
        <v>176056.0</v>
      </c>
      <c r="U49" s="16">
        <v>0.0</v>
      </c>
      <c r="V49" s="16">
        <v>0.0</v>
      </c>
      <c r="W49" s="16">
        <v>0.0</v>
      </c>
      <c r="X49" s="16">
        <v>306034.0</v>
      </c>
      <c r="Y49" s="16">
        <v>0.0</v>
      </c>
      <c r="Z49" s="16">
        <v>133495.0</v>
      </c>
      <c r="AA49" s="16">
        <v>190513.0</v>
      </c>
      <c r="AB49" s="16">
        <v>492561.0</v>
      </c>
      <c r="AC49" s="16">
        <v>418518.0</v>
      </c>
      <c r="AD49" s="16">
        <v>0.0</v>
      </c>
      <c r="AE49" s="16">
        <v>0.0</v>
      </c>
      <c r="AF49" s="16">
        <v>1.4131521E7</v>
      </c>
      <c r="AG49" s="16">
        <v>-594125.0</v>
      </c>
      <c r="AH49" s="16">
        <v>0.0</v>
      </c>
      <c r="AI49" s="16">
        <v>0.0</v>
      </c>
      <c r="AJ49" s="16">
        <v>0.0</v>
      </c>
    </row>
    <row r="50">
      <c r="A50" s="16">
        <v>44501.0</v>
      </c>
      <c r="B50" s="16">
        <v>2021.0</v>
      </c>
      <c r="C50" s="16">
        <v>0.0</v>
      </c>
      <c r="D50" s="16">
        <v>8.0</v>
      </c>
      <c r="E50" s="16">
        <v>0.0</v>
      </c>
      <c r="F50" s="16">
        <v>201268.0</v>
      </c>
      <c r="G50" s="16">
        <v>20588.0</v>
      </c>
      <c r="H50" s="16">
        <v>0.0</v>
      </c>
      <c r="I50" s="16">
        <v>0.0</v>
      </c>
      <c r="J50" s="16">
        <v>88558.0</v>
      </c>
      <c r="K50" s="16">
        <v>2059.0</v>
      </c>
      <c r="L50" s="16">
        <v>332529.0</v>
      </c>
      <c r="M50" s="16">
        <v>0.0</v>
      </c>
      <c r="N50" s="16">
        <v>78123.0</v>
      </c>
      <c r="O50" s="16">
        <v>189562.0</v>
      </c>
      <c r="P50" s="16">
        <v>40487.0</v>
      </c>
      <c r="Q50" s="16">
        <v>37500.0</v>
      </c>
      <c r="R50" s="16">
        <v>0.0</v>
      </c>
      <c r="S50" s="16">
        <v>0.0</v>
      </c>
      <c r="T50" s="16">
        <v>178013.0</v>
      </c>
      <c r="U50" s="16">
        <v>0.0</v>
      </c>
      <c r="V50" s="16">
        <v>0.0</v>
      </c>
      <c r="W50" s="16">
        <v>0.0</v>
      </c>
      <c r="X50" s="16">
        <v>325204.0</v>
      </c>
      <c r="Y50" s="16">
        <v>0.0</v>
      </c>
      <c r="Z50" s="16">
        <v>141567.0</v>
      </c>
      <c r="AA50" s="16">
        <v>200099.0</v>
      </c>
      <c r="AB50" s="16">
        <v>513634.0</v>
      </c>
      <c r="AC50" s="16">
        <v>448680.0</v>
      </c>
      <c r="AD50" s="16">
        <v>0.0</v>
      </c>
      <c r="AE50" s="16">
        <v>0.0</v>
      </c>
      <c r="AF50" s="16">
        <v>1.3518112E7</v>
      </c>
      <c r="AG50" s="16">
        <v>-613409.0</v>
      </c>
      <c r="AH50" s="16">
        <v>0.0</v>
      </c>
      <c r="AI50" s="16">
        <v>0.0</v>
      </c>
      <c r="AJ50" s="16">
        <v>0.0</v>
      </c>
    </row>
    <row r="51">
      <c r="A51" s="16">
        <v>44531.0</v>
      </c>
      <c r="B51" s="16">
        <v>2021.0</v>
      </c>
      <c r="C51" s="16">
        <v>0.0</v>
      </c>
      <c r="D51" s="16">
        <v>8.0</v>
      </c>
      <c r="E51" s="16">
        <v>0.0</v>
      </c>
      <c r="F51" s="16">
        <v>211402.0</v>
      </c>
      <c r="G51" s="16">
        <v>149268.0</v>
      </c>
      <c r="H51" s="16">
        <v>0.0</v>
      </c>
      <c r="I51" s="16">
        <v>0.0</v>
      </c>
      <c r="J51" s="16">
        <v>93016.0</v>
      </c>
      <c r="K51" s="16">
        <v>14924.0</v>
      </c>
      <c r="L51" s="16">
        <v>349275.0</v>
      </c>
      <c r="M51" s="16">
        <v>0.0</v>
      </c>
      <c r="N51" s="16">
        <v>83552.0</v>
      </c>
      <c r="O51" s="16">
        <v>194405.0</v>
      </c>
      <c r="P51" s="16">
        <v>41150.0</v>
      </c>
      <c r="Q51" s="16">
        <v>37500.0</v>
      </c>
      <c r="R51" s="16">
        <v>0.0</v>
      </c>
      <c r="S51" s="16">
        <v>0.0</v>
      </c>
      <c r="T51" s="16">
        <v>179968.0</v>
      </c>
      <c r="U51" s="16">
        <v>0.0</v>
      </c>
      <c r="V51" s="16">
        <v>0.0</v>
      </c>
      <c r="W51" s="16">
        <v>0.0</v>
      </c>
      <c r="X51" s="16">
        <v>345205.0</v>
      </c>
      <c r="Y51" s="16">
        <v>0.0</v>
      </c>
      <c r="Z51" s="16">
        <v>150000.0</v>
      </c>
      <c r="AA51" s="16">
        <v>210192.0</v>
      </c>
      <c r="AB51" s="16">
        <v>536000.0</v>
      </c>
      <c r="AC51" s="16">
        <v>480000.0</v>
      </c>
      <c r="AD51" s="16">
        <v>0.0</v>
      </c>
      <c r="AE51" s="16">
        <v>0.0</v>
      </c>
      <c r="AF51" s="16">
        <v>1.2998987E7</v>
      </c>
      <c r="AG51" s="16">
        <v>-519125.0</v>
      </c>
      <c r="AH51" s="16">
        <v>0.0</v>
      </c>
      <c r="AI51" s="16">
        <v>0.0</v>
      </c>
      <c r="AJ51" s="16">
        <v>0.0</v>
      </c>
    </row>
    <row r="52">
      <c r="A52" s="16">
        <v>44562.0</v>
      </c>
      <c r="B52" s="16">
        <v>2022.0</v>
      </c>
      <c r="C52" s="16">
        <v>0.0</v>
      </c>
      <c r="D52" s="16">
        <v>9.0</v>
      </c>
      <c r="E52" s="16">
        <v>0.0</v>
      </c>
      <c r="F52" s="16">
        <v>421282.0</v>
      </c>
      <c r="G52" s="16">
        <v>29412.0</v>
      </c>
      <c r="H52" s="16">
        <v>0.0</v>
      </c>
      <c r="I52" s="16">
        <v>0.0</v>
      </c>
      <c r="J52" s="16">
        <v>185364.0</v>
      </c>
      <c r="K52" s="16">
        <v>2941.0</v>
      </c>
      <c r="L52" s="16">
        <v>1074268.0</v>
      </c>
      <c r="M52" s="16">
        <v>189577.0</v>
      </c>
      <c r="N52" s="16">
        <v>81903.0</v>
      </c>
      <c r="O52" s="16">
        <v>409294.0</v>
      </c>
      <c r="P52" s="16">
        <v>56416.0</v>
      </c>
      <c r="Q52" s="16">
        <v>91667.0</v>
      </c>
      <c r="R52" s="16">
        <v>472.0</v>
      </c>
      <c r="S52" s="16">
        <v>0.0</v>
      </c>
      <c r="T52" s="16">
        <v>190141.0</v>
      </c>
      <c r="U52" s="16">
        <v>0.0</v>
      </c>
      <c r="V52" s="16">
        <v>0.0</v>
      </c>
      <c r="W52" s="16">
        <v>0.0</v>
      </c>
      <c r="X52" s="16">
        <v>384740.0</v>
      </c>
      <c r="Y52" s="16">
        <v>0.0</v>
      </c>
      <c r="Z52" s="16">
        <v>170740.0</v>
      </c>
      <c r="AA52" s="16">
        <v>261546.0</v>
      </c>
      <c r="AB52" s="16">
        <v>694467.0</v>
      </c>
      <c r="AC52" s="16">
        <v>561880.0</v>
      </c>
      <c r="AD52" s="16">
        <v>0.0</v>
      </c>
      <c r="AE52" s="16">
        <v>0.0</v>
      </c>
      <c r="AF52" s="16">
        <v>1.1547147E7</v>
      </c>
      <c r="AG52" s="16">
        <v>-1451840.0</v>
      </c>
      <c r="AH52" s="16">
        <v>0.0</v>
      </c>
      <c r="AI52" s="16">
        <v>0.0</v>
      </c>
      <c r="AJ52" s="16">
        <v>0.0</v>
      </c>
    </row>
    <row r="53">
      <c r="A53" s="16">
        <v>44593.0</v>
      </c>
      <c r="B53" s="16">
        <v>2022.0</v>
      </c>
      <c r="C53" s="16">
        <v>0.0</v>
      </c>
      <c r="D53" s="16">
        <v>9.0</v>
      </c>
      <c r="E53" s="16">
        <v>0.0</v>
      </c>
      <c r="F53" s="16">
        <v>430581.0</v>
      </c>
      <c r="G53" s="16">
        <v>29412.0</v>
      </c>
      <c r="H53" s="16">
        <v>0.0</v>
      </c>
      <c r="I53" s="16">
        <v>0.0</v>
      </c>
      <c r="J53" s="16">
        <v>189456.0</v>
      </c>
      <c r="K53" s="16">
        <v>2941.0</v>
      </c>
      <c r="L53" s="16">
        <v>1097982.0</v>
      </c>
      <c r="M53" s="16">
        <v>193762.0</v>
      </c>
      <c r="N53" s="16">
        <v>97706.0</v>
      </c>
      <c r="O53" s="16">
        <v>417918.0</v>
      </c>
      <c r="P53" s="16">
        <v>57522.0</v>
      </c>
      <c r="Q53" s="16">
        <v>91667.0</v>
      </c>
      <c r="R53" s="16">
        <v>472.0</v>
      </c>
      <c r="S53" s="16">
        <v>0.0</v>
      </c>
      <c r="T53" s="16">
        <v>192488.0</v>
      </c>
      <c r="U53" s="16">
        <v>0.0</v>
      </c>
      <c r="V53" s="16">
        <v>0.0</v>
      </c>
      <c r="W53" s="16">
        <v>0.0</v>
      </c>
      <c r="X53" s="16">
        <v>422490.0</v>
      </c>
      <c r="Y53" s="16">
        <v>0.0</v>
      </c>
      <c r="Z53" s="16">
        <v>190612.0</v>
      </c>
      <c r="AA53" s="16">
        <v>311102.0</v>
      </c>
      <c r="AB53" s="16">
        <v>847628.0</v>
      </c>
      <c r="AC53" s="16">
        <v>640577.0</v>
      </c>
      <c r="AD53" s="16">
        <v>0.0</v>
      </c>
      <c r="AE53" s="16">
        <v>0.0</v>
      </c>
      <c r="AF53" s="16">
        <v>1.0038207E7</v>
      </c>
      <c r="AG53" s="16">
        <v>-1508940.0</v>
      </c>
      <c r="AH53" s="16">
        <v>0.0</v>
      </c>
      <c r="AI53" s="16">
        <v>0.0</v>
      </c>
      <c r="AJ53" s="16">
        <v>0.0</v>
      </c>
    </row>
    <row r="54">
      <c r="A54" s="16">
        <v>44621.0</v>
      </c>
      <c r="B54" s="16">
        <v>2022.0</v>
      </c>
      <c r="C54" s="16">
        <v>0.0</v>
      </c>
      <c r="D54" s="16">
        <v>10.0</v>
      </c>
      <c r="E54" s="16">
        <v>0.0</v>
      </c>
      <c r="F54" s="16">
        <v>430558.0</v>
      </c>
      <c r="G54" s="16">
        <v>183824.0</v>
      </c>
      <c r="H54" s="16">
        <v>0.0</v>
      </c>
      <c r="I54" s="16">
        <v>0.0</v>
      </c>
      <c r="J54" s="16">
        <v>189446.0</v>
      </c>
      <c r="K54" s="16">
        <v>18382.0</v>
      </c>
      <c r="L54" s="16">
        <v>1097923.0</v>
      </c>
      <c r="M54" s="16">
        <v>193751.0</v>
      </c>
      <c r="N54" s="16">
        <v>113149.0</v>
      </c>
      <c r="O54" s="16">
        <v>422844.0</v>
      </c>
      <c r="P54" s="16">
        <v>58628.0</v>
      </c>
      <c r="Q54" s="16">
        <v>91667.0</v>
      </c>
      <c r="R54" s="16">
        <v>472.0</v>
      </c>
      <c r="S54" s="16">
        <v>0.0</v>
      </c>
      <c r="T54" s="16">
        <v>476526.0</v>
      </c>
      <c r="U54" s="16">
        <v>0.0</v>
      </c>
      <c r="V54" s="16">
        <v>0.0</v>
      </c>
      <c r="W54" s="16">
        <v>0.0</v>
      </c>
      <c r="X54" s="16">
        <v>457151.0</v>
      </c>
      <c r="Y54" s="16">
        <v>0.0</v>
      </c>
      <c r="Z54" s="16">
        <v>208980.0</v>
      </c>
      <c r="AA54" s="16">
        <v>357542.0</v>
      </c>
      <c r="AB54" s="16">
        <v>991600.0</v>
      </c>
      <c r="AC54" s="16">
        <v>713760.0</v>
      </c>
      <c r="AD54" s="16">
        <v>0.0</v>
      </c>
      <c r="AE54" s="16">
        <v>0.0</v>
      </c>
      <c r="AF54" s="16">
        <v>8350662.0</v>
      </c>
      <c r="AG54" s="16">
        <v>-1687545.0</v>
      </c>
      <c r="AH54" s="16">
        <v>0.0</v>
      </c>
      <c r="AI54" s="16">
        <v>0.0</v>
      </c>
      <c r="AJ54" s="16">
        <v>0.0</v>
      </c>
    </row>
    <row r="55">
      <c r="A55" s="16">
        <v>44652.0</v>
      </c>
      <c r="B55" s="16">
        <v>2022.0</v>
      </c>
      <c r="C55" s="16">
        <v>0.0</v>
      </c>
      <c r="D55" s="16">
        <v>10.0</v>
      </c>
      <c r="E55" s="16">
        <v>0.0</v>
      </c>
      <c r="F55" s="16">
        <v>422464.0</v>
      </c>
      <c r="G55" s="16">
        <v>29412.0</v>
      </c>
      <c r="H55" s="16">
        <v>0.0</v>
      </c>
      <c r="I55" s="16">
        <v>0.0</v>
      </c>
      <c r="J55" s="16">
        <v>185884.0</v>
      </c>
      <c r="K55" s="16">
        <v>2941.0</v>
      </c>
      <c r="L55" s="16">
        <v>1077284.0</v>
      </c>
      <c r="M55" s="16">
        <v>190109.0</v>
      </c>
      <c r="N55" s="16">
        <v>128280.0</v>
      </c>
      <c r="O55" s="16">
        <v>423498.0</v>
      </c>
      <c r="P55" s="16">
        <v>59735.0</v>
      </c>
      <c r="Q55" s="16">
        <v>91667.0</v>
      </c>
      <c r="R55" s="16">
        <v>103732.0</v>
      </c>
      <c r="S55" s="16">
        <v>0.0</v>
      </c>
      <c r="T55" s="16">
        <v>197183.0</v>
      </c>
      <c r="U55" s="16">
        <v>0.0</v>
      </c>
      <c r="V55" s="16">
        <v>2.2E7</v>
      </c>
      <c r="W55" s="16">
        <v>0.0</v>
      </c>
      <c r="X55" s="16">
        <v>488244.0</v>
      </c>
      <c r="Y55" s="16">
        <v>0.0</v>
      </c>
      <c r="Z55" s="16">
        <v>225612.0</v>
      </c>
      <c r="AA55" s="16">
        <v>400385.0</v>
      </c>
      <c r="AB55" s="16">
        <v>1124961.0</v>
      </c>
      <c r="AC55" s="16">
        <v>780577.0</v>
      </c>
      <c r="AD55" s="16">
        <v>0.0</v>
      </c>
      <c r="AE55" s="16">
        <v>2.2E7</v>
      </c>
      <c r="AF55" s="16">
        <v>2.8688923E7</v>
      </c>
      <c r="AG55" s="16">
        <v>2.0338261E7</v>
      </c>
      <c r="AH55" s="16">
        <v>0.0</v>
      </c>
      <c r="AI55" s="16">
        <v>0.0</v>
      </c>
      <c r="AJ55" s="16">
        <v>0.0</v>
      </c>
    </row>
    <row r="56">
      <c r="A56" s="16">
        <v>44682.0</v>
      </c>
      <c r="B56" s="16">
        <v>2022.0</v>
      </c>
      <c r="C56" s="16">
        <v>0.0</v>
      </c>
      <c r="D56" s="16">
        <v>11.0</v>
      </c>
      <c r="E56" s="16">
        <v>0.0</v>
      </c>
      <c r="F56" s="16">
        <v>409709.0</v>
      </c>
      <c r="G56" s="16">
        <v>29412.0</v>
      </c>
      <c r="H56" s="16">
        <v>0.0</v>
      </c>
      <c r="I56" s="16">
        <v>0.0</v>
      </c>
      <c r="J56" s="16">
        <v>180272.0</v>
      </c>
      <c r="K56" s="16">
        <v>2941.0</v>
      </c>
      <c r="L56" s="16">
        <v>1044759.0</v>
      </c>
      <c r="M56" s="16">
        <v>184369.0</v>
      </c>
      <c r="N56" s="16">
        <v>143232.0</v>
      </c>
      <c r="O56" s="16">
        <v>420453.0</v>
      </c>
      <c r="P56" s="16">
        <v>60841.0</v>
      </c>
      <c r="Q56" s="16">
        <v>91667.0</v>
      </c>
      <c r="R56" s="16">
        <v>103732.0</v>
      </c>
      <c r="S56" s="16">
        <v>0.0</v>
      </c>
      <c r="T56" s="16">
        <v>199531.0</v>
      </c>
      <c r="U56" s="16">
        <v>0.0</v>
      </c>
      <c r="V56" s="16">
        <v>0.0</v>
      </c>
      <c r="W56" s="16">
        <v>0.0</v>
      </c>
      <c r="X56" s="16">
        <v>516247.0</v>
      </c>
      <c r="Y56" s="16">
        <v>0.0</v>
      </c>
      <c r="Z56" s="16">
        <v>240740.0</v>
      </c>
      <c r="AA56" s="16">
        <v>440113.0</v>
      </c>
      <c r="AB56" s="16">
        <v>1249133.0</v>
      </c>
      <c r="AC56" s="16">
        <v>841880.0</v>
      </c>
      <c r="AD56" s="16">
        <v>0.0</v>
      </c>
      <c r="AE56" s="16">
        <v>2.2E7</v>
      </c>
      <c r="AF56" s="16">
        <v>2.7030827E7</v>
      </c>
      <c r="AG56" s="16">
        <v>-1658096.0</v>
      </c>
      <c r="AH56" s="16">
        <v>0.0</v>
      </c>
      <c r="AI56" s="16">
        <v>0.0</v>
      </c>
      <c r="AJ56" s="16">
        <v>0.0</v>
      </c>
    </row>
    <row r="57">
      <c r="A57" s="16">
        <v>44713.0</v>
      </c>
      <c r="B57" s="16">
        <v>2022.0</v>
      </c>
      <c r="C57" s="16">
        <v>0.0</v>
      </c>
      <c r="D57" s="16">
        <v>12.0</v>
      </c>
      <c r="E57" s="16">
        <v>0.0</v>
      </c>
      <c r="F57" s="16">
        <v>396954.0</v>
      </c>
      <c r="G57" s="16">
        <v>183824.0</v>
      </c>
      <c r="H57" s="16">
        <v>0.0</v>
      </c>
      <c r="I57" s="16">
        <v>0.0</v>
      </c>
      <c r="J57" s="16">
        <v>174660.0</v>
      </c>
      <c r="K57" s="16">
        <v>18382.0</v>
      </c>
      <c r="L57" s="16">
        <v>1012234.0</v>
      </c>
      <c r="M57" s="16">
        <v>178629.0</v>
      </c>
      <c r="N57" s="16">
        <v>158184.0</v>
      </c>
      <c r="O57" s="16">
        <v>415272.0</v>
      </c>
      <c r="P57" s="16">
        <v>61947.0</v>
      </c>
      <c r="Q57" s="16">
        <v>91667.0</v>
      </c>
      <c r="R57" s="16">
        <v>103732.0</v>
      </c>
      <c r="S57" s="16">
        <v>0.0</v>
      </c>
      <c r="T57" s="16">
        <v>201878.0</v>
      </c>
      <c r="U57" s="16">
        <v>0.0</v>
      </c>
      <c r="V57" s="16">
        <v>0.0</v>
      </c>
      <c r="W57" s="16">
        <v>0.0</v>
      </c>
      <c r="X57" s="16">
        <v>542466.0</v>
      </c>
      <c r="Y57" s="16">
        <v>0.0</v>
      </c>
      <c r="Z57" s="16">
        <v>255000.0</v>
      </c>
      <c r="AA57" s="16">
        <v>478041.0</v>
      </c>
      <c r="AB57" s="16">
        <v>1368000.0</v>
      </c>
      <c r="AC57" s="16">
        <v>900000.0</v>
      </c>
      <c r="AD57" s="16">
        <v>0.0</v>
      </c>
      <c r="AE57" s="16">
        <v>2.2E7</v>
      </c>
      <c r="AF57" s="16">
        <v>2.552307E7</v>
      </c>
      <c r="AG57" s="16">
        <v>-1507757.0</v>
      </c>
      <c r="AH57" s="16">
        <v>0.0</v>
      </c>
      <c r="AI57" s="16">
        <v>0.0</v>
      </c>
      <c r="AJ57" s="16">
        <v>0.0</v>
      </c>
    </row>
    <row r="58">
      <c r="A58" s="16">
        <v>44743.0</v>
      </c>
      <c r="B58" s="16">
        <v>2022.0</v>
      </c>
      <c r="C58" s="16">
        <v>0.0</v>
      </c>
      <c r="D58" s="16">
        <v>12.0</v>
      </c>
      <c r="E58" s="16">
        <v>0.0</v>
      </c>
      <c r="F58" s="16">
        <v>388861.0</v>
      </c>
      <c r="G58" s="16">
        <v>29412.0</v>
      </c>
      <c r="H58" s="16">
        <v>0.0</v>
      </c>
      <c r="I58" s="16">
        <v>0.0</v>
      </c>
      <c r="J58" s="16">
        <v>171099.0</v>
      </c>
      <c r="K58" s="16">
        <v>2941.0</v>
      </c>
      <c r="L58" s="16">
        <v>991595.0</v>
      </c>
      <c r="M58" s="16">
        <v>174987.0</v>
      </c>
      <c r="N58" s="16">
        <v>173315.0</v>
      </c>
      <c r="O58" s="16">
        <v>410091.0</v>
      </c>
      <c r="P58" s="16">
        <v>63053.0</v>
      </c>
      <c r="Q58" s="16">
        <v>91667.0</v>
      </c>
      <c r="R58" s="16">
        <v>103732.0</v>
      </c>
      <c r="S58" s="16">
        <v>0.0</v>
      </c>
      <c r="T58" s="16">
        <v>204225.0</v>
      </c>
      <c r="U58" s="16">
        <v>6.0E7</v>
      </c>
      <c r="V58" s="16">
        <v>0.0</v>
      </c>
      <c r="W58" s="16">
        <v>0.0</v>
      </c>
      <c r="X58" s="16">
        <v>568685.0</v>
      </c>
      <c r="Y58" s="16">
        <v>0.0</v>
      </c>
      <c r="Z58" s="16">
        <v>269260.0</v>
      </c>
      <c r="AA58" s="16">
        <v>515970.0</v>
      </c>
      <c r="AB58" s="16">
        <v>1486867.0</v>
      </c>
      <c r="AC58" s="16">
        <v>958120.0</v>
      </c>
      <c r="AD58" s="16">
        <v>0.0</v>
      </c>
      <c r="AE58" s="16">
        <v>2.2E7</v>
      </c>
      <c r="AF58" s="16">
        <v>8.3883795E7</v>
      </c>
      <c r="AG58" s="16">
        <v>-1639275.0</v>
      </c>
      <c r="AH58" s="16">
        <v>0.0</v>
      </c>
      <c r="AI58" s="16">
        <v>0.0</v>
      </c>
      <c r="AJ58" s="16">
        <v>0.0</v>
      </c>
    </row>
    <row r="59">
      <c r="A59" s="16">
        <v>44774.0</v>
      </c>
      <c r="B59" s="16">
        <v>2022.0</v>
      </c>
      <c r="C59" s="16">
        <v>0.0</v>
      </c>
      <c r="D59" s="16">
        <v>13.0</v>
      </c>
      <c r="E59" s="16">
        <v>0.0</v>
      </c>
      <c r="F59" s="16">
        <v>388837.0</v>
      </c>
      <c r="G59" s="16">
        <v>29412.0</v>
      </c>
      <c r="H59" s="16">
        <v>0.0</v>
      </c>
      <c r="I59" s="16">
        <v>0.0</v>
      </c>
      <c r="J59" s="16">
        <v>171088.0</v>
      </c>
      <c r="K59" s="16">
        <v>2941.0</v>
      </c>
      <c r="L59" s="16">
        <v>991535.0</v>
      </c>
      <c r="M59" s="16">
        <v>174977.0</v>
      </c>
      <c r="N59" s="16">
        <v>188758.0</v>
      </c>
      <c r="O59" s="16">
        <v>407046.0</v>
      </c>
      <c r="P59" s="16">
        <v>64159.0</v>
      </c>
      <c r="Q59" s="16">
        <v>91667.0</v>
      </c>
      <c r="R59" s="16">
        <v>103732.0</v>
      </c>
      <c r="S59" s="16">
        <v>0.0</v>
      </c>
      <c r="T59" s="16">
        <v>206573.0</v>
      </c>
      <c r="U59" s="16">
        <v>0.0</v>
      </c>
      <c r="V59" s="16">
        <v>0.0</v>
      </c>
      <c r="W59" s="16">
        <v>0.0</v>
      </c>
      <c r="X59" s="16">
        <v>596688.0</v>
      </c>
      <c r="Y59" s="16">
        <v>0.0</v>
      </c>
      <c r="Z59" s="16">
        <v>284388.0</v>
      </c>
      <c r="AA59" s="16">
        <v>555697.0</v>
      </c>
      <c r="AB59" s="16">
        <v>1611039.0</v>
      </c>
      <c r="AC59" s="16">
        <v>1019423.0</v>
      </c>
      <c r="AD59" s="16">
        <v>0.0</v>
      </c>
      <c r="AE59" s="16">
        <v>2.2E7</v>
      </c>
      <c r="AF59" s="16">
        <v>8.2237465E7</v>
      </c>
      <c r="AG59" s="16">
        <v>-1646330.0</v>
      </c>
      <c r="AH59" s="16">
        <v>0.0</v>
      </c>
      <c r="AI59" s="16">
        <v>0.0</v>
      </c>
      <c r="AJ59" s="16">
        <v>0.0</v>
      </c>
    </row>
    <row r="60">
      <c r="A60" s="16">
        <v>44805.0</v>
      </c>
      <c r="B60" s="16">
        <v>2022.0</v>
      </c>
      <c r="C60" s="16">
        <v>0.0</v>
      </c>
      <c r="D60" s="16">
        <v>13.0</v>
      </c>
      <c r="E60" s="16">
        <v>0.0</v>
      </c>
      <c r="F60" s="16">
        <v>398137.0</v>
      </c>
      <c r="G60" s="16">
        <v>183824.0</v>
      </c>
      <c r="H60" s="16">
        <v>0.0</v>
      </c>
      <c r="I60" s="16">
        <v>0.0</v>
      </c>
      <c r="J60" s="16">
        <v>175180.0</v>
      </c>
      <c r="K60" s="16">
        <v>18382.0</v>
      </c>
      <c r="L60" s="16">
        <v>1015249.0</v>
      </c>
      <c r="M60" s="16">
        <v>179162.0</v>
      </c>
      <c r="N60" s="16">
        <v>204561.0</v>
      </c>
      <c r="O60" s="16">
        <v>407700.0</v>
      </c>
      <c r="P60" s="16">
        <v>65265.0</v>
      </c>
      <c r="Q60" s="16">
        <v>91667.0</v>
      </c>
      <c r="R60" s="16">
        <v>103732.0</v>
      </c>
      <c r="S60" s="16">
        <v>0.0</v>
      </c>
      <c r="T60" s="16">
        <v>490610.0</v>
      </c>
      <c r="U60" s="16">
        <v>0.0</v>
      </c>
      <c r="V60" s="16">
        <v>0.0</v>
      </c>
      <c r="W60" s="16">
        <v>0.0</v>
      </c>
      <c r="X60" s="16">
        <v>627781.0</v>
      </c>
      <c r="Y60" s="16">
        <v>0.0</v>
      </c>
      <c r="Z60" s="16">
        <v>301020.0</v>
      </c>
      <c r="AA60" s="16">
        <v>598540.0</v>
      </c>
      <c r="AB60" s="16">
        <v>1744400.0</v>
      </c>
      <c r="AC60" s="16">
        <v>1086240.0</v>
      </c>
      <c r="AD60" s="16">
        <v>0.0</v>
      </c>
      <c r="AE60" s="16">
        <v>2.2E7</v>
      </c>
      <c r="AF60" s="16">
        <v>8.0420146E7</v>
      </c>
      <c r="AG60" s="16">
        <v>-1817319.0</v>
      </c>
      <c r="AH60" s="16">
        <v>0.0</v>
      </c>
      <c r="AI60" s="16">
        <v>0.0</v>
      </c>
      <c r="AJ60" s="16">
        <v>0.0</v>
      </c>
    </row>
    <row r="61">
      <c r="A61" s="16">
        <v>44835.0</v>
      </c>
      <c r="B61" s="16">
        <v>2022.0</v>
      </c>
      <c r="C61" s="16">
        <v>0.0</v>
      </c>
      <c r="D61" s="16">
        <v>14.0</v>
      </c>
      <c r="E61" s="16">
        <v>0.0</v>
      </c>
      <c r="F61" s="16">
        <v>415507.0</v>
      </c>
      <c r="G61" s="16">
        <v>29412.0</v>
      </c>
      <c r="H61" s="16">
        <v>0.0</v>
      </c>
      <c r="I61" s="16">
        <v>0.0</v>
      </c>
      <c r="J61" s="16">
        <v>182823.0</v>
      </c>
      <c r="K61" s="16">
        <v>2941.0</v>
      </c>
      <c r="L61" s="16">
        <v>1059543.0</v>
      </c>
      <c r="M61" s="16">
        <v>186978.0</v>
      </c>
      <c r="N61" s="16">
        <v>220676.0</v>
      </c>
      <c r="O61" s="16">
        <v>412625.0</v>
      </c>
      <c r="P61" s="16">
        <v>66372.0</v>
      </c>
      <c r="Q61" s="16">
        <v>91667.0</v>
      </c>
      <c r="R61" s="16">
        <v>103732.0</v>
      </c>
      <c r="S61" s="16">
        <v>0.0</v>
      </c>
      <c r="T61" s="16">
        <v>211268.0</v>
      </c>
      <c r="U61" s="16">
        <v>0.0</v>
      </c>
      <c r="V61" s="16">
        <v>0.0</v>
      </c>
      <c r="W61" s="16">
        <v>0.0</v>
      </c>
      <c r="X61" s="16">
        <v>662441.0</v>
      </c>
      <c r="Y61" s="16">
        <v>0.0</v>
      </c>
      <c r="Z61" s="16">
        <v>319388.0</v>
      </c>
      <c r="AA61" s="16">
        <v>644980.0</v>
      </c>
      <c r="AB61" s="16">
        <v>1888372.0</v>
      </c>
      <c r="AC61" s="16">
        <v>1159423.0</v>
      </c>
      <c r="AD61" s="16">
        <v>0.0</v>
      </c>
      <c r="AE61" s="16">
        <v>2.2E7</v>
      </c>
      <c r="AF61" s="16">
        <v>7.8695046E7</v>
      </c>
      <c r="AG61" s="16">
        <v>-1725100.0</v>
      </c>
      <c r="AH61" s="16">
        <v>0.0</v>
      </c>
      <c r="AI61" s="16">
        <v>0.0</v>
      </c>
      <c r="AJ61" s="16">
        <v>0.0</v>
      </c>
    </row>
    <row r="62">
      <c r="A62" s="16">
        <v>44866.0</v>
      </c>
      <c r="B62" s="16">
        <v>2022.0</v>
      </c>
      <c r="C62" s="16">
        <v>0.0</v>
      </c>
      <c r="D62" s="16">
        <v>14.0</v>
      </c>
      <c r="E62" s="16">
        <v>0.0</v>
      </c>
      <c r="F62" s="16">
        <v>437539.0</v>
      </c>
      <c r="G62" s="16">
        <v>29412.0</v>
      </c>
      <c r="H62" s="16">
        <v>0.0</v>
      </c>
      <c r="I62" s="16">
        <v>0.0</v>
      </c>
      <c r="J62" s="16">
        <v>192517.0</v>
      </c>
      <c r="K62" s="16">
        <v>2941.0</v>
      </c>
      <c r="L62" s="16">
        <v>1115724.0</v>
      </c>
      <c r="M62" s="16">
        <v>196892.0</v>
      </c>
      <c r="N62" s="16">
        <v>236971.0</v>
      </c>
      <c r="O62" s="16">
        <v>421250.0</v>
      </c>
      <c r="P62" s="16">
        <v>67478.0</v>
      </c>
      <c r="Q62" s="16">
        <v>91667.0</v>
      </c>
      <c r="R62" s="16">
        <v>103732.0</v>
      </c>
      <c r="S62" s="16">
        <v>0.0</v>
      </c>
      <c r="T62" s="16">
        <v>213615.0</v>
      </c>
      <c r="U62" s="16">
        <v>0.0</v>
      </c>
      <c r="V62" s="16">
        <v>0.0</v>
      </c>
      <c r="W62" s="16">
        <v>0.0</v>
      </c>
      <c r="X62" s="16">
        <v>700192.0</v>
      </c>
      <c r="Y62" s="16">
        <v>0.0</v>
      </c>
      <c r="Z62" s="16">
        <v>339260.0</v>
      </c>
      <c r="AA62" s="16">
        <v>694536.0</v>
      </c>
      <c r="AB62" s="16">
        <v>2041533.0</v>
      </c>
      <c r="AC62" s="16">
        <v>1238120.0</v>
      </c>
      <c r="AD62" s="16">
        <v>0.0</v>
      </c>
      <c r="AE62" s="16">
        <v>2.2E7</v>
      </c>
      <c r="AF62" s="16">
        <v>7.6902146E7</v>
      </c>
      <c r="AG62" s="16">
        <v>-1792900.0</v>
      </c>
      <c r="AH62" s="16">
        <v>0.0</v>
      </c>
      <c r="AI62" s="16">
        <v>0.0</v>
      </c>
      <c r="AJ62" s="16">
        <v>0.0</v>
      </c>
    </row>
    <row r="63">
      <c r="A63" s="16">
        <v>44896.0</v>
      </c>
      <c r="B63" s="16">
        <v>2022.0</v>
      </c>
      <c r="C63" s="16">
        <v>0.0</v>
      </c>
      <c r="D63" s="16">
        <v>15.0</v>
      </c>
      <c r="E63" s="16">
        <v>0.0</v>
      </c>
      <c r="F63" s="16">
        <v>459571.0</v>
      </c>
      <c r="G63" s="16">
        <v>213232.0</v>
      </c>
      <c r="H63" s="16">
        <v>0.0</v>
      </c>
      <c r="I63" s="16">
        <v>0.0</v>
      </c>
      <c r="J63" s="16">
        <v>202211.0</v>
      </c>
      <c r="K63" s="16">
        <v>21326.0</v>
      </c>
      <c r="L63" s="16">
        <v>1171904.0</v>
      </c>
      <c r="M63" s="16">
        <v>206807.0</v>
      </c>
      <c r="N63" s="16">
        <v>253265.0</v>
      </c>
      <c r="O63" s="16">
        <v>432009.0</v>
      </c>
      <c r="P63" s="16">
        <v>68584.0</v>
      </c>
      <c r="Q63" s="16">
        <v>91663.0</v>
      </c>
      <c r="R63" s="16">
        <v>103728.0</v>
      </c>
      <c r="S63" s="16">
        <v>0.0</v>
      </c>
      <c r="T63" s="16">
        <v>215962.0</v>
      </c>
      <c r="U63" s="16">
        <v>0.0</v>
      </c>
      <c r="V63" s="16">
        <v>0.0</v>
      </c>
      <c r="W63" s="16">
        <v>0.0</v>
      </c>
      <c r="X63" s="16">
        <v>739726.0</v>
      </c>
      <c r="Y63" s="16">
        <v>0.0</v>
      </c>
      <c r="Z63" s="16">
        <v>360000.0</v>
      </c>
      <c r="AA63" s="16">
        <v>745890.0</v>
      </c>
      <c r="AB63" s="16">
        <v>2200000.0</v>
      </c>
      <c r="AC63" s="16">
        <v>1320000.0</v>
      </c>
      <c r="AD63" s="16">
        <v>0.0</v>
      </c>
      <c r="AE63" s="16">
        <v>2.2E7</v>
      </c>
      <c r="AF63" s="16">
        <v>7.5199164E7</v>
      </c>
      <c r="AG63" s="16">
        <v>-1702982.0</v>
      </c>
      <c r="AH63" s="16">
        <v>0.0</v>
      </c>
      <c r="AI63" s="16">
        <v>0.0</v>
      </c>
      <c r="AJ63" s="16">
        <v>0.0</v>
      </c>
    </row>
    <row r="64">
      <c r="A64" s="16">
        <v>44927.0</v>
      </c>
      <c r="B64" s="16">
        <v>2023.0</v>
      </c>
      <c r="C64" s="16">
        <v>0.0</v>
      </c>
      <c r="D64" s="16">
        <v>16.0</v>
      </c>
      <c r="E64" s="16">
        <v>0.0</v>
      </c>
      <c r="F64" s="16">
        <v>926820.0</v>
      </c>
      <c r="G64" s="16">
        <v>176471.0</v>
      </c>
      <c r="H64" s="16">
        <v>0.0</v>
      </c>
      <c r="I64" s="16">
        <v>0.0</v>
      </c>
      <c r="J64" s="16">
        <v>417069.0</v>
      </c>
      <c r="K64" s="16">
        <v>14118.0</v>
      </c>
      <c r="L64" s="16">
        <v>1390229.0</v>
      </c>
      <c r="M64" s="16">
        <v>463410.0</v>
      </c>
      <c r="N64" s="16">
        <v>409020.0</v>
      </c>
      <c r="O64" s="16">
        <v>982305.0</v>
      </c>
      <c r="P64" s="16">
        <v>150442.0</v>
      </c>
      <c r="Q64" s="16">
        <v>250000.0</v>
      </c>
      <c r="R64" s="16">
        <v>125865.0</v>
      </c>
      <c r="S64" s="16">
        <v>0.0</v>
      </c>
      <c r="T64" s="16">
        <v>380282.0</v>
      </c>
      <c r="U64" s="16">
        <v>0.0</v>
      </c>
      <c r="V64" s="16">
        <v>0.0</v>
      </c>
      <c r="W64" s="16">
        <v>0.0</v>
      </c>
      <c r="X64" s="16">
        <v>884504.0</v>
      </c>
      <c r="Y64" s="16">
        <v>0.0</v>
      </c>
      <c r="Z64" s="16">
        <v>424180.0</v>
      </c>
      <c r="AA64" s="16">
        <v>808155.0</v>
      </c>
      <c r="AB64" s="16">
        <v>2413700.0</v>
      </c>
      <c r="AC64" s="16">
        <v>1555327.0</v>
      </c>
      <c r="AD64" s="16">
        <v>0.0</v>
      </c>
      <c r="AE64" s="16">
        <v>2.2E7</v>
      </c>
      <c r="AF64" s="16">
        <v>7.2422491E7</v>
      </c>
      <c r="AG64" s="16">
        <v>-2776673.0</v>
      </c>
      <c r="AH64" s="16">
        <v>0.0</v>
      </c>
      <c r="AI64" s="16">
        <v>0.0</v>
      </c>
      <c r="AJ64" s="16">
        <v>0.0</v>
      </c>
    </row>
    <row r="65">
      <c r="A65" s="16">
        <v>44958.0</v>
      </c>
      <c r="B65" s="16">
        <v>2023.0</v>
      </c>
      <c r="C65" s="16">
        <v>0.0</v>
      </c>
      <c r="D65" s="16">
        <v>17.0</v>
      </c>
      <c r="E65" s="16">
        <v>0.0</v>
      </c>
      <c r="F65" s="16">
        <v>947279.0</v>
      </c>
      <c r="G65" s="16">
        <v>176471.0</v>
      </c>
      <c r="H65" s="16">
        <v>0.0</v>
      </c>
      <c r="I65" s="16">
        <v>0.0</v>
      </c>
      <c r="J65" s="16">
        <v>426276.0</v>
      </c>
      <c r="K65" s="16">
        <v>14118.0</v>
      </c>
      <c r="L65" s="16">
        <v>1420919.0</v>
      </c>
      <c r="M65" s="16">
        <v>473639.0</v>
      </c>
      <c r="N65" s="16">
        <v>474490.0</v>
      </c>
      <c r="O65" s="16">
        <v>1003004.0</v>
      </c>
      <c r="P65" s="16">
        <v>153392.0</v>
      </c>
      <c r="Q65" s="16">
        <v>250000.0</v>
      </c>
      <c r="R65" s="16">
        <v>125865.0</v>
      </c>
      <c r="S65" s="16">
        <v>0.0</v>
      </c>
      <c r="T65" s="16">
        <v>384977.0</v>
      </c>
      <c r="U65" s="16">
        <v>0.0</v>
      </c>
      <c r="V65" s="16">
        <v>0.0</v>
      </c>
      <c r="W65" s="16">
        <v>0.0</v>
      </c>
      <c r="X65" s="16">
        <v>1023891.0</v>
      </c>
      <c r="Y65" s="16">
        <v>0.0</v>
      </c>
      <c r="Z65" s="16">
        <v>485900.0</v>
      </c>
      <c r="AA65" s="16">
        <v>867170.0</v>
      </c>
      <c r="AB65" s="16">
        <v>2617030.0</v>
      </c>
      <c r="AC65" s="16">
        <v>1781634.0</v>
      </c>
      <c r="AD65" s="16">
        <v>0.0</v>
      </c>
      <c r="AE65" s="16">
        <v>2.2E7</v>
      </c>
      <c r="AF65" s="16">
        <v>6.9510498E7</v>
      </c>
      <c r="AG65" s="16">
        <v>-2911993.0</v>
      </c>
      <c r="AH65" s="16">
        <v>0.0</v>
      </c>
      <c r="AI65" s="16">
        <v>0.0</v>
      </c>
      <c r="AJ65" s="16">
        <v>0.0</v>
      </c>
    </row>
    <row r="66">
      <c r="A66" s="16">
        <v>44986.0</v>
      </c>
      <c r="B66" s="16">
        <v>2023.0</v>
      </c>
      <c r="C66" s="16">
        <v>0.0</v>
      </c>
      <c r="D66" s="16">
        <v>17.0</v>
      </c>
      <c r="E66" s="16">
        <v>0.0</v>
      </c>
      <c r="F66" s="16">
        <v>947228.0</v>
      </c>
      <c r="G66" s="16">
        <v>1102941.0</v>
      </c>
      <c r="H66" s="16">
        <v>0.0</v>
      </c>
      <c r="I66" s="16">
        <v>0.0</v>
      </c>
      <c r="J66" s="16">
        <v>426253.0</v>
      </c>
      <c r="K66" s="16">
        <v>88235.0</v>
      </c>
      <c r="L66" s="16">
        <v>1420842.0</v>
      </c>
      <c r="M66" s="16">
        <v>473614.0</v>
      </c>
      <c r="N66" s="16">
        <v>536766.0</v>
      </c>
      <c r="O66" s="16">
        <v>1014825.0</v>
      </c>
      <c r="P66" s="16">
        <v>156342.0</v>
      </c>
      <c r="Q66" s="16">
        <v>250000.0</v>
      </c>
      <c r="R66" s="16">
        <v>125865.0</v>
      </c>
      <c r="S66" s="16">
        <v>0.0</v>
      </c>
      <c r="T66" s="16">
        <v>953052.0</v>
      </c>
      <c r="U66" s="16">
        <v>0.0</v>
      </c>
      <c r="V66" s="16">
        <v>0.0</v>
      </c>
      <c r="W66" s="16">
        <v>0.0</v>
      </c>
      <c r="X66" s="16">
        <v>1153940.0</v>
      </c>
      <c r="Y66" s="16">
        <v>0.0</v>
      </c>
      <c r="Z66" s="16">
        <v>543360.0</v>
      </c>
      <c r="AA66" s="16">
        <v>920557.0</v>
      </c>
      <c r="AB66" s="16">
        <v>2802400.0</v>
      </c>
      <c r="AC66" s="16">
        <v>1992320.0</v>
      </c>
      <c r="AD66" s="16">
        <v>0.0</v>
      </c>
      <c r="AE66" s="16">
        <v>2.2E7</v>
      </c>
      <c r="AF66" s="16">
        <v>6.6783149E7</v>
      </c>
      <c r="AG66" s="16">
        <v>-2727349.0</v>
      </c>
      <c r="AH66" s="16">
        <v>0.0</v>
      </c>
      <c r="AI66" s="16">
        <v>0.0</v>
      </c>
      <c r="AJ66" s="16">
        <v>0.0</v>
      </c>
    </row>
    <row r="67">
      <c r="A67" s="16">
        <v>45017.0</v>
      </c>
      <c r="B67" s="16">
        <v>2023.0</v>
      </c>
      <c r="C67" s="16">
        <v>0.0</v>
      </c>
      <c r="D67" s="16">
        <v>18.0</v>
      </c>
      <c r="E67" s="16">
        <v>0.0</v>
      </c>
      <c r="F67" s="16">
        <v>929422.0</v>
      </c>
      <c r="G67" s="16">
        <v>176471.0</v>
      </c>
      <c r="H67" s="16">
        <v>0.0</v>
      </c>
      <c r="I67" s="16">
        <v>0.0</v>
      </c>
      <c r="J67" s="16">
        <v>418240.0</v>
      </c>
      <c r="K67" s="16">
        <v>14118.0</v>
      </c>
      <c r="L67" s="16">
        <v>1394133.0</v>
      </c>
      <c r="M67" s="16">
        <v>464711.0</v>
      </c>
      <c r="N67" s="16">
        <v>596277.0</v>
      </c>
      <c r="O67" s="16">
        <v>1016395.0</v>
      </c>
      <c r="P67" s="16">
        <v>159292.0</v>
      </c>
      <c r="Q67" s="16">
        <v>250000.0</v>
      </c>
      <c r="R67" s="16">
        <v>354712.0</v>
      </c>
      <c r="S67" s="16">
        <v>0.0</v>
      </c>
      <c r="T67" s="16">
        <v>394366.0</v>
      </c>
      <c r="U67" s="16">
        <v>0.0</v>
      </c>
      <c r="V67" s="16">
        <v>4.0E7</v>
      </c>
      <c r="W67" s="16">
        <v>0.0</v>
      </c>
      <c r="X67" s="16">
        <v>1273206.0</v>
      </c>
      <c r="Y67" s="16">
        <v>0.0</v>
      </c>
      <c r="Z67" s="16">
        <v>595900.0</v>
      </c>
      <c r="AA67" s="16">
        <v>967444.0</v>
      </c>
      <c r="AB67" s="16">
        <v>2967030.0</v>
      </c>
      <c r="AC67" s="16">
        <v>2184967.0</v>
      </c>
      <c r="AD67" s="16">
        <v>0.0</v>
      </c>
      <c r="AE67" s="16">
        <v>6.2E7</v>
      </c>
      <c r="AF67" s="16">
        <v>1.03468448E8</v>
      </c>
      <c r="AG67" s="16">
        <v>3.6685299E7</v>
      </c>
      <c r="AH67" s="16">
        <v>0.0</v>
      </c>
      <c r="AI67" s="16">
        <v>0.0</v>
      </c>
      <c r="AJ67" s="16">
        <v>0.0</v>
      </c>
    </row>
    <row r="68">
      <c r="A68" s="16">
        <v>45047.0</v>
      </c>
      <c r="B68" s="16">
        <v>2023.0</v>
      </c>
      <c r="C68" s="16">
        <v>0.0</v>
      </c>
      <c r="D68" s="16">
        <v>19.0</v>
      </c>
      <c r="E68" s="16">
        <v>0.0</v>
      </c>
      <c r="F68" s="16">
        <v>901361.0</v>
      </c>
      <c r="G68" s="16">
        <v>176471.0</v>
      </c>
      <c r="H68" s="16">
        <v>0.0</v>
      </c>
      <c r="I68" s="16">
        <v>0.0</v>
      </c>
      <c r="J68" s="16">
        <v>405612.0</v>
      </c>
      <c r="K68" s="16">
        <v>14118.0</v>
      </c>
      <c r="L68" s="16">
        <v>1352041.0</v>
      </c>
      <c r="M68" s="16">
        <v>450680.0</v>
      </c>
      <c r="N68" s="16">
        <v>654191.0</v>
      </c>
      <c r="O68" s="16">
        <v>1009087.0</v>
      </c>
      <c r="P68" s="16">
        <v>162242.0</v>
      </c>
      <c r="Q68" s="16">
        <v>250000.0</v>
      </c>
      <c r="R68" s="16">
        <v>354712.0</v>
      </c>
      <c r="S68" s="16">
        <v>0.0</v>
      </c>
      <c r="T68" s="16">
        <v>399061.0</v>
      </c>
      <c r="U68" s="16">
        <v>0.0</v>
      </c>
      <c r="V68" s="16">
        <v>0.0</v>
      </c>
      <c r="W68" s="16">
        <v>0.0</v>
      </c>
      <c r="X68" s="16">
        <v>1383134.0</v>
      </c>
      <c r="Y68" s="16">
        <v>0.0</v>
      </c>
      <c r="Z68" s="16">
        <v>644180.0</v>
      </c>
      <c r="AA68" s="16">
        <v>1008703.0</v>
      </c>
      <c r="AB68" s="16">
        <v>3113700.0</v>
      </c>
      <c r="AC68" s="16">
        <v>2361993.0</v>
      </c>
      <c r="AD68" s="16">
        <v>0.0</v>
      </c>
      <c r="AE68" s="16">
        <v>6.2E7</v>
      </c>
      <c r="AF68" s="16">
        <v>1.00113525E8</v>
      </c>
      <c r="AG68" s="16">
        <v>-3354923.0</v>
      </c>
      <c r="AH68" s="16">
        <v>0.0</v>
      </c>
      <c r="AI68" s="16">
        <v>0.0</v>
      </c>
      <c r="AJ68" s="16">
        <v>0.0</v>
      </c>
    </row>
    <row r="69">
      <c r="A69" s="16">
        <v>45078.0</v>
      </c>
      <c r="B69" s="16">
        <v>2023.0</v>
      </c>
      <c r="C69" s="16">
        <v>0.0</v>
      </c>
      <c r="D69" s="16">
        <v>20.0</v>
      </c>
      <c r="E69" s="16">
        <v>0.0</v>
      </c>
      <c r="F69" s="16">
        <v>873299.0</v>
      </c>
      <c r="G69" s="16">
        <v>1102941.0</v>
      </c>
      <c r="H69" s="16">
        <v>0.0</v>
      </c>
      <c r="I69" s="16">
        <v>0.0</v>
      </c>
      <c r="J69" s="16">
        <v>392985.0</v>
      </c>
      <c r="K69" s="16">
        <v>88235.0</v>
      </c>
      <c r="L69" s="16">
        <v>1309949.0</v>
      </c>
      <c r="M69" s="16">
        <v>436650.0</v>
      </c>
      <c r="N69" s="16">
        <v>712105.0</v>
      </c>
      <c r="O69" s="16">
        <v>996652.0</v>
      </c>
      <c r="P69" s="16">
        <v>165192.0</v>
      </c>
      <c r="Q69" s="16">
        <v>250000.0</v>
      </c>
      <c r="R69" s="16">
        <v>354712.0</v>
      </c>
      <c r="S69" s="16">
        <v>0.0</v>
      </c>
      <c r="T69" s="16">
        <v>403756.0</v>
      </c>
      <c r="U69" s="16">
        <v>0.0</v>
      </c>
      <c r="V69" s="16">
        <v>0.0</v>
      </c>
      <c r="W69" s="16">
        <v>0.0</v>
      </c>
      <c r="X69" s="16">
        <v>1487671.0</v>
      </c>
      <c r="Y69" s="16">
        <v>0.0</v>
      </c>
      <c r="Z69" s="16">
        <v>690000.0</v>
      </c>
      <c r="AA69" s="16">
        <v>1046712.0</v>
      </c>
      <c r="AB69" s="16">
        <v>3250000.0</v>
      </c>
      <c r="AC69" s="16">
        <v>2530000.0</v>
      </c>
      <c r="AD69" s="16">
        <v>0.0</v>
      </c>
      <c r="AE69" s="16">
        <v>6.2E7</v>
      </c>
      <c r="AF69" s="16">
        <v>9.758668E7</v>
      </c>
      <c r="AG69" s="16">
        <v>-2526845.0</v>
      </c>
      <c r="AH69" s="16">
        <v>0.0</v>
      </c>
      <c r="AI69" s="16">
        <v>0.0</v>
      </c>
      <c r="AJ69" s="16">
        <v>0.0</v>
      </c>
    </row>
    <row r="70">
      <c r="A70" s="16">
        <v>45108.0</v>
      </c>
      <c r="B70" s="16">
        <v>2023.0</v>
      </c>
      <c r="C70" s="16">
        <v>0.0</v>
      </c>
      <c r="D70" s="16">
        <v>20.0</v>
      </c>
      <c r="E70" s="16">
        <v>0.0</v>
      </c>
      <c r="F70" s="16">
        <v>855493.0</v>
      </c>
      <c r="G70" s="16">
        <v>176471.0</v>
      </c>
      <c r="H70" s="16">
        <v>0.0</v>
      </c>
      <c r="I70" s="16">
        <v>0.0</v>
      </c>
      <c r="J70" s="16">
        <v>384972.0</v>
      </c>
      <c r="K70" s="16">
        <v>14118.0</v>
      </c>
      <c r="L70" s="16">
        <v>1283240.0</v>
      </c>
      <c r="M70" s="16">
        <v>427746.0</v>
      </c>
      <c r="N70" s="16">
        <v>771617.0</v>
      </c>
      <c r="O70" s="16">
        <v>984218.0</v>
      </c>
      <c r="P70" s="16">
        <v>168142.0</v>
      </c>
      <c r="Q70" s="16">
        <v>250000.0</v>
      </c>
      <c r="R70" s="16">
        <v>354712.0</v>
      </c>
      <c r="S70" s="16">
        <v>0.0</v>
      </c>
      <c r="T70" s="16">
        <v>408451.0</v>
      </c>
      <c r="U70" s="16">
        <v>0.0</v>
      </c>
      <c r="V70" s="16">
        <v>0.0</v>
      </c>
      <c r="W70" s="16">
        <v>0.0</v>
      </c>
      <c r="X70" s="16">
        <v>1592208.0</v>
      </c>
      <c r="Y70" s="16">
        <v>0.0</v>
      </c>
      <c r="Z70" s="16">
        <v>735820.0</v>
      </c>
      <c r="AA70" s="16">
        <v>1084722.0</v>
      </c>
      <c r="AB70" s="16">
        <v>3386300.0</v>
      </c>
      <c r="AC70" s="16">
        <v>2698007.0</v>
      </c>
      <c r="AD70" s="16">
        <v>0.0</v>
      </c>
      <c r="AE70" s="16">
        <v>6.2E7</v>
      </c>
      <c r="AF70" s="16">
        <v>9.418153E7</v>
      </c>
      <c r="AG70" s="16">
        <v>-3405150.0</v>
      </c>
      <c r="AH70" s="16">
        <v>0.0</v>
      </c>
      <c r="AI70" s="16">
        <v>0.0</v>
      </c>
      <c r="AJ70" s="16">
        <v>0.0</v>
      </c>
    </row>
    <row r="71">
      <c r="A71" s="16">
        <v>45139.0</v>
      </c>
      <c r="B71" s="16">
        <v>2023.0</v>
      </c>
      <c r="C71" s="16">
        <v>0.0</v>
      </c>
      <c r="D71" s="16">
        <v>21.0</v>
      </c>
      <c r="E71" s="16">
        <v>0.0</v>
      </c>
      <c r="F71" s="16">
        <v>855442.0</v>
      </c>
      <c r="G71" s="16">
        <v>176471.0</v>
      </c>
      <c r="H71" s="16">
        <v>0.0</v>
      </c>
      <c r="I71" s="16">
        <v>0.0</v>
      </c>
      <c r="J71" s="16">
        <v>384949.0</v>
      </c>
      <c r="K71" s="16">
        <v>14118.0</v>
      </c>
      <c r="L71" s="16">
        <v>1283163.0</v>
      </c>
      <c r="M71" s="16">
        <v>427721.0</v>
      </c>
      <c r="N71" s="16">
        <v>833892.0</v>
      </c>
      <c r="O71" s="16">
        <v>976910.0</v>
      </c>
      <c r="P71" s="16">
        <v>171091.0</v>
      </c>
      <c r="Q71" s="16">
        <v>250000.0</v>
      </c>
      <c r="R71" s="16">
        <v>354712.0</v>
      </c>
      <c r="S71" s="16">
        <v>0.0</v>
      </c>
      <c r="T71" s="16">
        <v>413146.0</v>
      </c>
      <c r="U71" s="16">
        <v>0.0</v>
      </c>
      <c r="V71" s="16">
        <v>0.0</v>
      </c>
      <c r="W71" s="16">
        <v>0.0</v>
      </c>
      <c r="X71" s="16">
        <v>1702136.0</v>
      </c>
      <c r="Y71" s="16">
        <v>0.0</v>
      </c>
      <c r="Z71" s="16">
        <v>784100.0</v>
      </c>
      <c r="AA71" s="16">
        <v>1125980.0</v>
      </c>
      <c r="AB71" s="16">
        <v>3532970.0</v>
      </c>
      <c r="AC71" s="16">
        <v>2875033.0</v>
      </c>
      <c r="AD71" s="16">
        <v>0.0</v>
      </c>
      <c r="AE71" s="16">
        <v>6.2E7</v>
      </c>
      <c r="AF71" s="16">
        <v>9.0731578E7</v>
      </c>
      <c r="AG71" s="16">
        <v>-3449952.0</v>
      </c>
      <c r="AH71" s="16">
        <v>0.0</v>
      </c>
      <c r="AI71" s="16">
        <v>0.0</v>
      </c>
      <c r="AJ71" s="16">
        <v>0.0</v>
      </c>
    </row>
    <row r="72">
      <c r="A72" s="16">
        <v>45170.0</v>
      </c>
      <c r="B72" s="16">
        <v>2023.0</v>
      </c>
      <c r="C72" s="16">
        <v>0.0</v>
      </c>
      <c r="D72" s="16">
        <v>22.0</v>
      </c>
      <c r="E72" s="16">
        <v>0.0</v>
      </c>
      <c r="F72" s="16">
        <v>875901.0</v>
      </c>
      <c r="G72" s="16">
        <v>1102941.0</v>
      </c>
      <c r="H72" s="16">
        <v>0.0</v>
      </c>
      <c r="I72" s="16">
        <v>0.0</v>
      </c>
      <c r="J72" s="16">
        <v>394156.0</v>
      </c>
      <c r="K72" s="16">
        <v>88235.0</v>
      </c>
      <c r="L72" s="16">
        <v>1313852.0</v>
      </c>
      <c r="M72" s="16">
        <v>437951.0</v>
      </c>
      <c r="N72" s="16">
        <v>899362.0</v>
      </c>
      <c r="O72" s="16">
        <v>978479.0</v>
      </c>
      <c r="P72" s="16">
        <v>174041.0</v>
      </c>
      <c r="Q72" s="16">
        <v>250000.0</v>
      </c>
      <c r="R72" s="16">
        <v>354712.0</v>
      </c>
      <c r="S72" s="16">
        <v>0.0</v>
      </c>
      <c r="T72" s="16">
        <v>981221.0</v>
      </c>
      <c r="U72" s="16">
        <v>0.0</v>
      </c>
      <c r="V72" s="16">
        <v>0.0</v>
      </c>
      <c r="W72" s="16">
        <v>0.0</v>
      </c>
      <c r="X72" s="16">
        <v>1821403.0</v>
      </c>
      <c r="Y72" s="16">
        <v>0.0</v>
      </c>
      <c r="Z72" s="16">
        <v>836640.0</v>
      </c>
      <c r="AA72" s="16">
        <v>1172868.0</v>
      </c>
      <c r="AB72" s="16">
        <v>3697600.0</v>
      </c>
      <c r="AC72" s="16">
        <v>3067680.0</v>
      </c>
      <c r="AD72" s="16">
        <v>5000000.0</v>
      </c>
      <c r="AE72" s="16">
        <v>6.2E7</v>
      </c>
      <c r="AF72" s="16">
        <v>8.749481E7</v>
      </c>
      <c r="AG72" s="16">
        <v>-3236768.0</v>
      </c>
      <c r="AH72" s="16">
        <v>0.0</v>
      </c>
      <c r="AI72" s="16">
        <v>0.0</v>
      </c>
      <c r="AJ72" s="16">
        <v>0.0</v>
      </c>
    </row>
    <row r="73">
      <c r="A73" s="16">
        <v>45200.0</v>
      </c>
      <c r="B73" s="16">
        <v>2023.0</v>
      </c>
      <c r="C73" s="16">
        <v>0.0</v>
      </c>
      <c r="D73" s="16">
        <v>23.0</v>
      </c>
      <c r="E73" s="16">
        <v>0.0</v>
      </c>
      <c r="F73" s="16">
        <v>914116.0</v>
      </c>
      <c r="G73" s="16">
        <v>176471.0</v>
      </c>
      <c r="H73" s="16">
        <v>0.0</v>
      </c>
      <c r="I73" s="16">
        <v>0.0</v>
      </c>
      <c r="J73" s="16">
        <v>411352.0</v>
      </c>
      <c r="K73" s="16">
        <v>14118.0</v>
      </c>
      <c r="L73" s="16">
        <v>1371173.0</v>
      </c>
      <c r="M73" s="16">
        <v>457058.0</v>
      </c>
      <c r="N73" s="16">
        <v>967596.0</v>
      </c>
      <c r="O73" s="16">
        <v>990300.0</v>
      </c>
      <c r="P73" s="16">
        <v>176991.0</v>
      </c>
      <c r="Q73" s="16">
        <v>250000.0</v>
      </c>
      <c r="R73" s="16">
        <v>354712.0</v>
      </c>
      <c r="S73" s="16">
        <v>0.0</v>
      </c>
      <c r="T73" s="16">
        <v>422535.0</v>
      </c>
      <c r="U73" s="16">
        <v>0.0</v>
      </c>
      <c r="V73" s="16">
        <v>0.0</v>
      </c>
      <c r="W73" s="16">
        <v>0.0</v>
      </c>
      <c r="X73" s="16">
        <v>1951452.0</v>
      </c>
      <c r="Y73" s="16">
        <v>0.0</v>
      </c>
      <c r="Z73" s="16">
        <v>894100.0</v>
      </c>
      <c r="AA73" s="16">
        <v>1226254.0</v>
      </c>
      <c r="AB73" s="16">
        <v>3882970.0</v>
      </c>
      <c r="AC73" s="16">
        <v>3278366.0</v>
      </c>
      <c r="AD73" s="16">
        <v>5000000.0</v>
      </c>
      <c r="AE73" s="16">
        <v>6.2E7</v>
      </c>
      <c r="AF73" s="16">
        <v>8.3858486E7</v>
      </c>
      <c r="AG73" s="16">
        <v>-3636324.0</v>
      </c>
      <c r="AH73" s="16">
        <v>0.0</v>
      </c>
      <c r="AI73" s="16">
        <v>0.0</v>
      </c>
      <c r="AJ73" s="16">
        <v>0.0</v>
      </c>
    </row>
    <row r="74">
      <c r="A74" s="16">
        <v>45231.0</v>
      </c>
      <c r="B74" s="16">
        <v>2023.0</v>
      </c>
      <c r="C74" s="16">
        <v>0.0</v>
      </c>
      <c r="D74" s="16">
        <v>23.0</v>
      </c>
      <c r="E74" s="16">
        <v>0.0</v>
      </c>
      <c r="F74" s="16">
        <v>962585.0</v>
      </c>
      <c r="G74" s="16">
        <v>176471.0</v>
      </c>
      <c r="H74" s="16">
        <v>0.0</v>
      </c>
      <c r="I74" s="16">
        <v>0.0</v>
      </c>
      <c r="J74" s="16">
        <v>433163.0</v>
      </c>
      <c r="K74" s="16">
        <v>14118.0</v>
      </c>
      <c r="L74" s="16">
        <v>1443878.0</v>
      </c>
      <c r="M74" s="16">
        <v>481292.0</v>
      </c>
      <c r="N74" s="16">
        <v>1037427.0</v>
      </c>
      <c r="O74" s="16">
        <v>1011000.0</v>
      </c>
      <c r="P74" s="16">
        <v>179941.0</v>
      </c>
      <c r="Q74" s="16">
        <v>250000.0</v>
      </c>
      <c r="R74" s="16">
        <v>354712.0</v>
      </c>
      <c r="S74" s="16">
        <v>0.0</v>
      </c>
      <c r="T74" s="16">
        <v>427230.0</v>
      </c>
      <c r="U74" s="16">
        <v>0.0</v>
      </c>
      <c r="V74" s="16">
        <v>0.0</v>
      </c>
      <c r="W74" s="16">
        <v>0.0</v>
      </c>
      <c r="X74" s="16">
        <v>2090838.0</v>
      </c>
      <c r="Y74" s="16">
        <v>0.0</v>
      </c>
      <c r="Z74" s="16">
        <v>955820.0</v>
      </c>
      <c r="AA74" s="16">
        <v>1285269.0</v>
      </c>
      <c r="AB74" s="16">
        <v>4086300.0</v>
      </c>
      <c r="AC74" s="16">
        <v>3504673.0</v>
      </c>
      <c r="AD74" s="16">
        <v>5000000.0</v>
      </c>
      <c r="AE74" s="16">
        <v>6.2E7</v>
      </c>
      <c r="AF74" s="16">
        <v>8.0082268E7</v>
      </c>
      <c r="AG74" s="16">
        <v>-3776218.0</v>
      </c>
      <c r="AH74" s="16">
        <v>0.0</v>
      </c>
      <c r="AI74" s="16">
        <v>0.0</v>
      </c>
      <c r="AJ74" s="16">
        <v>0.0</v>
      </c>
    </row>
    <row r="75">
      <c r="A75" s="16">
        <v>45261.0</v>
      </c>
      <c r="B75" s="16">
        <v>2023.0</v>
      </c>
      <c r="C75" s="16">
        <v>0.0</v>
      </c>
      <c r="D75" s="16">
        <v>24.0</v>
      </c>
      <c r="E75" s="16">
        <v>0.0</v>
      </c>
      <c r="F75" s="16">
        <v>1011054.0</v>
      </c>
      <c r="G75" s="16">
        <v>1279409.0</v>
      </c>
      <c r="H75" s="16">
        <v>0.0</v>
      </c>
      <c r="I75" s="16">
        <v>0.0</v>
      </c>
      <c r="J75" s="16">
        <v>454973.0</v>
      </c>
      <c r="K75" s="16">
        <v>102351.0</v>
      </c>
      <c r="L75" s="16">
        <v>1516582.0</v>
      </c>
      <c r="M75" s="16">
        <v>505527.0</v>
      </c>
      <c r="N75" s="16">
        <v>1107257.0</v>
      </c>
      <c r="O75" s="16">
        <v>1036825.0</v>
      </c>
      <c r="P75" s="16">
        <v>182892.0</v>
      </c>
      <c r="Q75" s="16">
        <v>250000.0</v>
      </c>
      <c r="R75" s="16">
        <v>354709.0</v>
      </c>
      <c r="S75" s="16">
        <v>0.0</v>
      </c>
      <c r="T75" s="16">
        <v>431923.0</v>
      </c>
      <c r="U75" s="16">
        <v>0.0</v>
      </c>
      <c r="V75" s="16">
        <v>0.0</v>
      </c>
      <c r="W75" s="16">
        <v>0.0</v>
      </c>
      <c r="X75" s="16">
        <v>2235616.0</v>
      </c>
      <c r="Y75" s="16">
        <v>0.0</v>
      </c>
      <c r="Z75" s="16">
        <v>1020000.0</v>
      </c>
      <c r="AA75" s="16">
        <v>1347534.0</v>
      </c>
      <c r="AB75" s="16">
        <v>4300000.0</v>
      </c>
      <c r="AC75" s="16">
        <v>3740000.0</v>
      </c>
      <c r="AD75" s="16">
        <v>5000000.0</v>
      </c>
      <c r="AE75" s="16">
        <v>6.2E7</v>
      </c>
      <c r="AF75" s="16">
        <v>7.7164918E7</v>
      </c>
      <c r="AG75" s="16">
        <v>-2917350.0</v>
      </c>
      <c r="AH75" s="16">
        <v>0.0</v>
      </c>
      <c r="AI75" s="16">
        <v>0.0</v>
      </c>
      <c r="AJ75" s="16">
        <v>0.0</v>
      </c>
    </row>
    <row r="76">
      <c r="A76" s="16">
        <v>45292.0</v>
      </c>
      <c r="B76" s="16">
        <v>2024.0</v>
      </c>
      <c r="C76" s="16">
        <v>510.0</v>
      </c>
      <c r="D76" s="16">
        <v>25.0</v>
      </c>
      <c r="E76" s="16">
        <v>815476.0</v>
      </c>
      <c r="F76" s="16">
        <v>1685127.0</v>
      </c>
      <c r="G76" s="16">
        <v>205882.0</v>
      </c>
      <c r="H76" s="16">
        <v>187560.0</v>
      </c>
      <c r="I76" s="16">
        <v>65238.0</v>
      </c>
      <c r="J76" s="16">
        <v>758307.0</v>
      </c>
      <c r="K76" s="16">
        <v>16471.0</v>
      </c>
      <c r="L76" s="16">
        <v>2595095.0</v>
      </c>
      <c r="M76" s="16">
        <v>1112184.0</v>
      </c>
      <c r="N76" s="16">
        <v>842774.0</v>
      </c>
      <c r="O76" s="16">
        <v>1555316.0</v>
      </c>
      <c r="P76" s="16">
        <v>300885.0</v>
      </c>
      <c r="Q76" s="16">
        <v>416667.0</v>
      </c>
      <c r="R76" s="16">
        <v>433101.0</v>
      </c>
      <c r="S76" s="16">
        <v>0.0</v>
      </c>
      <c r="T76" s="16">
        <v>760563.0</v>
      </c>
      <c r="U76" s="16">
        <v>0.0</v>
      </c>
      <c r="V76" s="16">
        <v>0.0</v>
      </c>
      <c r="W76" s="16">
        <v>0.0</v>
      </c>
      <c r="X76" s="16">
        <v>2693878.0</v>
      </c>
      <c r="Y76" s="16">
        <v>239291.0</v>
      </c>
      <c r="Z76" s="16">
        <v>1206460.0</v>
      </c>
      <c r="AA76" s="16">
        <v>1560774.0</v>
      </c>
      <c r="AB76" s="16">
        <v>4726962.0</v>
      </c>
      <c r="AC76" s="16">
        <v>3976793.0</v>
      </c>
      <c r="AD76" s="16">
        <v>5000000.0</v>
      </c>
      <c r="AE76" s="16">
        <v>6.2E7</v>
      </c>
      <c r="AF76" s="16">
        <v>7.1537776E7</v>
      </c>
      <c r="AG76" s="16">
        <v>-5627142.0</v>
      </c>
      <c r="AH76" s="16">
        <v>0.0</v>
      </c>
      <c r="AI76" s="16">
        <v>0.0</v>
      </c>
      <c r="AJ76" s="16">
        <v>0.0</v>
      </c>
    </row>
    <row r="77">
      <c r="A77" s="16">
        <v>45323.0</v>
      </c>
      <c r="B77" s="16">
        <v>2024.0</v>
      </c>
      <c r="C77" s="16">
        <v>597.0</v>
      </c>
      <c r="D77" s="16">
        <v>26.0</v>
      </c>
      <c r="E77" s="16">
        <v>955660.0</v>
      </c>
      <c r="F77" s="16">
        <v>1722325.0</v>
      </c>
      <c r="G77" s="16">
        <v>205882.0</v>
      </c>
      <c r="H77" s="16">
        <v>219802.0</v>
      </c>
      <c r="I77" s="16">
        <v>76453.0</v>
      </c>
      <c r="J77" s="16">
        <v>775046.0</v>
      </c>
      <c r="K77" s="16">
        <v>16471.0</v>
      </c>
      <c r="L77" s="16">
        <v>2652381.0</v>
      </c>
      <c r="M77" s="16">
        <v>1136735.0</v>
      </c>
      <c r="N77" s="16">
        <v>959701.0</v>
      </c>
      <c r="O77" s="16">
        <v>1588090.0</v>
      </c>
      <c r="P77" s="16">
        <v>306785.0</v>
      </c>
      <c r="Q77" s="16">
        <v>416667.0</v>
      </c>
      <c r="R77" s="16">
        <v>433101.0</v>
      </c>
      <c r="S77" s="16">
        <v>0.0</v>
      </c>
      <c r="T77" s="16">
        <v>769953.0</v>
      </c>
      <c r="U77" s="16">
        <v>0.0</v>
      </c>
      <c r="V77" s="16">
        <v>0.0</v>
      </c>
      <c r="W77" s="16">
        <v>0.0</v>
      </c>
      <c r="X77" s="16">
        <v>3135304.0</v>
      </c>
      <c r="Y77" s="16">
        <v>472332.0</v>
      </c>
      <c r="Z77" s="16">
        <v>1385830.0</v>
      </c>
      <c r="AA77" s="16">
        <v>1765512.0</v>
      </c>
      <c r="AB77" s="16">
        <v>5133413.0</v>
      </c>
      <c r="AC77" s="16">
        <v>4199262.0</v>
      </c>
      <c r="AD77" s="16">
        <v>5000000.0</v>
      </c>
      <c r="AE77" s="16">
        <v>6.2E7</v>
      </c>
      <c r="AF77" s="16">
        <v>6.5773731E7</v>
      </c>
      <c r="AG77" s="16">
        <v>-5764045.0</v>
      </c>
      <c r="AH77" s="16">
        <v>0.0</v>
      </c>
      <c r="AI77" s="16">
        <v>0.0</v>
      </c>
      <c r="AJ77" s="16">
        <v>0.0</v>
      </c>
    </row>
    <row r="78">
      <c r="A78" s="16">
        <v>45352.0</v>
      </c>
      <c r="B78" s="16">
        <v>2024.0</v>
      </c>
      <c r="C78" s="16">
        <v>691.0</v>
      </c>
      <c r="D78" s="16">
        <v>27.0</v>
      </c>
      <c r="E78" s="16">
        <v>1105320.0</v>
      </c>
      <c r="F78" s="16">
        <v>1722233.0</v>
      </c>
      <c r="G78" s="16">
        <v>1286765.0</v>
      </c>
      <c r="H78" s="16">
        <v>254223.0</v>
      </c>
      <c r="I78" s="16">
        <v>88426.0</v>
      </c>
      <c r="J78" s="16">
        <v>775005.0</v>
      </c>
      <c r="K78" s="16">
        <v>102941.0</v>
      </c>
      <c r="L78" s="16">
        <v>2652238.0</v>
      </c>
      <c r="M78" s="16">
        <v>1136674.0</v>
      </c>
      <c r="N78" s="16">
        <v>1071621.0</v>
      </c>
      <c r="O78" s="16">
        <v>1606807.0</v>
      </c>
      <c r="P78" s="16">
        <v>312684.0</v>
      </c>
      <c r="Q78" s="16">
        <v>416667.0</v>
      </c>
      <c r="R78" s="16">
        <v>433101.0</v>
      </c>
      <c r="S78" s="16">
        <v>0.0</v>
      </c>
      <c r="T78" s="16">
        <v>1906103.0</v>
      </c>
      <c r="U78" s="16">
        <v>1.1E8</v>
      </c>
      <c r="V78" s="16">
        <v>0.0</v>
      </c>
      <c r="W78" s="16">
        <v>0.0</v>
      </c>
      <c r="X78" s="16">
        <v>3547573.0</v>
      </c>
      <c r="Y78" s="16">
        <v>694549.0</v>
      </c>
      <c r="Z78" s="16">
        <v>1552920.0</v>
      </c>
      <c r="AA78" s="16">
        <v>1955523.0</v>
      </c>
      <c r="AB78" s="16">
        <v>5504340.0</v>
      </c>
      <c r="AC78" s="16">
        <v>4396920.0</v>
      </c>
      <c r="AD78" s="16">
        <v>5000000.0</v>
      </c>
      <c r="AE78" s="16">
        <v>6.2E7</v>
      </c>
      <c r="AF78" s="16">
        <v>1.6981793E8</v>
      </c>
      <c r="AG78" s="16">
        <v>-5955801.0</v>
      </c>
      <c r="AH78" s="16">
        <v>0.0</v>
      </c>
      <c r="AI78" s="16">
        <v>0.0</v>
      </c>
      <c r="AJ78" s="16">
        <v>0.0</v>
      </c>
    </row>
    <row r="79">
      <c r="A79" s="16">
        <v>45383.0</v>
      </c>
      <c r="B79" s="16">
        <v>2024.0</v>
      </c>
      <c r="C79" s="16">
        <v>790.0</v>
      </c>
      <c r="D79" s="16">
        <v>28.0</v>
      </c>
      <c r="E79" s="16">
        <v>1264495.0</v>
      </c>
      <c r="F79" s="16">
        <v>1689858.0</v>
      </c>
      <c r="G79" s="16">
        <v>205882.0</v>
      </c>
      <c r="H79" s="16">
        <v>290833.0</v>
      </c>
      <c r="I79" s="16">
        <v>101160.0</v>
      </c>
      <c r="J79" s="16">
        <v>760436.0</v>
      </c>
      <c r="K79" s="16">
        <v>16471.0</v>
      </c>
      <c r="L79" s="16">
        <v>2602381.0</v>
      </c>
      <c r="M79" s="16">
        <v>1115306.0</v>
      </c>
      <c r="N79" s="16">
        <v>1179512.0</v>
      </c>
      <c r="O79" s="16">
        <v>1609292.0</v>
      </c>
      <c r="P79" s="16">
        <v>318584.0</v>
      </c>
      <c r="Q79" s="16">
        <v>416667.0</v>
      </c>
      <c r="R79" s="16">
        <v>433101.0</v>
      </c>
      <c r="S79" s="16">
        <v>0.0</v>
      </c>
      <c r="T79" s="16">
        <v>788732.0</v>
      </c>
      <c r="U79" s="16">
        <v>0.0</v>
      </c>
      <c r="V79" s="16">
        <v>0.0</v>
      </c>
      <c r="W79" s="16">
        <v>0.0</v>
      </c>
      <c r="X79" s="16">
        <v>3926172.0</v>
      </c>
      <c r="Y79" s="16">
        <v>904266.0</v>
      </c>
      <c r="Z79" s="16">
        <v>1705830.0</v>
      </c>
      <c r="AA79" s="16">
        <v>2128530.0</v>
      </c>
      <c r="AB79" s="16">
        <v>5834246.0</v>
      </c>
      <c r="AC79" s="16">
        <v>4565929.0</v>
      </c>
      <c r="AD79" s="16">
        <v>5000000.0</v>
      </c>
      <c r="AE79" s="16">
        <v>6.2E7</v>
      </c>
      <c r="AF79" s="16">
        <v>1.64011637E8</v>
      </c>
      <c r="AG79" s="16">
        <v>-5806293.0</v>
      </c>
      <c r="AH79" s="16">
        <v>0.0</v>
      </c>
      <c r="AI79" s="16">
        <v>0.0</v>
      </c>
      <c r="AJ79" s="16">
        <v>0.0</v>
      </c>
    </row>
    <row r="80">
      <c r="A80" s="16">
        <v>45413.0</v>
      </c>
      <c r="B80" s="16">
        <v>2024.0</v>
      </c>
      <c r="C80" s="16">
        <v>896.0</v>
      </c>
      <c r="D80" s="16">
        <v>29.0</v>
      </c>
      <c r="E80" s="16">
        <v>1433164.0</v>
      </c>
      <c r="F80" s="16">
        <v>1638837.0</v>
      </c>
      <c r="G80" s="16">
        <v>205882.0</v>
      </c>
      <c r="H80" s="16">
        <v>329628.0</v>
      </c>
      <c r="I80" s="16">
        <v>114653.0</v>
      </c>
      <c r="J80" s="16">
        <v>737477.0</v>
      </c>
      <c r="K80" s="16">
        <v>16471.0</v>
      </c>
      <c r="L80" s="16">
        <v>2523809.0</v>
      </c>
      <c r="M80" s="16">
        <v>1081633.0</v>
      </c>
      <c r="N80" s="16">
        <v>1286002.0</v>
      </c>
      <c r="O80" s="16">
        <v>1597720.0</v>
      </c>
      <c r="P80" s="16">
        <v>324484.0</v>
      </c>
      <c r="Q80" s="16">
        <v>416667.0</v>
      </c>
      <c r="R80" s="16">
        <v>433101.0</v>
      </c>
      <c r="S80" s="16">
        <v>0.0</v>
      </c>
      <c r="T80" s="16">
        <v>798122.0</v>
      </c>
      <c r="U80" s="16">
        <v>0.0</v>
      </c>
      <c r="V80" s="16">
        <v>0.0</v>
      </c>
      <c r="W80" s="16">
        <v>0.0</v>
      </c>
      <c r="X80" s="16">
        <v>4275613.0</v>
      </c>
      <c r="Y80" s="16">
        <v>1103158.0</v>
      </c>
      <c r="Z80" s="16">
        <v>1846460.0</v>
      </c>
      <c r="AA80" s="16">
        <v>2286811.0</v>
      </c>
      <c r="AB80" s="16">
        <v>6128628.0</v>
      </c>
      <c r="AC80" s="16">
        <v>4710127.0</v>
      </c>
      <c r="AD80" s="16">
        <v>5000000.0</v>
      </c>
      <c r="AE80" s="16">
        <v>6.2E7</v>
      </c>
      <c r="AF80" s="16">
        <v>1.58278802E8</v>
      </c>
      <c r="AG80" s="16">
        <v>-5732835.0</v>
      </c>
      <c r="AH80" s="16">
        <v>0.0</v>
      </c>
      <c r="AI80" s="16">
        <v>0.0</v>
      </c>
      <c r="AJ80" s="16">
        <v>0.0</v>
      </c>
    </row>
    <row r="81">
      <c r="A81" s="16">
        <v>45444.0</v>
      </c>
      <c r="B81" s="16">
        <v>2024.0</v>
      </c>
      <c r="C81" s="16">
        <v>1007.0</v>
      </c>
      <c r="D81" s="16">
        <v>30.0</v>
      </c>
      <c r="E81" s="16">
        <v>1611310.0</v>
      </c>
      <c r="F81" s="16">
        <v>1587817.0</v>
      </c>
      <c r="G81" s="16">
        <v>1286765.0</v>
      </c>
      <c r="H81" s="16">
        <v>370601.0</v>
      </c>
      <c r="I81" s="16">
        <v>128905.0</v>
      </c>
      <c r="J81" s="16">
        <v>714518.0</v>
      </c>
      <c r="K81" s="16">
        <v>102941.0</v>
      </c>
      <c r="L81" s="16">
        <v>2445238.0</v>
      </c>
      <c r="M81" s="16">
        <v>1047959.0</v>
      </c>
      <c r="N81" s="16">
        <v>1394689.0</v>
      </c>
      <c r="O81" s="16">
        <v>1578033.0</v>
      </c>
      <c r="P81" s="16">
        <v>330383.0</v>
      </c>
      <c r="Q81" s="16">
        <v>416667.0</v>
      </c>
      <c r="R81" s="16">
        <v>433101.0</v>
      </c>
      <c r="S81" s="16">
        <v>0.0</v>
      </c>
      <c r="T81" s="16">
        <v>807512.0</v>
      </c>
      <c r="U81" s="16">
        <v>0.0</v>
      </c>
      <c r="V81" s="16">
        <v>0.0</v>
      </c>
      <c r="W81" s="16">
        <v>0.0</v>
      </c>
      <c r="X81" s="16">
        <v>4608219.0</v>
      </c>
      <c r="Y81" s="16">
        <v>1295800.0</v>
      </c>
      <c r="Z81" s="16">
        <v>1980000.0</v>
      </c>
      <c r="AA81" s="16">
        <v>2436589.0</v>
      </c>
      <c r="AB81" s="16">
        <v>6402500.0</v>
      </c>
      <c r="AC81" s="16">
        <v>4840000.0</v>
      </c>
      <c r="AD81" s="16">
        <v>5000000.0</v>
      </c>
      <c r="AE81" s="16">
        <v>6.2E7</v>
      </c>
      <c r="AF81" s="16">
        <v>1.53635932E8</v>
      </c>
      <c r="AG81" s="16">
        <v>-4642870.0</v>
      </c>
      <c r="AH81" s="16">
        <v>0.0</v>
      </c>
      <c r="AI81" s="16">
        <v>0.0</v>
      </c>
      <c r="AJ81" s="16">
        <v>0.0</v>
      </c>
    </row>
    <row r="82">
      <c r="A82" s="16">
        <v>45474.0</v>
      </c>
      <c r="B82" s="16">
        <v>2024.0</v>
      </c>
      <c r="C82" s="16">
        <v>1124.0</v>
      </c>
      <c r="D82" s="16">
        <v>31.0</v>
      </c>
      <c r="E82" s="16">
        <v>1798951.0</v>
      </c>
      <c r="F82" s="16">
        <v>1555442.0</v>
      </c>
      <c r="G82" s="16">
        <v>205882.0</v>
      </c>
      <c r="H82" s="16">
        <v>413759.0</v>
      </c>
      <c r="I82" s="16">
        <v>143916.0</v>
      </c>
      <c r="J82" s="16">
        <v>699949.0</v>
      </c>
      <c r="K82" s="16">
        <v>16471.0</v>
      </c>
      <c r="L82" s="16">
        <v>2395381.0</v>
      </c>
      <c r="M82" s="16">
        <v>1026592.0</v>
      </c>
      <c r="N82" s="16">
        <v>1509177.0</v>
      </c>
      <c r="O82" s="16">
        <v>1558345.0</v>
      </c>
      <c r="P82" s="16">
        <v>336283.0</v>
      </c>
      <c r="Q82" s="16">
        <v>416667.0</v>
      </c>
      <c r="R82" s="16">
        <v>433101.0</v>
      </c>
      <c r="S82" s="16">
        <v>0.0</v>
      </c>
      <c r="T82" s="16">
        <v>816901.0</v>
      </c>
      <c r="U82" s="16">
        <v>0.0</v>
      </c>
      <c r="V82" s="16">
        <v>0.0</v>
      </c>
      <c r="W82" s="16">
        <v>0.0</v>
      </c>
      <c r="X82" s="16">
        <v>4940826.0</v>
      </c>
      <c r="Y82" s="16">
        <v>1488442.0</v>
      </c>
      <c r="Z82" s="16">
        <v>2113540.0</v>
      </c>
      <c r="AA82" s="16">
        <v>2586367.0</v>
      </c>
      <c r="AB82" s="16">
        <v>6676372.0</v>
      </c>
      <c r="AC82" s="16">
        <v>4969873.0</v>
      </c>
      <c r="AD82" s="16">
        <v>5000000.0</v>
      </c>
      <c r="AE82" s="16">
        <v>6.2E7</v>
      </c>
      <c r="AF82" s="16">
        <v>1.48077349E8</v>
      </c>
      <c r="AG82" s="16">
        <v>-5558583.0</v>
      </c>
      <c r="AH82" s="16">
        <v>0.0</v>
      </c>
      <c r="AI82" s="16">
        <v>0.0</v>
      </c>
      <c r="AJ82" s="16">
        <v>0.0</v>
      </c>
    </row>
    <row r="83">
      <c r="A83" s="16">
        <v>45505.0</v>
      </c>
      <c r="B83" s="16">
        <v>2024.0</v>
      </c>
      <c r="C83" s="16">
        <v>1248.0</v>
      </c>
      <c r="D83" s="16">
        <v>32.0</v>
      </c>
      <c r="E83" s="16">
        <v>1996106.0</v>
      </c>
      <c r="F83" s="16">
        <v>1555349.0</v>
      </c>
      <c r="G83" s="16">
        <v>205882.0</v>
      </c>
      <c r="H83" s="16">
        <v>459105.0</v>
      </c>
      <c r="I83" s="16">
        <v>159688.0</v>
      </c>
      <c r="J83" s="16">
        <v>699907.0</v>
      </c>
      <c r="K83" s="16">
        <v>16471.0</v>
      </c>
      <c r="L83" s="16">
        <v>2395238.0</v>
      </c>
      <c r="M83" s="16">
        <v>1026531.0</v>
      </c>
      <c r="N83" s="16">
        <v>1632105.0</v>
      </c>
      <c r="O83" s="16">
        <v>1546774.0</v>
      </c>
      <c r="P83" s="16">
        <v>342183.0</v>
      </c>
      <c r="Q83" s="16">
        <v>416667.0</v>
      </c>
      <c r="R83" s="16">
        <v>433101.0</v>
      </c>
      <c r="S83" s="16">
        <v>0.0</v>
      </c>
      <c r="T83" s="16">
        <v>826291.0</v>
      </c>
      <c r="U83" s="16">
        <v>0.0</v>
      </c>
      <c r="V83" s="16">
        <v>0.0</v>
      </c>
      <c r="W83" s="16">
        <v>0.0</v>
      </c>
      <c r="X83" s="16">
        <v>5290267.0</v>
      </c>
      <c r="Y83" s="16">
        <v>1687334.0</v>
      </c>
      <c r="Z83" s="16">
        <v>2254170.0</v>
      </c>
      <c r="AA83" s="16">
        <v>2744648.0</v>
      </c>
      <c r="AB83" s="16">
        <v>6970754.0</v>
      </c>
      <c r="AC83" s="16">
        <v>5114071.0</v>
      </c>
      <c r="AD83" s="16">
        <v>5000000.0</v>
      </c>
      <c r="AE83" s="16">
        <v>6.2E7</v>
      </c>
      <c r="AF83" s="16">
        <v>1.42547373E8</v>
      </c>
      <c r="AG83" s="16">
        <v>-5529976.0</v>
      </c>
      <c r="AH83" s="16">
        <v>0.0</v>
      </c>
      <c r="AI83" s="16">
        <v>0.0</v>
      </c>
      <c r="AJ83" s="16">
        <v>0.0</v>
      </c>
    </row>
    <row r="84">
      <c r="A84" s="16">
        <v>45536.0</v>
      </c>
      <c r="B84" s="16">
        <v>2024.0</v>
      </c>
      <c r="C84" s="16">
        <v>1377.0</v>
      </c>
      <c r="D84" s="16">
        <v>33.0</v>
      </c>
      <c r="E84" s="16">
        <v>2202756.0</v>
      </c>
      <c r="F84" s="16">
        <v>1592548.0</v>
      </c>
      <c r="G84" s="16">
        <v>1286765.0</v>
      </c>
      <c r="H84" s="16">
        <v>506635.0</v>
      </c>
      <c r="I84" s="16">
        <v>176220.0</v>
      </c>
      <c r="J84" s="16">
        <v>716647.0</v>
      </c>
      <c r="K84" s="16">
        <v>102941.0</v>
      </c>
      <c r="L84" s="16">
        <v>2452524.0</v>
      </c>
      <c r="M84" s="16">
        <v>1051081.0</v>
      </c>
      <c r="N84" s="16">
        <v>1764436.0</v>
      </c>
      <c r="O84" s="16">
        <v>1549259.0</v>
      </c>
      <c r="P84" s="16">
        <v>348083.0</v>
      </c>
      <c r="Q84" s="16">
        <v>416667.0</v>
      </c>
      <c r="R84" s="16">
        <v>398173.0</v>
      </c>
      <c r="S84" s="16">
        <v>0.0</v>
      </c>
      <c r="T84" s="16">
        <v>1962441.0</v>
      </c>
      <c r="U84" s="16">
        <v>0.0</v>
      </c>
      <c r="V84" s="16">
        <v>0.0</v>
      </c>
      <c r="W84" s="16">
        <v>5000000.0</v>
      </c>
      <c r="X84" s="16">
        <v>5668866.0</v>
      </c>
      <c r="Y84" s="16">
        <v>1897051.0</v>
      </c>
      <c r="Z84" s="16">
        <v>2407080.0</v>
      </c>
      <c r="AA84" s="16">
        <v>2917655.0</v>
      </c>
      <c r="AB84" s="16">
        <v>7300660.0</v>
      </c>
      <c r="AC84" s="16">
        <v>5283080.0</v>
      </c>
      <c r="AD84" s="16">
        <v>0.0</v>
      </c>
      <c r="AE84" s="16">
        <v>5.7E7</v>
      </c>
      <c r="AF84" s="16">
        <v>1.31879781E8</v>
      </c>
      <c r="AG84" s="16">
        <v>-1.0667592E7</v>
      </c>
      <c r="AH84" s="16">
        <v>0.0</v>
      </c>
      <c r="AI84" s="16">
        <v>0.0</v>
      </c>
      <c r="AJ84" s="16">
        <v>0.0</v>
      </c>
    </row>
    <row r="85">
      <c r="A85" s="16">
        <v>45566.0</v>
      </c>
      <c r="B85" s="16">
        <v>2024.0</v>
      </c>
      <c r="C85" s="16">
        <v>1678.0</v>
      </c>
      <c r="D85" s="16">
        <v>34.0</v>
      </c>
      <c r="E85" s="16">
        <v>2684960.0</v>
      </c>
      <c r="F85" s="16">
        <v>1662028.0</v>
      </c>
      <c r="G85" s="16">
        <v>205882.0</v>
      </c>
      <c r="H85" s="16">
        <v>617541.0</v>
      </c>
      <c r="I85" s="16">
        <v>214797.0</v>
      </c>
      <c r="J85" s="16">
        <v>747913.0</v>
      </c>
      <c r="K85" s="16">
        <v>16471.0</v>
      </c>
      <c r="L85" s="16">
        <v>2559524.0</v>
      </c>
      <c r="M85" s="16">
        <v>1096939.0</v>
      </c>
      <c r="N85" s="16">
        <v>1966863.0</v>
      </c>
      <c r="O85" s="16">
        <v>1567976.0</v>
      </c>
      <c r="P85" s="16">
        <v>353982.0</v>
      </c>
      <c r="Q85" s="16">
        <v>416667.0</v>
      </c>
      <c r="R85" s="16">
        <v>398173.0</v>
      </c>
      <c r="S85" s="16">
        <v>0.0</v>
      </c>
      <c r="T85" s="16">
        <v>845070.0</v>
      </c>
      <c r="U85" s="16">
        <v>0.0</v>
      </c>
      <c r="V85" s="16">
        <v>0.0</v>
      </c>
      <c r="W85" s="16">
        <v>0.0</v>
      </c>
      <c r="X85" s="16">
        <v>6081134.0</v>
      </c>
      <c r="Y85" s="16">
        <v>2119268.0</v>
      </c>
      <c r="Z85" s="16">
        <v>2574170.0</v>
      </c>
      <c r="AA85" s="16">
        <v>3107666.0</v>
      </c>
      <c r="AB85" s="16">
        <v>7671587.0</v>
      </c>
      <c r="AC85" s="16">
        <v>5480738.0</v>
      </c>
      <c r="AD85" s="16">
        <v>0.0</v>
      </c>
      <c r="AE85" s="16">
        <v>5.7E7</v>
      </c>
      <c r="AF85" s="16">
        <v>1.26358405E8</v>
      </c>
      <c r="AG85" s="16">
        <v>-5521376.0</v>
      </c>
      <c r="AH85" s="16">
        <v>0.0</v>
      </c>
      <c r="AI85" s="16">
        <v>0.0</v>
      </c>
      <c r="AJ85" s="16">
        <v>0.0</v>
      </c>
    </row>
    <row r="86">
      <c r="A86" s="16">
        <v>45597.0</v>
      </c>
      <c r="B86" s="16">
        <v>2024.0</v>
      </c>
      <c r="C86" s="16">
        <v>1835.0</v>
      </c>
      <c r="D86" s="16">
        <v>35.0</v>
      </c>
      <c r="E86" s="16">
        <v>2935404.0</v>
      </c>
      <c r="F86" s="16">
        <v>1750155.0</v>
      </c>
      <c r="G86" s="16">
        <v>205882.0</v>
      </c>
      <c r="H86" s="16">
        <v>675143.0</v>
      </c>
      <c r="I86" s="16">
        <v>234832.0</v>
      </c>
      <c r="J86" s="16">
        <v>787570.0</v>
      </c>
      <c r="K86" s="16">
        <v>16471.0</v>
      </c>
      <c r="L86" s="16">
        <v>2695238.0</v>
      </c>
      <c r="M86" s="16">
        <v>1155102.0</v>
      </c>
      <c r="N86" s="16">
        <v>2119179.0</v>
      </c>
      <c r="O86" s="16">
        <v>1600749.0</v>
      </c>
      <c r="P86" s="16">
        <v>359882.0</v>
      </c>
      <c r="Q86" s="16">
        <v>416667.0</v>
      </c>
      <c r="R86" s="16">
        <v>398173.0</v>
      </c>
      <c r="S86" s="16">
        <v>0.0</v>
      </c>
      <c r="T86" s="16">
        <v>854460.0</v>
      </c>
      <c r="U86" s="16">
        <v>0.0</v>
      </c>
      <c r="V86" s="16">
        <v>0.0</v>
      </c>
      <c r="W86" s="16">
        <v>0.0</v>
      </c>
      <c r="X86" s="16">
        <v>6522561.0</v>
      </c>
      <c r="Y86" s="16">
        <v>2352309.0</v>
      </c>
      <c r="Z86" s="16">
        <v>2753540.0</v>
      </c>
      <c r="AA86" s="16">
        <v>3312404.0</v>
      </c>
      <c r="AB86" s="16">
        <v>8078038.0</v>
      </c>
      <c r="AC86" s="16">
        <v>5703207.0</v>
      </c>
      <c r="AD86" s="16">
        <v>0.0</v>
      </c>
      <c r="AE86" s="16">
        <v>5.7E7</v>
      </c>
      <c r="AF86" s="16">
        <v>1.20692749E8</v>
      </c>
      <c r="AG86" s="16">
        <v>-5665656.0</v>
      </c>
      <c r="AH86" s="16">
        <v>0.0</v>
      </c>
      <c r="AI86" s="16">
        <v>0.0</v>
      </c>
      <c r="AJ86" s="16">
        <v>0.0</v>
      </c>
    </row>
    <row r="87">
      <c r="A87" s="16">
        <v>45627.0</v>
      </c>
      <c r="B87" s="16">
        <v>2024.0</v>
      </c>
      <c r="C87" s="16">
        <v>1998.0</v>
      </c>
      <c r="D87" s="16">
        <v>36.0</v>
      </c>
      <c r="E87" s="16">
        <v>3196398.0</v>
      </c>
      <c r="F87" s="16">
        <v>1838281.0</v>
      </c>
      <c r="G87" s="16">
        <v>1492649.0</v>
      </c>
      <c r="H87" s="16">
        <v>735170.0</v>
      </c>
      <c r="I87" s="16">
        <v>255712.0</v>
      </c>
      <c r="J87" s="16">
        <v>827225.0</v>
      </c>
      <c r="K87" s="16">
        <v>119409.0</v>
      </c>
      <c r="L87" s="16">
        <v>2830952.0</v>
      </c>
      <c r="M87" s="16">
        <v>1213265.0</v>
      </c>
      <c r="N87" s="16">
        <v>2273941.0</v>
      </c>
      <c r="O87" s="16">
        <v>1641639.0</v>
      </c>
      <c r="P87" s="16">
        <v>365782.0</v>
      </c>
      <c r="Q87" s="16">
        <v>416663.0</v>
      </c>
      <c r="R87" s="16">
        <v>398173.0</v>
      </c>
      <c r="S87" s="16">
        <v>0.0</v>
      </c>
      <c r="T87" s="16">
        <v>863852.0</v>
      </c>
      <c r="U87" s="16">
        <v>0.0</v>
      </c>
      <c r="V87" s="16">
        <v>0.0</v>
      </c>
      <c r="W87" s="16">
        <v>0.0</v>
      </c>
      <c r="X87" s="16">
        <v>6980822.0</v>
      </c>
      <c r="Y87" s="16">
        <v>2591600.0</v>
      </c>
      <c r="Z87" s="16">
        <v>2940000.0</v>
      </c>
      <c r="AA87" s="16">
        <v>3525644.0</v>
      </c>
      <c r="AB87" s="16">
        <v>8505000.0</v>
      </c>
      <c r="AC87" s="16">
        <v>5940000.0</v>
      </c>
      <c r="AD87" s="16">
        <v>0.0</v>
      </c>
      <c r="AE87" s="16">
        <v>5.7E7</v>
      </c>
      <c r="AF87" s="16">
        <v>1.16053722E8</v>
      </c>
      <c r="AG87" s="16">
        <v>-4639027.0</v>
      </c>
      <c r="AH87" s="16">
        <v>0.0</v>
      </c>
      <c r="AI87" s="16">
        <v>0.0</v>
      </c>
      <c r="AJ87" s="16">
        <v>0.0</v>
      </c>
    </row>
    <row r="88">
      <c r="A88" s="16">
        <v>45658.0</v>
      </c>
      <c r="B88" s="16">
        <v>2025.0</v>
      </c>
      <c r="C88" s="16">
        <v>2740.0</v>
      </c>
      <c r="D88" s="16">
        <v>38.0</v>
      </c>
      <c r="E88" s="16">
        <v>4110189.0</v>
      </c>
      <c r="F88" s="16">
        <v>1853639.0</v>
      </c>
      <c r="G88" s="16">
        <v>205882.0</v>
      </c>
      <c r="H88" s="16">
        <v>904242.0</v>
      </c>
      <c r="I88" s="16">
        <v>328815.0</v>
      </c>
      <c r="J88" s="16">
        <v>797065.0</v>
      </c>
      <c r="K88" s="16">
        <v>16471.0</v>
      </c>
      <c r="L88" s="16">
        <v>3774684.0</v>
      </c>
      <c r="M88" s="16">
        <v>2123260.0</v>
      </c>
      <c r="N88" s="16">
        <v>2081003.0</v>
      </c>
      <c r="O88" s="16">
        <v>2292045.0</v>
      </c>
      <c r="P88" s="16">
        <v>526549.0</v>
      </c>
      <c r="Q88" s="16">
        <v>583333.0</v>
      </c>
      <c r="R88" s="16">
        <v>357342.0</v>
      </c>
      <c r="S88" s="16">
        <v>0.0</v>
      </c>
      <c r="T88" s="16">
        <v>1014085.0</v>
      </c>
      <c r="U88" s="16">
        <v>0.0</v>
      </c>
      <c r="V88" s="16">
        <v>0.0</v>
      </c>
      <c r="W88" s="16">
        <v>0.0</v>
      </c>
      <c r="X88" s="16">
        <v>7730711.0</v>
      </c>
      <c r="Y88" s="16">
        <v>2951793.0</v>
      </c>
      <c r="Z88" s="16">
        <v>3215760.0</v>
      </c>
      <c r="AA88" s="16">
        <v>3802779.0</v>
      </c>
      <c r="AB88" s="16">
        <v>9157243.0</v>
      </c>
      <c r="AC88" s="16">
        <v>6087640.0</v>
      </c>
      <c r="AD88" s="16">
        <v>0.0</v>
      </c>
      <c r="AE88" s="16">
        <v>5.7E7</v>
      </c>
      <c r="AF88" s="16">
        <v>1.08225596E8</v>
      </c>
      <c r="AG88" s="16">
        <v>-7828126.0</v>
      </c>
      <c r="AH88" s="16">
        <v>0.0</v>
      </c>
      <c r="AI88" s="16">
        <v>0.0</v>
      </c>
      <c r="AJ88" s="16">
        <v>0.0</v>
      </c>
    </row>
    <row r="89">
      <c r="A89" s="16">
        <v>45689.0</v>
      </c>
      <c r="B89" s="16">
        <v>2025.0</v>
      </c>
      <c r="C89" s="16">
        <v>2878.0</v>
      </c>
      <c r="D89" s="16">
        <v>40.0</v>
      </c>
      <c r="E89" s="16">
        <v>4316847.0</v>
      </c>
      <c r="F89" s="16">
        <v>1894558.0</v>
      </c>
      <c r="G89" s="16">
        <v>205882.0</v>
      </c>
      <c r="H89" s="16">
        <v>949706.0</v>
      </c>
      <c r="I89" s="16">
        <v>345348.0</v>
      </c>
      <c r="J89" s="16">
        <v>814660.0</v>
      </c>
      <c r="K89" s="16">
        <v>16471.0</v>
      </c>
      <c r="L89" s="16">
        <v>3858009.0</v>
      </c>
      <c r="M89" s="16">
        <v>2170130.0</v>
      </c>
      <c r="N89" s="16">
        <v>2249945.0</v>
      </c>
      <c r="O89" s="16">
        <v>2340343.0</v>
      </c>
      <c r="P89" s="16">
        <v>536873.0</v>
      </c>
      <c r="Q89" s="16">
        <v>583333.0</v>
      </c>
      <c r="R89" s="16">
        <v>357342.0</v>
      </c>
      <c r="S89" s="16">
        <v>0.0</v>
      </c>
      <c r="T89" s="16">
        <v>1026604.0</v>
      </c>
      <c r="U89" s="16">
        <v>0.0</v>
      </c>
      <c r="V89" s="16">
        <v>0.0</v>
      </c>
      <c r="W89" s="16">
        <v>0.0</v>
      </c>
      <c r="X89" s="16">
        <v>8445820.0</v>
      </c>
      <c r="Y89" s="16">
        <v>3296939.0</v>
      </c>
      <c r="Z89" s="16">
        <v>3477919.0</v>
      </c>
      <c r="AA89" s="16">
        <v>4065002.0</v>
      </c>
      <c r="AB89" s="16">
        <v>9773941.0</v>
      </c>
      <c r="AC89" s="16">
        <v>6218496.0</v>
      </c>
      <c r="AD89" s="16">
        <v>0.0</v>
      </c>
      <c r="AE89" s="16">
        <v>5.7E7</v>
      </c>
      <c r="AF89" s="16">
        <v>1.00201688E8</v>
      </c>
      <c r="AG89" s="16">
        <v>-8023908.0</v>
      </c>
      <c r="AH89" s="16">
        <v>0.0</v>
      </c>
      <c r="AI89" s="16">
        <v>0.0</v>
      </c>
      <c r="AJ89" s="16">
        <v>0.0</v>
      </c>
    </row>
    <row r="90">
      <c r="A90" s="16">
        <v>45717.0</v>
      </c>
      <c r="B90" s="16">
        <v>2025.0</v>
      </c>
      <c r="C90" s="16">
        <v>3016.0</v>
      </c>
      <c r="D90" s="16">
        <v>42.0</v>
      </c>
      <c r="E90" s="16">
        <v>4523504.0</v>
      </c>
      <c r="F90" s="16">
        <v>1894456.0</v>
      </c>
      <c r="G90" s="16">
        <v>1286765.0</v>
      </c>
      <c r="H90" s="16">
        <v>995171.0</v>
      </c>
      <c r="I90" s="16">
        <v>361880.0</v>
      </c>
      <c r="J90" s="16">
        <v>814616.0</v>
      </c>
      <c r="K90" s="16">
        <v>102941.0</v>
      </c>
      <c r="L90" s="16">
        <v>3857801.0</v>
      </c>
      <c r="M90" s="16">
        <v>2170013.0</v>
      </c>
      <c r="N90" s="16">
        <v>2408827.0</v>
      </c>
      <c r="O90" s="16">
        <v>2367926.0</v>
      </c>
      <c r="P90" s="16">
        <v>547198.0</v>
      </c>
      <c r="Q90" s="16">
        <v>583333.0</v>
      </c>
      <c r="R90" s="16">
        <v>357342.0</v>
      </c>
      <c r="S90" s="16">
        <v>0.0</v>
      </c>
      <c r="T90" s="16">
        <v>2541471.0</v>
      </c>
      <c r="U90" s="16">
        <v>0.0</v>
      </c>
      <c r="V90" s="16">
        <v>0.0</v>
      </c>
      <c r="W90" s="16">
        <v>0.0</v>
      </c>
      <c r="X90" s="16">
        <v>9100690.0</v>
      </c>
      <c r="Y90" s="16">
        <v>3616020.0</v>
      </c>
      <c r="Z90" s="16">
        <v>3716520.0</v>
      </c>
      <c r="AA90" s="16">
        <v>4301398.0</v>
      </c>
      <c r="AB90" s="16">
        <v>1.032907E7</v>
      </c>
      <c r="AC90" s="16">
        <v>6320280.0</v>
      </c>
      <c r="AD90" s="16">
        <v>0.0</v>
      </c>
      <c r="AE90" s="16">
        <v>5.7E7</v>
      </c>
      <c r="AF90" s="16">
        <v>9.1609182E7</v>
      </c>
      <c r="AG90" s="16">
        <v>-8592506.0</v>
      </c>
      <c r="AH90" s="16">
        <v>0.0</v>
      </c>
      <c r="AI90" s="16">
        <v>0.0</v>
      </c>
      <c r="AJ90" s="16">
        <v>0.0</v>
      </c>
    </row>
    <row r="91">
      <c r="A91" s="16">
        <v>45748.0</v>
      </c>
      <c r="B91" s="16">
        <v>2025.0</v>
      </c>
      <c r="C91" s="16">
        <v>3153.0</v>
      </c>
      <c r="D91" s="16">
        <v>43.0</v>
      </c>
      <c r="E91" s="16">
        <v>4730162.0</v>
      </c>
      <c r="F91" s="16">
        <v>1858844.0</v>
      </c>
      <c r="G91" s="16">
        <v>205882.0</v>
      </c>
      <c r="H91" s="16">
        <v>1040636.0</v>
      </c>
      <c r="I91" s="16">
        <v>378413.0</v>
      </c>
      <c r="J91" s="16">
        <v>799303.0</v>
      </c>
      <c r="K91" s="16">
        <v>16471.0</v>
      </c>
      <c r="L91" s="16">
        <v>3785281.0</v>
      </c>
      <c r="M91" s="16">
        <v>2129221.0</v>
      </c>
      <c r="N91" s="16">
        <v>2559001.0</v>
      </c>
      <c r="O91" s="16">
        <v>2371588.0</v>
      </c>
      <c r="P91" s="16">
        <v>557522.0</v>
      </c>
      <c r="Q91" s="16">
        <v>583333.0</v>
      </c>
      <c r="R91" s="16">
        <v>608108.0</v>
      </c>
      <c r="S91" s="16">
        <v>0.0</v>
      </c>
      <c r="T91" s="16">
        <v>1051643.0</v>
      </c>
      <c r="U91" s="16">
        <v>0.0</v>
      </c>
      <c r="V91" s="16">
        <v>4.0E7</v>
      </c>
      <c r="W91" s="16">
        <v>0.0</v>
      </c>
      <c r="X91" s="16">
        <v>9686003.0</v>
      </c>
      <c r="Y91" s="16">
        <v>3905005.0</v>
      </c>
      <c r="Z91" s="16">
        <v>3927919.0</v>
      </c>
      <c r="AA91" s="16">
        <v>4507970.0</v>
      </c>
      <c r="AB91" s="16">
        <v>1.0813107E7</v>
      </c>
      <c r="AC91" s="16">
        <v>6388496.0</v>
      </c>
      <c r="AD91" s="16">
        <v>0.0</v>
      </c>
      <c r="AE91" s="16">
        <v>9.7E7</v>
      </c>
      <c r="AF91" s="16">
        <v>1.23337533E8</v>
      </c>
      <c r="AG91" s="16">
        <v>3.1728351E7</v>
      </c>
      <c r="AH91" s="16">
        <v>0.0</v>
      </c>
      <c r="AI91" s="16">
        <v>0.0</v>
      </c>
      <c r="AJ91" s="16">
        <v>0.0</v>
      </c>
    </row>
    <row r="92">
      <c r="A92" s="16">
        <v>45778.0</v>
      </c>
      <c r="B92" s="16">
        <v>2025.0</v>
      </c>
      <c r="C92" s="16">
        <v>3291.0</v>
      </c>
      <c r="D92" s="16">
        <v>45.0</v>
      </c>
      <c r="E92" s="16">
        <v>4936819.0</v>
      </c>
      <c r="F92" s="16">
        <v>1802721.0</v>
      </c>
      <c r="G92" s="16">
        <v>205882.0</v>
      </c>
      <c r="H92" s="16">
        <v>1086100.0</v>
      </c>
      <c r="I92" s="16">
        <v>394946.0</v>
      </c>
      <c r="J92" s="16">
        <v>775170.0</v>
      </c>
      <c r="K92" s="16">
        <v>16471.0</v>
      </c>
      <c r="L92" s="16">
        <v>3670996.0</v>
      </c>
      <c r="M92" s="16">
        <v>2064935.0</v>
      </c>
      <c r="N92" s="16">
        <v>2704145.0</v>
      </c>
      <c r="O92" s="16">
        <v>2354535.0</v>
      </c>
      <c r="P92" s="16">
        <v>567847.0</v>
      </c>
      <c r="Q92" s="16">
        <v>583333.0</v>
      </c>
      <c r="R92" s="16">
        <v>608108.0</v>
      </c>
      <c r="S92" s="16">
        <v>0.0</v>
      </c>
      <c r="T92" s="16">
        <v>1064163.0</v>
      </c>
      <c r="U92" s="16">
        <v>0.0</v>
      </c>
      <c r="V92" s="16">
        <v>0.0</v>
      </c>
      <c r="W92" s="16">
        <v>0.0</v>
      </c>
      <c r="X92" s="16">
        <v>1.0211076E7</v>
      </c>
      <c r="Y92" s="16">
        <v>4167927.0</v>
      </c>
      <c r="Z92" s="16">
        <v>4115760.0</v>
      </c>
      <c r="AA92" s="16">
        <v>4688715.0</v>
      </c>
      <c r="AB92" s="16">
        <v>1.1235577E7</v>
      </c>
      <c r="AC92" s="16">
        <v>6427640.0</v>
      </c>
      <c r="AD92" s="16">
        <v>0.0</v>
      </c>
      <c r="AE92" s="16">
        <v>9.7E7</v>
      </c>
      <c r="AF92" s="16">
        <v>1.15209909E8</v>
      </c>
      <c r="AG92" s="16">
        <v>-8127624.0</v>
      </c>
      <c r="AH92" s="16">
        <v>0.0</v>
      </c>
      <c r="AI92" s="16">
        <v>0.0</v>
      </c>
      <c r="AJ92" s="16">
        <v>0.0</v>
      </c>
    </row>
    <row r="93">
      <c r="A93" s="16">
        <v>45809.0</v>
      </c>
      <c r="B93" s="16">
        <v>2025.0</v>
      </c>
      <c r="C93" s="16">
        <v>3429.0</v>
      </c>
      <c r="D93" s="16">
        <v>47.0</v>
      </c>
      <c r="E93" s="16">
        <v>5143477.0</v>
      </c>
      <c r="F93" s="16">
        <v>1746599.0</v>
      </c>
      <c r="G93" s="16">
        <v>1286765.0</v>
      </c>
      <c r="H93" s="16">
        <v>1131565.0</v>
      </c>
      <c r="I93" s="16">
        <v>411478.0</v>
      </c>
      <c r="J93" s="16">
        <v>751037.0</v>
      </c>
      <c r="K93" s="16">
        <v>102941.0</v>
      </c>
      <c r="L93" s="16">
        <v>3556710.0</v>
      </c>
      <c r="M93" s="16">
        <v>2000649.0</v>
      </c>
      <c r="N93" s="16">
        <v>2849290.0</v>
      </c>
      <c r="O93" s="16">
        <v>2325522.0</v>
      </c>
      <c r="P93" s="16">
        <v>578171.0</v>
      </c>
      <c r="Q93" s="16">
        <v>583333.0</v>
      </c>
      <c r="R93" s="16">
        <v>608108.0</v>
      </c>
      <c r="S93" s="16">
        <v>0.0</v>
      </c>
      <c r="T93" s="16">
        <v>1076682.0</v>
      </c>
      <c r="U93" s="16">
        <v>0.0</v>
      </c>
      <c r="V93" s="16">
        <v>0.0</v>
      </c>
      <c r="W93" s="16">
        <v>0.0</v>
      </c>
      <c r="X93" s="16">
        <v>1.070137E7</v>
      </c>
      <c r="Y93" s="16">
        <v>4415800.0</v>
      </c>
      <c r="Z93" s="16">
        <v>4290000.0</v>
      </c>
      <c r="AA93" s="16">
        <v>4854548.0</v>
      </c>
      <c r="AB93" s="16">
        <v>1.16225E7</v>
      </c>
      <c r="AC93" s="16">
        <v>6450000.0</v>
      </c>
      <c r="AD93" s="16">
        <v>0.0</v>
      </c>
      <c r="AE93" s="16">
        <v>9.7E7</v>
      </c>
      <c r="AF93" s="16">
        <v>1.08235477E8</v>
      </c>
      <c r="AG93" s="16">
        <v>-6974432.0</v>
      </c>
      <c r="AH93" s="16">
        <v>0.0</v>
      </c>
      <c r="AI93" s="16">
        <v>0.0</v>
      </c>
      <c r="AJ93" s="16">
        <v>0.0</v>
      </c>
    </row>
    <row r="94">
      <c r="A94" s="16">
        <v>45839.0</v>
      </c>
      <c r="B94" s="16">
        <v>2025.0</v>
      </c>
      <c r="C94" s="16">
        <v>3567.0</v>
      </c>
      <c r="D94" s="16">
        <v>49.0</v>
      </c>
      <c r="E94" s="16">
        <v>5350134.0</v>
      </c>
      <c r="F94" s="16">
        <v>1710986.0</v>
      </c>
      <c r="G94" s="16">
        <v>205882.0</v>
      </c>
      <c r="H94" s="16">
        <v>1177029.0</v>
      </c>
      <c r="I94" s="16">
        <v>428011.0</v>
      </c>
      <c r="J94" s="16">
        <v>735724.0</v>
      </c>
      <c r="K94" s="16">
        <v>16471.0</v>
      </c>
      <c r="L94" s="16">
        <v>3484191.0</v>
      </c>
      <c r="M94" s="16">
        <v>1959857.0</v>
      </c>
      <c r="N94" s="16">
        <v>2999464.0</v>
      </c>
      <c r="O94" s="16">
        <v>2296509.0</v>
      </c>
      <c r="P94" s="16">
        <v>588496.0</v>
      </c>
      <c r="Q94" s="16">
        <v>583333.0</v>
      </c>
      <c r="R94" s="16">
        <v>608108.0</v>
      </c>
      <c r="S94" s="16">
        <v>0.0</v>
      </c>
      <c r="T94" s="16">
        <v>1089202.0</v>
      </c>
      <c r="U94" s="16">
        <v>0.0</v>
      </c>
      <c r="V94" s="16">
        <v>0.0</v>
      </c>
      <c r="W94" s="16">
        <v>0.0</v>
      </c>
      <c r="X94" s="16">
        <v>1.1191664E7</v>
      </c>
      <c r="Y94" s="16">
        <v>4663673.0</v>
      </c>
      <c r="Z94" s="16">
        <v>4464240.0</v>
      </c>
      <c r="AA94" s="16">
        <v>5020381.0</v>
      </c>
      <c r="AB94" s="16">
        <v>1.2009423E7</v>
      </c>
      <c r="AC94" s="16">
        <v>6472360.0</v>
      </c>
      <c r="AD94" s="16">
        <v>0.0</v>
      </c>
      <c r="AE94" s="16">
        <v>9.7E7</v>
      </c>
      <c r="AF94" s="16">
        <v>1.00370622E8</v>
      </c>
      <c r="AG94" s="16">
        <v>-7864855.0</v>
      </c>
      <c r="AH94" s="16">
        <v>0.0</v>
      </c>
      <c r="AI94" s="16">
        <v>0.0</v>
      </c>
      <c r="AJ94" s="16">
        <v>0.0</v>
      </c>
    </row>
    <row r="95">
      <c r="A95" s="16">
        <v>45870.0</v>
      </c>
      <c r="B95" s="16">
        <v>2025.0</v>
      </c>
      <c r="C95" s="16">
        <v>3705.0</v>
      </c>
      <c r="D95" s="16">
        <v>51.0</v>
      </c>
      <c r="E95" s="16">
        <v>5556792.0</v>
      </c>
      <c r="F95" s="16">
        <v>1710884.0</v>
      </c>
      <c r="G95" s="16">
        <v>205882.0</v>
      </c>
      <c r="H95" s="16">
        <v>1222495.0</v>
      </c>
      <c r="I95" s="16">
        <v>444543.0</v>
      </c>
      <c r="J95" s="16">
        <v>735680.0</v>
      </c>
      <c r="K95" s="16">
        <v>16471.0</v>
      </c>
      <c r="L95" s="16">
        <v>3483983.0</v>
      </c>
      <c r="M95" s="16">
        <v>1959740.0</v>
      </c>
      <c r="N95" s="16">
        <v>3158346.0</v>
      </c>
      <c r="O95" s="16">
        <v>2279456.0</v>
      </c>
      <c r="P95" s="16">
        <v>598820.0</v>
      </c>
      <c r="Q95" s="16">
        <v>583333.0</v>
      </c>
      <c r="R95" s="16">
        <v>608108.0</v>
      </c>
      <c r="S95" s="16">
        <v>0.0</v>
      </c>
      <c r="T95" s="16">
        <v>1101721.0</v>
      </c>
      <c r="U95" s="16">
        <v>0.0</v>
      </c>
      <c r="V95" s="16">
        <v>0.0</v>
      </c>
      <c r="W95" s="16">
        <v>0.0</v>
      </c>
      <c r="X95" s="16">
        <v>1.1716737E7</v>
      </c>
      <c r="Y95" s="16">
        <v>4926595.0</v>
      </c>
      <c r="Z95" s="16">
        <v>4652081.0</v>
      </c>
      <c r="AA95" s="16">
        <v>5201126.0</v>
      </c>
      <c r="AB95" s="16">
        <v>1.2431893E7</v>
      </c>
      <c r="AC95" s="16">
        <v>6511504.0</v>
      </c>
      <c r="AD95" s="16">
        <v>0.0</v>
      </c>
      <c r="AE95" s="16">
        <v>9.7E7</v>
      </c>
      <c r="AF95" s="16">
        <v>9.250016E7</v>
      </c>
      <c r="AG95" s="16">
        <v>-7870462.0</v>
      </c>
      <c r="AH95" s="16">
        <v>0.0</v>
      </c>
      <c r="AI95" s="16">
        <v>0.0</v>
      </c>
      <c r="AJ95" s="16">
        <v>0.0</v>
      </c>
    </row>
    <row r="96">
      <c r="A96" s="16">
        <v>45901.0</v>
      </c>
      <c r="B96" s="16">
        <v>2025.0</v>
      </c>
      <c r="C96" s="16">
        <v>3842.0</v>
      </c>
      <c r="D96" s="16">
        <v>53.0</v>
      </c>
      <c r="E96" s="16">
        <v>5763450.0</v>
      </c>
      <c r="F96" s="16">
        <v>1751803.0</v>
      </c>
      <c r="G96" s="16">
        <v>1286765.0</v>
      </c>
      <c r="H96" s="16">
        <v>1267959.0</v>
      </c>
      <c r="I96" s="16">
        <v>461076.0</v>
      </c>
      <c r="J96" s="16">
        <v>753275.0</v>
      </c>
      <c r="K96" s="16">
        <v>102941.0</v>
      </c>
      <c r="L96" s="16">
        <v>3567308.0</v>
      </c>
      <c r="M96" s="16">
        <v>2006610.0</v>
      </c>
      <c r="N96" s="16">
        <v>3327288.0</v>
      </c>
      <c r="O96" s="16">
        <v>2283118.0</v>
      </c>
      <c r="P96" s="16">
        <v>609145.0</v>
      </c>
      <c r="Q96" s="16">
        <v>583333.0</v>
      </c>
      <c r="R96" s="16">
        <v>608108.0</v>
      </c>
      <c r="S96" s="16">
        <v>0.0</v>
      </c>
      <c r="T96" s="16">
        <v>2616588.0</v>
      </c>
      <c r="U96" s="16">
        <v>0.0</v>
      </c>
      <c r="V96" s="16">
        <v>0.0</v>
      </c>
      <c r="W96" s="16">
        <v>0.0</v>
      </c>
      <c r="X96" s="16">
        <v>1.2302049E7</v>
      </c>
      <c r="Y96" s="16">
        <v>5215580.0</v>
      </c>
      <c r="Z96" s="16">
        <v>4863480.0</v>
      </c>
      <c r="AA96" s="16">
        <v>5407698.0</v>
      </c>
      <c r="AB96" s="16">
        <v>1.291593E7</v>
      </c>
      <c r="AC96" s="16">
        <v>6579720.0</v>
      </c>
      <c r="AD96" s="16">
        <v>0.0</v>
      </c>
      <c r="AE96" s="16">
        <v>9.7E7</v>
      </c>
      <c r="AF96" s="16">
        <v>8.3981036E7</v>
      </c>
      <c r="AG96" s="16">
        <v>-8519124.0</v>
      </c>
      <c r="AH96" s="16">
        <v>0.0</v>
      </c>
      <c r="AI96" s="16">
        <v>0.0</v>
      </c>
      <c r="AJ96" s="16">
        <v>0.0</v>
      </c>
    </row>
    <row r="97">
      <c r="A97" s="16">
        <v>45931.0</v>
      </c>
      <c r="B97" s="16">
        <v>2025.0</v>
      </c>
      <c r="C97" s="16">
        <v>4418.0</v>
      </c>
      <c r="D97" s="16">
        <v>54.0</v>
      </c>
      <c r="E97" s="16">
        <v>6626819.0</v>
      </c>
      <c r="F97" s="16">
        <v>1828231.0</v>
      </c>
      <c r="G97" s="16">
        <v>205882.0</v>
      </c>
      <c r="H97" s="16">
        <v>1457900.0</v>
      </c>
      <c r="I97" s="16">
        <v>530146.0</v>
      </c>
      <c r="J97" s="16">
        <v>786139.0</v>
      </c>
      <c r="K97" s="16">
        <v>16471.0</v>
      </c>
      <c r="L97" s="16">
        <v>3722944.0</v>
      </c>
      <c r="M97" s="16">
        <v>2094156.0</v>
      </c>
      <c r="N97" s="16">
        <v>3698194.0</v>
      </c>
      <c r="O97" s="16">
        <v>2310701.0</v>
      </c>
      <c r="P97" s="16">
        <v>619469.0</v>
      </c>
      <c r="Q97" s="16">
        <v>583333.0</v>
      </c>
      <c r="R97" s="16">
        <v>608108.0</v>
      </c>
      <c r="S97" s="16">
        <v>0.0</v>
      </c>
      <c r="T97" s="16">
        <v>1126761.0</v>
      </c>
      <c r="U97" s="16">
        <v>0.0</v>
      </c>
      <c r="V97" s="16">
        <v>0.0</v>
      </c>
      <c r="W97" s="16">
        <v>0.0</v>
      </c>
      <c r="X97" s="16">
        <v>1.295692E7</v>
      </c>
      <c r="Y97" s="16">
        <v>5534661.0</v>
      </c>
      <c r="Z97" s="16">
        <v>5102081.0</v>
      </c>
      <c r="AA97" s="16">
        <v>5644094.0</v>
      </c>
      <c r="AB97" s="16">
        <v>1.3471059E7</v>
      </c>
      <c r="AC97" s="16">
        <v>6681504.0</v>
      </c>
      <c r="AD97" s="16">
        <v>0.0</v>
      </c>
      <c r="AE97" s="16">
        <v>9.7E7</v>
      </c>
      <c r="AF97" s="16">
        <v>7.5971204E7</v>
      </c>
      <c r="AG97" s="16">
        <v>-8009832.0</v>
      </c>
      <c r="AH97" s="16">
        <v>0.0</v>
      </c>
      <c r="AI97" s="16">
        <v>0.0</v>
      </c>
      <c r="AJ97" s="16">
        <v>0.0</v>
      </c>
    </row>
    <row r="98">
      <c r="A98" s="16">
        <v>45962.0</v>
      </c>
      <c r="B98" s="16">
        <v>2025.0</v>
      </c>
      <c r="C98" s="16">
        <v>4571.0</v>
      </c>
      <c r="D98" s="16">
        <v>56.0</v>
      </c>
      <c r="E98" s="16">
        <v>6856209.0</v>
      </c>
      <c r="F98" s="16">
        <v>1925170.0</v>
      </c>
      <c r="G98" s="16">
        <v>205882.0</v>
      </c>
      <c r="H98" s="16">
        <v>1508366.0</v>
      </c>
      <c r="I98" s="16">
        <v>548497.0</v>
      </c>
      <c r="J98" s="16">
        <v>827823.0</v>
      </c>
      <c r="K98" s="16">
        <v>16471.0</v>
      </c>
      <c r="L98" s="16">
        <v>3920346.0</v>
      </c>
      <c r="M98" s="16">
        <v>2205195.0</v>
      </c>
      <c r="N98" s="16">
        <v>3887564.0</v>
      </c>
      <c r="O98" s="16">
        <v>2358999.0</v>
      </c>
      <c r="P98" s="16">
        <v>629794.0</v>
      </c>
      <c r="Q98" s="16">
        <v>583333.0</v>
      </c>
      <c r="R98" s="16">
        <v>608108.0</v>
      </c>
      <c r="S98" s="16">
        <v>0.0</v>
      </c>
      <c r="T98" s="16">
        <v>1139280.0</v>
      </c>
      <c r="U98" s="16">
        <v>0.0</v>
      </c>
      <c r="V98" s="16">
        <v>0.0</v>
      </c>
      <c r="W98" s="16">
        <v>0.0</v>
      </c>
      <c r="X98" s="16">
        <v>1.3672029E7</v>
      </c>
      <c r="Y98" s="16">
        <v>5879807.0</v>
      </c>
      <c r="Z98" s="16">
        <v>5364240.0</v>
      </c>
      <c r="AA98" s="16">
        <v>5906317.0</v>
      </c>
      <c r="AB98" s="16">
        <v>1.4087757E7</v>
      </c>
      <c r="AC98" s="16">
        <v>6812360.0</v>
      </c>
      <c r="AD98" s="16">
        <v>0.0</v>
      </c>
      <c r="AE98" s="16">
        <v>9.7E7</v>
      </c>
      <c r="AF98" s="16">
        <v>6.7625179E7</v>
      </c>
      <c r="AG98" s="16">
        <v>-8346025.0</v>
      </c>
      <c r="AH98" s="16">
        <v>0.0</v>
      </c>
      <c r="AI98" s="16">
        <v>0.0</v>
      </c>
      <c r="AJ98" s="16">
        <v>0.0</v>
      </c>
    </row>
    <row r="99">
      <c r="A99" s="16">
        <v>45992.0</v>
      </c>
      <c r="B99" s="16">
        <v>2025.0</v>
      </c>
      <c r="C99" s="16">
        <v>4724.0</v>
      </c>
      <c r="D99" s="16">
        <v>58.0</v>
      </c>
      <c r="E99" s="16">
        <v>7085598.0</v>
      </c>
      <c r="F99" s="16">
        <v>2022109.0</v>
      </c>
      <c r="G99" s="16">
        <v>1492649.0</v>
      </c>
      <c r="H99" s="16">
        <v>1558830.0</v>
      </c>
      <c r="I99" s="16">
        <v>566848.0</v>
      </c>
      <c r="J99" s="16">
        <v>869508.0</v>
      </c>
      <c r="K99" s="16">
        <v>119409.0</v>
      </c>
      <c r="L99" s="16">
        <v>4117748.0</v>
      </c>
      <c r="M99" s="16">
        <v>2316233.0</v>
      </c>
      <c r="N99" s="16">
        <v>4076933.0</v>
      </c>
      <c r="O99" s="16">
        <v>2419258.0</v>
      </c>
      <c r="P99" s="16">
        <v>640116.0</v>
      </c>
      <c r="Q99" s="16">
        <v>583337.0</v>
      </c>
      <c r="R99" s="16">
        <v>608110.0</v>
      </c>
      <c r="S99" s="16">
        <v>0.0</v>
      </c>
      <c r="T99" s="16">
        <v>1151800.0</v>
      </c>
      <c r="U99" s="16">
        <v>0.0</v>
      </c>
      <c r="V99" s="16">
        <v>0.0</v>
      </c>
      <c r="W99" s="16">
        <v>0.0</v>
      </c>
      <c r="X99" s="16">
        <v>1.4421918E7</v>
      </c>
      <c r="Y99" s="16">
        <v>6240000.0</v>
      </c>
      <c r="Z99" s="16">
        <v>5640000.0</v>
      </c>
      <c r="AA99" s="16">
        <v>6183452.0</v>
      </c>
      <c r="AB99" s="16">
        <v>1.474E7</v>
      </c>
      <c r="AC99" s="16">
        <v>6960000.0</v>
      </c>
      <c r="AD99" s="16">
        <v>0.0</v>
      </c>
      <c r="AE99" s="16">
        <v>9.7E7</v>
      </c>
      <c r="AF99" s="16">
        <v>6.0112034E7</v>
      </c>
      <c r="AG99" s="16">
        <v>-7513145.0</v>
      </c>
      <c r="AH99" s="16">
        <v>0.0</v>
      </c>
      <c r="AI99" s="16">
        <v>0.0</v>
      </c>
      <c r="AJ99" s="16">
        <v>0.0</v>
      </c>
    </row>
    <row r="101">
      <c r="A101" s="16" t="s">
        <v>656</v>
      </c>
    </row>
    <row r="102">
      <c r="A102" s="16" t="s">
        <v>2</v>
      </c>
      <c r="B102" s="16" t="s">
        <v>3</v>
      </c>
      <c r="C102" s="16" t="s">
        <v>4</v>
      </c>
      <c r="D102" s="16" t="s">
        <v>5</v>
      </c>
      <c r="E102" s="16" t="s">
        <v>6</v>
      </c>
      <c r="F102" s="16" t="s">
        <v>7</v>
      </c>
      <c r="G102" s="16" t="s">
        <v>8</v>
      </c>
      <c r="H102" s="16" t="s">
        <v>9</v>
      </c>
      <c r="I102" s="16" t="s">
        <v>11</v>
      </c>
      <c r="J102" s="16" t="s">
        <v>12</v>
      </c>
      <c r="K102" s="16" t="s">
        <v>13</v>
      </c>
      <c r="L102" s="16" t="s">
        <v>14</v>
      </c>
      <c r="M102" s="16" t="s">
        <v>15</v>
      </c>
      <c r="N102" s="16" t="s">
        <v>16</v>
      </c>
      <c r="O102" s="16" t="s">
        <v>17</v>
      </c>
      <c r="P102" s="16" t="s">
        <v>18</v>
      </c>
      <c r="Q102" s="16" t="s">
        <v>20</v>
      </c>
      <c r="R102" s="16" t="s">
        <v>21</v>
      </c>
      <c r="S102" s="16" t="s">
        <v>22</v>
      </c>
      <c r="T102" s="16" t="s">
        <v>23</v>
      </c>
      <c r="U102" s="16" t="s">
        <v>26</v>
      </c>
      <c r="V102" s="16" t="s">
        <v>29</v>
      </c>
      <c r="W102" s="16" t="s">
        <v>34</v>
      </c>
      <c r="X102" s="16" t="s">
        <v>36</v>
      </c>
      <c r="Y102" s="16" t="s">
        <v>39</v>
      </c>
      <c r="Z102" s="16" t="s">
        <v>44</v>
      </c>
      <c r="AA102" s="16" t="s">
        <v>46</v>
      </c>
      <c r="AB102" s="16" t="s">
        <v>47</v>
      </c>
      <c r="AC102" s="16" t="s">
        <v>48</v>
      </c>
      <c r="AD102" s="16" t="s">
        <v>49</v>
      </c>
      <c r="AE102" s="16" t="s">
        <v>50</v>
      </c>
      <c r="AF102" s="16" t="s">
        <v>51</v>
      </c>
      <c r="AG102" s="16" t="s">
        <v>52</v>
      </c>
      <c r="AH102" s="16" t="s">
        <v>53</v>
      </c>
      <c r="AI102" s="16" t="s">
        <v>54</v>
      </c>
      <c r="AJ102" s="16" t="s">
        <v>55</v>
      </c>
    </row>
    <row r="103">
      <c r="A103" s="27">
        <f t="array" ref="A103">ROUND(SUM(ABS('Monthly Data'!A2:A97-A4:A99)),4)</f>
        <v>0</v>
      </c>
      <c r="B103" s="27">
        <f t="array" ref="B103">ROUND(SUM(ABS('Monthly Data'!B2:B97-B4:B99)),4)</f>
        <v>0</v>
      </c>
      <c r="C103" s="27">
        <f t="array" ref="C103">ROUND(SUM(ABS('Monthly Data'!C2:C97-C4:C99)),4)</f>
        <v>0</v>
      </c>
      <c r="D103" s="27">
        <f t="array" ref="D103">ROUND(SUM(ABS('Monthly Data'!D2:D97-D4:D99)),4)</f>
        <v>0</v>
      </c>
      <c r="E103" s="27">
        <f t="array" ref="E103">ROUND(SUM(ABS('Monthly Data'!E2:E97-E4:E99)),4)</f>
        <v>0</v>
      </c>
      <c r="F103" s="27">
        <f t="array" ref="F103">ROUND(SUM(ABS('Monthly Data'!F2:F97-F4:F99)),4)</f>
        <v>0</v>
      </c>
      <c r="G103" s="27">
        <f t="array" ref="G103">ROUND(SUM(ABS('Monthly Data'!G2:G97-G4:G99)),4)</f>
        <v>0</v>
      </c>
      <c r="H103" s="27">
        <f t="array" ref="H103">ROUND(SUM(ABS('Monthly Data'!H2:H97-H4:H99)),4)</f>
        <v>0</v>
      </c>
      <c r="I103" s="27">
        <f t="array" ref="I103">ROUND(SUM(ABS('Monthly Data'!I2:I97-I4:I99)),4)</f>
        <v>0</v>
      </c>
      <c r="J103" s="27">
        <f t="array" ref="J103">ROUND(SUM(ABS('Monthly Data'!J2:J97-J4:J99)),4)</f>
        <v>0</v>
      </c>
      <c r="K103" s="27">
        <f t="array" ref="K103">ROUND(SUM(ABS('Monthly Data'!K2:K97-K4:K99)),4)</f>
        <v>0</v>
      </c>
      <c r="L103" s="27">
        <f t="array" ref="L103">ROUND(SUM(ABS('Monthly Data'!L2:L97-L4:L99)),4)</f>
        <v>0</v>
      </c>
      <c r="M103" s="27">
        <f t="array" ref="M103">ROUND(SUM(ABS('Monthly Data'!M2:M97-M4:M99)),4)</f>
        <v>0</v>
      </c>
      <c r="N103" s="27">
        <f t="array" ref="N103">ROUND(SUM(ABS('Monthly Data'!N2:N97-N4:N99)),4)</f>
        <v>0</v>
      </c>
      <c r="O103" s="27">
        <f t="array" ref="O103">ROUND(SUM(ABS('Monthly Data'!O2:O97-O4:O99)),4)</f>
        <v>0</v>
      </c>
      <c r="P103" s="27">
        <f t="array" ref="P103">ROUND(SUM(ABS('Monthly Data'!P2:P97-P4:P99)),4)</f>
        <v>0</v>
      </c>
      <c r="Q103" s="27">
        <f t="array" ref="Q103">ROUND(SUM(ABS('Monthly Data'!Q2:Q97-Q4:Q99)),4)</f>
        <v>0</v>
      </c>
      <c r="R103" s="27">
        <f t="array" ref="R103">ROUND(SUM(ABS('Monthly Data'!R2:R97-R4:R99)),4)</f>
        <v>0</v>
      </c>
      <c r="S103" s="27">
        <f t="array" ref="S103">ROUND(SUM(ABS('Monthly Data'!S2:S97-S4:S99)),4)</f>
        <v>0</v>
      </c>
      <c r="T103" s="27">
        <f t="array" ref="T103">ROUND(SUM(ABS('Monthly Data'!T2:T97-T4:T99)),4)</f>
        <v>0</v>
      </c>
      <c r="U103" s="27">
        <f t="array" ref="U103">ROUND(SUM(ABS('Monthly Data'!U2:U97-U4:U99)),4)</f>
        <v>0</v>
      </c>
      <c r="V103" s="27">
        <f t="array" ref="V103">ROUND(SUM(ABS('Monthly Data'!V2:V97-V4:V99)),4)</f>
        <v>0</v>
      </c>
      <c r="W103" s="27">
        <f t="array" ref="W103">ROUND(SUM(ABS('Monthly Data'!W2:W97-W4:W99)),4)</f>
        <v>0</v>
      </c>
      <c r="X103" s="27">
        <f t="array" ref="X103">ROUND(SUM(ABS('Monthly Data'!X2:X97-X4:X99)),4)</f>
        <v>0</v>
      </c>
      <c r="Y103" s="27">
        <f t="array" ref="Y103">ROUND(SUM(ABS('Monthly Data'!Y2:Y97-Y4:Y99)),4)</f>
        <v>0</v>
      </c>
      <c r="Z103" s="27">
        <f t="array" ref="Z103">ROUND(SUM(ABS('Monthly Data'!Z2:Z97-Z4:Z99)),4)</f>
        <v>0</v>
      </c>
      <c r="AA103" s="27">
        <f t="array" ref="AA103">ROUND(SUM(ABS('Monthly Data'!AA2:AA97-AA4:AA99)),4)</f>
        <v>0</v>
      </c>
      <c r="AB103" s="27">
        <f t="array" ref="AB103">ROUND(SUM(ABS('Monthly Data'!AB2:AB97-AB4:AB99)),4)</f>
        <v>0</v>
      </c>
      <c r="AC103" s="27">
        <f t="array" ref="AC103">ROUND(SUM(ABS('Monthly Data'!AC2:AC97-AC4:AC99)),4)</f>
        <v>0</v>
      </c>
      <c r="AD103" s="27">
        <f t="array" ref="AD103">ROUND(SUM(ABS('Monthly Data'!AD2:AD97-AD4:AD99)),4)</f>
        <v>0</v>
      </c>
      <c r="AE103" s="27">
        <f t="array" ref="AE103">ROUND(SUM(ABS('Monthly Data'!AE2:AE97-AE4:AE99)),4)</f>
        <v>0</v>
      </c>
      <c r="AF103" s="27">
        <f t="array" ref="AF103">ROUND(SUM(ABS('Monthly Data'!AF2:AF97-AF4:AF99)),4)</f>
        <v>0</v>
      </c>
      <c r="AG103" s="27">
        <f t="array" ref="AG103">ROUND(SUM(ABS('Monthly Data'!AG2:AG97-AG4:AG99)),4)</f>
        <v>0</v>
      </c>
      <c r="AH103" s="27">
        <f t="array" ref="AH103">ROUND(SUM(ABS('Monthly Data'!AH2:AH97-AH4:AH99)),4)</f>
        <v>0</v>
      </c>
      <c r="AI103" s="27">
        <f t="array" ref="AI103">ROUND(SUM(ABS('Monthly Data'!AI2:AI97-AI4:AI99)),4)</f>
        <v>0</v>
      </c>
      <c r="AJ103" s="27">
        <f t="array" ref="AJ103">ROUND(SUM(ABS('Monthly Data'!AJ2:AJ97-AJ4:AJ99)),4)</f>
        <v>0</v>
      </c>
    </row>
    <row r="105">
      <c r="A105" s="16" t="s">
        <v>657</v>
      </c>
      <c r="B105" s="27" t="str">
        <f>IF(COUNTIF(A103:AJ103,"&gt;0")=0,"PASS — ALL 96 MONTHS MATCH","FAIL — HISTORY CHANGED")</f>
        <v>PASS — ALL 96 MONTHS MATCH</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sheetData>
    <row r="1">
      <c r="A1" s="3" t="s">
        <v>2</v>
      </c>
      <c r="B1" s="3" t="s">
        <v>3</v>
      </c>
      <c r="C1" s="3" t="s">
        <v>4</v>
      </c>
      <c r="D1" s="3" t="s">
        <v>5</v>
      </c>
      <c r="E1" s="5" t="s">
        <v>6</v>
      </c>
      <c r="F1" s="5" t="s">
        <v>7</v>
      </c>
      <c r="G1" s="5" t="s">
        <v>8</v>
      </c>
      <c r="H1" s="5" t="s">
        <v>9</v>
      </c>
      <c r="I1" s="5" t="s">
        <v>11</v>
      </c>
      <c r="J1" s="5" t="s">
        <v>12</v>
      </c>
      <c r="K1" s="5" t="s">
        <v>13</v>
      </c>
      <c r="L1" s="5" t="s">
        <v>14</v>
      </c>
      <c r="M1" s="5" t="s">
        <v>15</v>
      </c>
      <c r="N1" s="5" t="s">
        <v>16</v>
      </c>
      <c r="O1" s="5" t="s">
        <v>17</v>
      </c>
      <c r="P1" s="5" t="s">
        <v>18</v>
      </c>
      <c r="Q1" s="5" t="s">
        <v>20</v>
      </c>
      <c r="R1" s="5" t="s">
        <v>21</v>
      </c>
      <c r="S1" s="5" t="s">
        <v>22</v>
      </c>
      <c r="T1" s="5" t="s">
        <v>23</v>
      </c>
      <c r="U1" s="5" t="s">
        <v>26</v>
      </c>
      <c r="V1" s="5" t="s">
        <v>29</v>
      </c>
      <c r="W1" s="5" t="s">
        <v>34</v>
      </c>
      <c r="X1" s="5" t="s">
        <v>36</v>
      </c>
      <c r="Y1" s="5" t="s">
        <v>39</v>
      </c>
      <c r="Z1" s="5" t="s">
        <v>44</v>
      </c>
      <c r="AA1" s="5" t="s">
        <v>46</v>
      </c>
      <c r="AB1" s="5" t="s">
        <v>47</v>
      </c>
      <c r="AC1" s="5" t="s">
        <v>48</v>
      </c>
      <c r="AD1" s="5" t="s">
        <v>49</v>
      </c>
      <c r="AE1" s="5" t="s">
        <v>50</v>
      </c>
      <c r="AF1" s="5" t="s">
        <v>51</v>
      </c>
      <c r="AG1" s="5" t="s">
        <v>52</v>
      </c>
      <c r="AH1" s="5" t="s">
        <v>53</v>
      </c>
      <c r="AI1" s="5" t="s">
        <v>54</v>
      </c>
      <c r="AJ1" s="5" t="s">
        <v>55</v>
      </c>
      <c r="AK1" s="16" t="s">
        <v>655</v>
      </c>
    </row>
    <row r="2">
      <c r="A2" s="15">
        <v>43101.0</v>
      </c>
      <c r="B2" s="18">
        <v>2018.0</v>
      </c>
      <c r="C2" s="19">
        <v>0.0</v>
      </c>
      <c r="D2" s="19">
        <v>0.0</v>
      </c>
      <c r="E2" s="21">
        <v>0.0</v>
      </c>
      <c r="F2" s="21">
        <v>0.0</v>
      </c>
      <c r="G2" s="21">
        <v>0.0</v>
      </c>
      <c r="H2" s="21">
        <v>0.0</v>
      </c>
      <c r="I2" s="21">
        <v>0.0</v>
      </c>
      <c r="J2" s="21">
        <v>0.0</v>
      </c>
      <c r="K2" s="21">
        <v>0.0</v>
      </c>
      <c r="L2" s="21">
        <v>96895.0</v>
      </c>
      <c r="M2" s="21">
        <v>0.0</v>
      </c>
      <c r="N2" s="21">
        <v>3632.0</v>
      </c>
      <c r="O2" s="21">
        <v>49115.0</v>
      </c>
      <c r="P2" s="21">
        <v>3009.0</v>
      </c>
      <c r="Q2" s="21">
        <v>2500.0</v>
      </c>
      <c r="R2" s="21">
        <v>0.0</v>
      </c>
      <c r="S2" s="21">
        <v>0.0</v>
      </c>
      <c r="T2" s="21">
        <v>22183.0</v>
      </c>
      <c r="U2" s="21">
        <v>6000000.0</v>
      </c>
      <c r="V2" s="21">
        <v>0.0</v>
      </c>
      <c r="W2" s="21">
        <v>0.0</v>
      </c>
      <c r="X2" s="21">
        <v>0.0</v>
      </c>
      <c r="Y2" s="21">
        <v>0.0</v>
      </c>
      <c r="Z2" s="21">
        <v>0.0</v>
      </c>
      <c r="AA2" s="21">
        <v>873.0</v>
      </c>
      <c r="AB2" s="21">
        <v>8541.0</v>
      </c>
      <c r="AC2" s="21">
        <v>0.0</v>
      </c>
      <c r="AD2" s="21">
        <v>0.0</v>
      </c>
      <c r="AE2" s="22">
        <v>0.0</v>
      </c>
      <c r="AF2" s="22">
        <v>5837589.0</v>
      </c>
      <c r="AG2" s="22">
        <v>-162411.0</v>
      </c>
      <c r="AH2" s="23">
        <v>0.0</v>
      </c>
      <c r="AI2" s="24">
        <v>0.0</v>
      </c>
      <c r="AJ2" s="24">
        <v>0.0</v>
      </c>
    </row>
    <row r="3">
      <c r="A3" s="15">
        <v>43132.0</v>
      </c>
      <c r="B3" s="18">
        <v>2018.0</v>
      </c>
      <c r="C3" s="19">
        <v>0.0</v>
      </c>
      <c r="D3" s="19">
        <v>0.0</v>
      </c>
      <c r="E3" s="21">
        <v>0.0</v>
      </c>
      <c r="F3" s="21">
        <v>0.0</v>
      </c>
      <c r="G3" s="21">
        <v>0.0</v>
      </c>
      <c r="H3" s="21">
        <v>0.0</v>
      </c>
      <c r="I3" s="21">
        <v>0.0</v>
      </c>
      <c r="J3" s="21">
        <v>0.0</v>
      </c>
      <c r="K3" s="21">
        <v>0.0</v>
      </c>
      <c r="L3" s="21">
        <v>99034.0</v>
      </c>
      <c r="M3" s="21">
        <v>0.0</v>
      </c>
      <c r="N3" s="21">
        <v>4487.0</v>
      </c>
      <c r="O3" s="21">
        <v>50150.0</v>
      </c>
      <c r="P3" s="21">
        <v>3068.0</v>
      </c>
      <c r="Q3" s="21">
        <v>2500.0</v>
      </c>
      <c r="R3" s="21">
        <v>0.0</v>
      </c>
      <c r="S3" s="21">
        <v>0.0</v>
      </c>
      <c r="T3" s="21">
        <v>22457.0</v>
      </c>
      <c r="U3" s="21">
        <v>0.0</v>
      </c>
      <c r="V3" s="21">
        <v>0.0</v>
      </c>
      <c r="W3" s="21">
        <v>0.0</v>
      </c>
      <c r="X3" s="21">
        <v>0.0</v>
      </c>
      <c r="Y3" s="21">
        <v>0.0</v>
      </c>
      <c r="Z3" s="21">
        <v>0.0</v>
      </c>
      <c r="AA3" s="21">
        <v>1723.0</v>
      </c>
      <c r="AB3" s="21">
        <v>16859.0</v>
      </c>
      <c r="AC3" s="21">
        <v>0.0</v>
      </c>
      <c r="AD3" s="21">
        <v>0.0</v>
      </c>
      <c r="AE3" s="22">
        <v>0.0</v>
      </c>
      <c r="AF3" s="22">
        <v>5670629.0</v>
      </c>
      <c r="AG3" s="22">
        <v>-166960.0</v>
      </c>
      <c r="AH3" s="23">
        <v>0.0</v>
      </c>
      <c r="AI3" s="24">
        <v>0.0</v>
      </c>
      <c r="AJ3" s="24">
        <v>0.0</v>
      </c>
    </row>
    <row r="4">
      <c r="A4" s="15">
        <v>43160.0</v>
      </c>
      <c r="B4" s="18">
        <v>2018.0</v>
      </c>
      <c r="C4" s="19">
        <v>0.0</v>
      </c>
      <c r="D4" s="19">
        <v>0.0</v>
      </c>
      <c r="E4" s="21">
        <v>0.0</v>
      </c>
      <c r="F4" s="21">
        <v>0.0</v>
      </c>
      <c r="G4" s="21">
        <v>0.0</v>
      </c>
      <c r="H4" s="21">
        <v>0.0</v>
      </c>
      <c r="I4" s="21">
        <v>0.0</v>
      </c>
      <c r="J4" s="21">
        <v>0.0</v>
      </c>
      <c r="K4" s="21">
        <v>0.0</v>
      </c>
      <c r="L4" s="21">
        <v>99028.0</v>
      </c>
      <c r="M4" s="21">
        <v>0.0</v>
      </c>
      <c r="N4" s="21">
        <v>5342.0</v>
      </c>
      <c r="O4" s="21">
        <v>50741.0</v>
      </c>
      <c r="P4" s="21">
        <v>3127.0</v>
      </c>
      <c r="Q4" s="21">
        <v>2500.0</v>
      </c>
      <c r="R4" s="21">
        <v>0.0</v>
      </c>
      <c r="S4" s="21">
        <v>0.0</v>
      </c>
      <c r="T4" s="21">
        <v>55595.0</v>
      </c>
      <c r="U4" s="21">
        <v>0.0</v>
      </c>
      <c r="V4" s="21">
        <v>0.0</v>
      </c>
      <c r="W4" s="21">
        <v>0.0</v>
      </c>
      <c r="X4" s="21">
        <v>0.0</v>
      </c>
      <c r="Y4" s="21">
        <v>0.0</v>
      </c>
      <c r="Z4" s="21">
        <v>0.0</v>
      </c>
      <c r="AA4" s="21">
        <v>2533.0</v>
      </c>
      <c r="AB4" s="21">
        <v>24790.0</v>
      </c>
      <c r="AC4" s="21">
        <v>0.0</v>
      </c>
      <c r="AD4" s="21">
        <v>0.0</v>
      </c>
      <c r="AE4" s="22">
        <v>0.0</v>
      </c>
      <c r="AF4" s="22">
        <v>5468664.0</v>
      </c>
      <c r="AG4" s="22">
        <v>-201965.0</v>
      </c>
      <c r="AH4" s="23">
        <v>0.0</v>
      </c>
      <c r="AI4" s="24">
        <v>0.0</v>
      </c>
      <c r="AJ4" s="24">
        <v>0.0</v>
      </c>
    </row>
    <row r="5">
      <c r="A5" s="34">
        <v>43191.0</v>
      </c>
      <c r="B5" s="35">
        <v>2018.0</v>
      </c>
      <c r="C5" s="36">
        <v>0.0</v>
      </c>
      <c r="D5" s="36">
        <v>0.0</v>
      </c>
      <c r="E5" s="37">
        <v>0.0</v>
      </c>
      <c r="F5" s="37">
        <v>0.0</v>
      </c>
      <c r="G5" s="37">
        <v>0.0</v>
      </c>
      <c r="H5" s="37">
        <v>0.0</v>
      </c>
      <c r="I5" s="37">
        <v>0.0</v>
      </c>
      <c r="J5" s="37">
        <v>0.0</v>
      </c>
      <c r="K5" s="37">
        <v>0.0</v>
      </c>
      <c r="L5" s="37">
        <v>97167.0</v>
      </c>
      <c r="M5" s="21">
        <v>0.0</v>
      </c>
      <c r="N5" s="21">
        <v>6197.0</v>
      </c>
      <c r="O5" s="21">
        <v>50820.0</v>
      </c>
      <c r="P5" s="21">
        <v>3186.0</v>
      </c>
      <c r="Q5" s="21">
        <v>2500.0</v>
      </c>
      <c r="R5" s="21">
        <v>0.0</v>
      </c>
      <c r="S5" s="21">
        <v>0.0</v>
      </c>
      <c r="T5" s="21">
        <v>23005.0</v>
      </c>
      <c r="U5" s="21">
        <v>0.0</v>
      </c>
      <c r="V5" s="21">
        <v>0.0</v>
      </c>
      <c r="W5" s="21">
        <v>0.0</v>
      </c>
      <c r="X5" s="21">
        <v>0.0</v>
      </c>
      <c r="Y5" s="21">
        <v>0.0</v>
      </c>
      <c r="Z5" s="21">
        <v>0.0</v>
      </c>
      <c r="AA5" s="21">
        <v>3298.0</v>
      </c>
      <c r="AB5" s="21">
        <v>32275.0</v>
      </c>
      <c r="AC5" s="21">
        <v>0.0</v>
      </c>
      <c r="AD5" s="21">
        <v>0.0</v>
      </c>
      <c r="AE5" s="22">
        <v>0.0</v>
      </c>
      <c r="AF5" s="22">
        <v>5299725.0</v>
      </c>
      <c r="AG5" s="22">
        <v>-168939.0</v>
      </c>
      <c r="AH5" s="23">
        <v>0.0</v>
      </c>
      <c r="AI5" s="24">
        <v>0.0</v>
      </c>
      <c r="AJ5" s="24">
        <v>0.0</v>
      </c>
    </row>
    <row r="6">
      <c r="A6" s="15">
        <v>43221.0</v>
      </c>
      <c r="B6" s="18">
        <v>2018.0</v>
      </c>
      <c r="C6" s="19">
        <v>0.0</v>
      </c>
      <c r="D6" s="19">
        <v>0.0</v>
      </c>
      <c r="E6" s="21">
        <v>0.0</v>
      </c>
      <c r="F6" s="21">
        <v>0.0</v>
      </c>
      <c r="G6" s="21">
        <v>0.0</v>
      </c>
      <c r="H6" s="21">
        <v>0.0</v>
      </c>
      <c r="I6" s="21">
        <v>0.0</v>
      </c>
      <c r="J6" s="21">
        <v>0.0</v>
      </c>
      <c r="K6" s="21">
        <v>0.0</v>
      </c>
      <c r="L6" s="21">
        <v>94233.0</v>
      </c>
      <c r="M6" s="21">
        <v>0.0</v>
      </c>
      <c r="N6" s="21">
        <v>7051.0</v>
      </c>
      <c r="O6" s="21">
        <v>50454.0</v>
      </c>
      <c r="P6" s="21">
        <v>3245.0</v>
      </c>
      <c r="Q6" s="21">
        <v>2500.0</v>
      </c>
      <c r="R6" s="21">
        <v>0.0</v>
      </c>
      <c r="S6" s="21">
        <v>0.0</v>
      </c>
      <c r="T6" s="21">
        <v>23279.0</v>
      </c>
      <c r="U6" s="21">
        <v>0.0</v>
      </c>
      <c r="V6" s="21">
        <v>0.0</v>
      </c>
      <c r="W6" s="21">
        <v>0.0</v>
      </c>
      <c r="X6" s="21">
        <v>0.0</v>
      </c>
      <c r="Y6" s="21">
        <v>0.0</v>
      </c>
      <c r="Z6" s="21">
        <v>0.0</v>
      </c>
      <c r="AA6" s="21">
        <v>4023.0</v>
      </c>
      <c r="AB6" s="21">
        <v>39374.0</v>
      </c>
      <c r="AC6" s="21">
        <v>0.0</v>
      </c>
      <c r="AD6" s="21">
        <v>0.0</v>
      </c>
      <c r="AE6" s="22">
        <v>0.0</v>
      </c>
      <c r="AF6" s="22">
        <v>5132532.0</v>
      </c>
      <c r="AG6" s="22">
        <v>-167193.0</v>
      </c>
      <c r="AH6" s="23">
        <v>0.0</v>
      </c>
      <c r="AI6" s="24">
        <v>0.0</v>
      </c>
      <c r="AJ6" s="24">
        <v>0.0</v>
      </c>
    </row>
    <row r="7">
      <c r="A7" s="15">
        <v>43252.0</v>
      </c>
      <c r="B7" s="18">
        <v>2018.0</v>
      </c>
      <c r="C7" s="19">
        <v>0.0</v>
      </c>
      <c r="D7" s="19">
        <v>0.0</v>
      </c>
      <c r="E7" s="21">
        <v>0.0</v>
      </c>
      <c r="F7" s="21">
        <v>0.0</v>
      </c>
      <c r="G7" s="21">
        <v>0.0</v>
      </c>
      <c r="H7" s="21">
        <v>0.0</v>
      </c>
      <c r="I7" s="21">
        <v>0.0</v>
      </c>
      <c r="J7" s="21">
        <v>0.0</v>
      </c>
      <c r="K7" s="21">
        <v>0.0</v>
      </c>
      <c r="L7" s="21">
        <v>91299.0</v>
      </c>
      <c r="M7" s="21">
        <v>0.0</v>
      </c>
      <c r="N7" s="21">
        <v>7906.0</v>
      </c>
      <c r="O7" s="21">
        <v>49833.0</v>
      </c>
      <c r="P7" s="21">
        <v>3304.0</v>
      </c>
      <c r="Q7" s="21">
        <v>2500.0</v>
      </c>
      <c r="R7" s="21">
        <v>0.0</v>
      </c>
      <c r="S7" s="21">
        <v>0.0</v>
      </c>
      <c r="T7" s="21">
        <v>23552.0</v>
      </c>
      <c r="U7" s="21">
        <v>0.0</v>
      </c>
      <c r="V7" s="21">
        <v>0.0</v>
      </c>
      <c r="W7" s="21">
        <v>0.0</v>
      </c>
      <c r="X7" s="21">
        <v>0.0</v>
      </c>
      <c r="Y7" s="21">
        <v>0.0</v>
      </c>
      <c r="Z7" s="21">
        <v>0.0</v>
      </c>
      <c r="AA7" s="21">
        <v>4726.0</v>
      </c>
      <c r="AB7" s="21">
        <v>46250.0</v>
      </c>
      <c r="AC7" s="21">
        <v>0.0</v>
      </c>
      <c r="AD7" s="21">
        <v>0.0</v>
      </c>
      <c r="AE7" s="22">
        <v>0.0</v>
      </c>
      <c r="AF7" s="22">
        <v>4967521.0</v>
      </c>
      <c r="AG7" s="22">
        <v>-165011.0</v>
      </c>
      <c r="AH7" s="23">
        <v>0.0</v>
      </c>
      <c r="AI7" s="24">
        <v>0.0</v>
      </c>
      <c r="AJ7" s="24">
        <v>0.0</v>
      </c>
    </row>
    <row r="8">
      <c r="A8" s="15">
        <v>43282.0</v>
      </c>
      <c r="B8" s="18">
        <v>2018.0</v>
      </c>
      <c r="C8" s="19">
        <v>0.0</v>
      </c>
      <c r="D8" s="19">
        <v>0.0</v>
      </c>
      <c r="E8" s="21">
        <v>0.0</v>
      </c>
      <c r="F8" s="21">
        <v>0.0</v>
      </c>
      <c r="G8" s="21">
        <v>0.0</v>
      </c>
      <c r="H8" s="21">
        <v>0.0</v>
      </c>
      <c r="I8" s="21">
        <v>0.0</v>
      </c>
      <c r="J8" s="21">
        <v>0.0</v>
      </c>
      <c r="K8" s="21">
        <v>0.0</v>
      </c>
      <c r="L8" s="21">
        <v>89438.0</v>
      </c>
      <c r="M8" s="21">
        <v>0.0</v>
      </c>
      <c r="N8" s="21">
        <v>8761.0</v>
      </c>
      <c r="O8" s="21">
        <v>49211.0</v>
      </c>
      <c r="P8" s="21">
        <v>3363.0</v>
      </c>
      <c r="Q8" s="21">
        <v>2500.0</v>
      </c>
      <c r="R8" s="21">
        <v>0.0</v>
      </c>
      <c r="S8" s="21">
        <v>0.0</v>
      </c>
      <c r="T8" s="21">
        <v>23826.0</v>
      </c>
      <c r="U8" s="21">
        <v>0.0</v>
      </c>
      <c r="V8" s="21">
        <v>0.0</v>
      </c>
      <c r="W8" s="21">
        <v>0.0</v>
      </c>
      <c r="X8" s="21">
        <v>0.0</v>
      </c>
      <c r="Y8" s="21">
        <v>0.0</v>
      </c>
      <c r="Z8" s="21">
        <v>0.0</v>
      </c>
      <c r="AA8" s="21">
        <v>5429.0</v>
      </c>
      <c r="AB8" s="21">
        <v>53126.0</v>
      </c>
      <c r="AC8" s="21">
        <v>0.0</v>
      </c>
      <c r="AD8" s="21">
        <v>0.0</v>
      </c>
      <c r="AE8" s="22">
        <v>0.0</v>
      </c>
      <c r="AF8" s="22">
        <v>4803864.0</v>
      </c>
      <c r="AG8" s="22">
        <v>-163657.0</v>
      </c>
      <c r="AH8" s="23">
        <v>0.0</v>
      </c>
      <c r="AI8" s="24">
        <v>0.0</v>
      </c>
      <c r="AJ8" s="24">
        <v>0.0</v>
      </c>
    </row>
    <row r="9">
      <c r="A9" s="15">
        <v>43313.0</v>
      </c>
      <c r="B9" s="18">
        <v>2018.0</v>
      </c>
      <c r="C9" s="19">
        <v>0.0</v>
      </c>
      <c r="D9" s="19">
        <v>0.0</v>
      </c>
      <c r="E9" s="21">
        <v>0.0</v>
      </c>
      <c r="F9" s="21">
        <v>0.0</v>
      </c>
      <c r="G9" s="21">
        <v>0.0</v>
      </c>
      <c r="H9" s="21">
        <v>0.0</v>
      </c>
      <c r="I9" s="21">
        <v>0.0</v>
      </c>
      <c r="J9" s="21">
        <v>0.0</v>
      </c>
      <c r="K9" s="21">
        <v>0.0</v>
      </c>
      <c r="L9" s="21">
        <v>89433.0</v>
      </c>
      <c r="M9" s="21">
        <v>0.0</v>
      </c>
      <c r="N9" s="21">
        <v>9615.0</v>
      </c>
      <c r="O9" s="21">
        <v>48845.0</v>
      </c>
      <c r="P9" s="21">
        <v>3422.0</v>
      </c>
      <c r="Q9" s="21">
        <v>2500.0</v>
      </c>
      <c r="R9" s="21">
        <v>0.0</v>
      </c>
      <c r="S9" s="21">
        <v>0.0</v>
      </c>
      <c r="T9" s="21">
        <v>24100.0</v>
      </c>
      <c r="U9" s="21">
        <v>0.0</v>
      </c>
      <c r="V9" s="21">
        <v>0.0</v>
      </c>
      <c r="W9" s="21">
        <v>0.0</v>
      </c>
      <c r="X9" s="21">
        <v>0.0</v>
      </c>
      <c r="Y9" s="21">
        <v>0.0</v>
      </c>
      <c r="Z9" s="21">
        <v>0.0</v>
      </c>
      <c r="AA9" s="21">
        <v>6154.0</v>
      </c>
      <c r="AB9" s="21">
        <v>60225.0</v>
      </c>
      <c r="AC9" s="21">
        <v>0.0</v>
      </c>
      <c r="AD9" s="21">
        <v>0.0</v>
      </c>
      <c r="AE9" s="22">
        <v>0.0</v>
      </c>
      <c r="AF9" s="22">
        <v>4639695.0</v>
      </c>
      <c r="AG9" s="22">
        <v>-164169.0</v>
      </c>
      <c r="AH9" s="23">
        <v>0.0</v>
      </c>
      <c r="AI9" s="24">
        <v>0.0</v>
      </c>
      <c r="AJ9" s="24">
        <v>0.0</v>
      </c>
    </row>
    <row r="10">
      <c r="A10" s="15">
        <v>43344.0</v>
      </c>
      <c r="B10" s="18">
        <v>2018.0</v>
      </c>
      <c r="C10" s="19">
        <v>0.0</v>
      </c>
      <c r="D10" s="19">
        <v>0.0</v>
      </c>
      <c r="E10" s="21">
        <v>0.0</v>
      </c>
      <c r="F10" s="21">
        <v>0.0</v>
      </c>
      <c r="G10" s="21">
        <v>0.0</v>
      </c>
      <c r="H10" s="21">
        <v>0.0</v>
      </c>
      <c r="I10" s="21">
        <v>0.0</v>
      </c>
      <c r="J10" s="21">
        <v>0.0</v>
      </c>
      <c r="K10" s="21">
        <v>0.0</v>
      </c>
      <c r="L10" s="21">
        <v>91572.0</v>
      </c>
      <c r="M10" s="21">
        <v>0.0</v>
      </c>
      <c r="N10" s="21">
        <v>10470.0</v>
      </c>
      <c r="O10" s="21">
        <v>48924.0</v>
      </c>
      <c r="P10" s="21">
        <v>3481.0</v>
      </c>
      <c r="Q10" s="21">
        <v>2500.0</v>
      </c>
      <c r="R10" s="21">
        <v>0.0</v>
      </c>
      <c r="S10" s="21">
        <v>0.0</v>
      </c>
      <c r="T10" s="21">
        <v>57238.0</v>
      </c>
      <c r="U10" s="21">
        <v>0.0</v>
      </c>
      <c r="V10" s="21">
        <v>0.0</v>
      </c>
      <c r="W10" s="21">
        <v>0.0</v>
      </c>
      <c r="X10" s="21">
        <v>0.0</v>
      </c>
      <c r="Y10" s="21">
        <v>0.0</v>
      </c>
      <c r="Z10" s="21">
        <v>0.0</v>
      </c>
      <c r="AA10" s="21">
        <v>6919.0</v>
      </c>
      <c r="AB10" s="21">
        <v>67710.0</v>
      </c>
      <c r="AC10" s="21">
        <v>0.0</v>
      </c>
      <c r="AD10" s="21">
        <v>0.0</v>
      </c>
      <c r="AE10" s="22">
        <v>0.0</v>
      </c>
      <c r="AF10" s="22">
        <v>4439741.0</v>
      </c>
      <c r="AG10" s="22">
        <v>-199954.0</v>
      </c>
      <c r="AH10" s="23">
        <v>0.0</v>
      </c>
      <c r="AI10" s="24">
        <v>0.0</v>
      </c>
      <c r="AJ10" s="24">
        <v>0.0</v>
      </c>
    </row>
    <row r="11">
      <c r="A11" s="15">
        <v>43374.0</v>
      </c>
      <c r="B11" s="18">
        <v>2018.0</v>
      </c>
      <c r="C11" s="19">
        <v>0.0</v>
      </c>
      <c r="D11" s="19">
        <v>0.0</v>
      </c>
      <c r="E11" s="21">
        <v>0.0</v>
      </c>
      <c r="F11" s="21">
        <v>0.0</v>
      </c>
      <c r="G11" s="21">
        <v>0.0</v>
      </c>
      <c r="H11" s="21">
        <v>0.0</v>
      </c>
      <c r="I11" s="21">
        <v>0.0</v>
      </c>
      <c r="J11" s="21">
        <v>0.0</v>
      </c>
      <c r="K11" s="21">
        <v>0.0</v>
      </c>
      <c r="L11" s="21">
        <v>95567.0</v>
      </c>
      <c r="M11" s="21">
        <v>0.0</v>
      </c>
      <c r="N11" s="21">
        <v>11325.0</v>
      </c>
      <c r="O11" s="21">
        <v>49515.0</v>
      </c>
      <c r="P11" s="21">
        <v>3540.0</v>
      </c>
      <c r="Q11" s="21">
        <v>2500.0</v>
      </c>
      <c r="R11" s="21">
        <v>0.0</v>
      </c>
      <c r="S11" s="21">
        <v>0.0</v>
      </c>
      <c r="T11" s="21">
        <v>24648.0</v>
      </c>
      <c r="U11" s="21">
        <v>0.0</v>
      </c>
      <c r="V11" s="21">
        <v>0.0</v>
      </c>
      <c r="W11" s="21">
        <v>0.0</v>
      </c>
      <c r="X11" s="21">
        <v>0.0</v>
      </c>
      <c r="Y11" s="21">
        <v>0.0</v>
      </c>
      <c r="Z11" s="21">
        <v>0.0</v>
      </c>
      <c r="AA11" s="21">
        <v>7729.0</v>
      </c>
      <c r="AB11" s="21">
        <v>75641.0</v>
      </c>
      <c r="AC11" s="21">
        <v>0.0</v>
      </c>
      <c r="AD11" s="21">
        <v>0.0</v>
      </c>
      <c r="AE11" s="22">
        <v>0.0</v>
      </c>
      <c r="AF11" s="22">
        <v>4267427.0</v>
      </c>
      <c r="AG11" s="22">
        <v>-172314.0</v>
      </c>
      <c r="AH11" s="23">
        <v>0.0</v>
      </c>
      <c r="AI11" s="24">
        <v>0.0</v>
      </c>
      <c r="AJ11" s="24">
        <v>0.0</v>
      </c>
    </row>
    <row r="12">
      <c r="A12" s="15">
        <v>43405.0</v>
      </c>
      <c r="B12" s="18">
        <v>2018.0</v>
      </c>
      <c r="C12" s="19">
        <v>0.0</v>
      </c>
      <c r="D12" s="19">
        <v>0.0</v>
      </c>
      <c r="E12" s="21">
        <v>0.0</v>
      </c>
      <c r="F12" s="21">
        <v>0.0</v>
      </c>
      <c r="G12" s="21">
        <v>0.0</v>
      </c>
      <c r="H12" s="21">
        <v>0.0</v>
      </c>
      <c r="I12" s="21">
        <v>0.0</v>
      </c>
      <c r="J12" s="21">
        <v>0.0</v>
      </c>
      <c r="K12" s="21">
        <v>0.0</v>
      </c>
      <c r="L12" s="21">
        <v>100634.0</v>
      </c>
      <c r="M12" s="21">
        <v>0.0</v>
      </c>
      <c r="N12" s="21">
        <v>12179.0</v>
      </c>
      <c r="O12" s="21">
        <v>50550.0</v>
      </c>
      <c r="P12" s="21">
        <v>3599.0</v>
      </c>
      <c r="Q12" s="21">
        <v>2500.0</v>
      </c>
      <c r="R12" s="21">
        <v>0.0</v>
      </c>
      <c r="S12" s="21">
        <v>0.0</v>
      </c>
      <c r="T12" s="21">
        <v>24922.0</v>
      </c>
      <c r="U12" s="21">
        <v>0.0</v>
      </c>
      <c r="V12" s="21">
        <v>0.0</v>
      </c>
      <c r="W12" s="21">
        <v>0.0</v>
      </c>
      <c r="X12" s="21">
        <v>0.0</v>
      </c>
      <c r="Y12" s="21">
        <v>0.0</v>
      </c>
      <c r="Z12" s="21">
        <v>0.0</v>
      </c>
      <c r="AA12" s="21">
        <v>8579.0</v>
      </c>
      <c r="AB12" s="21">
        <v>83959.0</v>
      </c>
      <c r="AC12" s="21">
        <v>0.0</v>
      </c>
      <c r="AD12" s="21">
        <v>0.0</v>
      </c>
      <c r="AE12" s="22">
        <v>0.0</v>
      </c>
      <c r="AF12" s="22">
        <v>4088310.0</v>
      </c>
      <c r="AG12" s="22">
        <v>-179117.0</v>
      </c>
      <c r="AH12" s="23">
        <v>0.0</v>
      </c>
      <c r="AI12" s="24">
        <v>0.0</v>
      </c>
      <c r="AJ12" s="24">
        <v>0.0</v>
      </c>
    </row>
    <row r="13">
      <c r="A13" s="15">
        <v>43435.0</v>
      </c>
      <c r="B13" s="18">
        <v>2018.0</v>
      </c>
      <c r="C13" s="19">
        <v>0.0</v>
      </c>
      <c r="D13" s="19">
        <v>0.0</v>
      </c>
      <c r="E13" s="21">
        <v>0.0</v>
      </c>
      <c r="F13" s="21">
        <v>0.0</v>
      </c>
      <c r="G13" s="21">
        <v>0.0</v>
      </c>
      <c r="H13" s="21">
        <v>0.0</v>
      </c>
      <c r="I13" s="21">
        <v>0.0</v>
      </c>
      <c r="J13" s="21">
        <v>0.0</v>
      </c>
      <c r="K13" s="21">
        <v>0.0</v>
      </c>
      <c r="L13" s="21">
        <v>105700.0</v>
      </c>
      <c r="M13" s="21">
        <v>0.0</v>
      </c>
      <c r="N13" s="21">
        <v>13035.0</v>
      </c>
      <c r="O13" s="21">
        <v>51842.0</v>
      </c>
      <c r="P13" s="21">
        <v>3656.0</v>
      </c>
      <c r="Q13" s="21">
        <v>2500.0</v>
      </c>
      <c r="R13" s="21">
        <v>0.0</v>
      </c>
      <c r="S13" s="21">
        <v>0.0</v>
      </c>
      <c r="T13" s="21">
        <v>25195.0</v>
      </c>
      <c r="U13" s="21">
        <v>0.0</v>
      </c>
      <c r="V13" s="21">
        <v>0.0</v>
      </c>
      <c r="W13" s="21">
        <v>0.0</v>
      </c>
      <c r="X13" s="21">
        <v>0.0</v>
      </c>
      <c r="Y13" s="21">
        <v>0.0</v>
      </c>
      <c r="Z13" s="21">
        <v>0.0</v>
      </c>
      <c r="AA13" s="21">
        <v>9452.0</v>
      </c>
      <c r="AB13" s="21">
        <v>92500.0</v>
      </c>
      <c r="AC13" s="21">
        <v>0.0</v>
      </c>
      <c r="AD13" s="21">
        <v>0.0</v>
      </c>
      <c r="AE13" s="22">
        <v>0.0</v>
      </c>
      <c r="AF13" s="22">
        <v>3901952.0</v>
      </c>
      <c r="AG13" s="22">
        <v>-186358.0</v>
      </c>
      <c r="AH13" s="23">
        <v>0.0</v>
      </c>
      <c r="AI13" s="24">
        <v>0.0</v>
      </c>
      <c r="AJ13" s="24">
        <v>0.0</v>
      </c>
    </row>
    <row r="14">
      <c r="A14" s="15">
        <v>43466.0</v>
      </c>
      <c r="B14" s="18">
        <v>2019.0</v>
      </c>
      <c r="C14" s="19">
        <v>0.0</v>
      </c>
      <c r="D14" s="19">
        <v>0.0</v>
      </c>
      <c r="E14" s="21">
        <v>0.0</v>
      </c>
      <c r="F14" s="21">
        <v>25277.0</v>
      </c>
      <c r="G14" s="21">
        <v>2941.0</v>
      </c>
      <c r="H14" s="21">
        <v>0.0</v>
      </c>
      <c r="I14" s="21">
        <v>0.0</v>
      </c>
      <c r="J14" s="21">
        <v>10111.0</v>
      </c>
      <c r="K14" s="21">
        <v>294.0</v>
      </c>
      <c r="L14" s="21">
        <v>139023.0</v>
      </c>
      <c r="M14" s="21">
        <v>0.0</v>
      </c>
      <c r="N14" s="21">
        <v>7326.0</v>
      </c>
      <c r="O14" s="21">
        <v>69580.0</v>
      </c>
      <c r="P14" s="21">
        <v>7522.0</v>
      </c>
      <c r="Q14" s="21">
        <v>10000.0</v>
      </c>
      <c r="R14" s="21">
        <v>0.0</v>
      </c>
      <c r="S14" s="21">
        <v>0.0</v>
      </c>
      <c r="T14" s="21">
        <v>47535.0</v>
      </c>
      <c r="U14" s="21">
        <v>0.0</v>
      </c>
      <c r="V14" s="21">
        <v>0.0</v>
      </c>
      <c r="W14" s="21">
        <v>0.0</v>
      </c>
      <c r="X14" s="21">
        <v>4047.0</v>
      </c>
      <c r="Y14" s="21">
        <v>0.0</v>
      </c>
      <c r="Z14" s="21">
        <v>1847.0</v>
      </c>
      <c r="AA14" s="21">
        <v>12007.0</v>
      </c>
      <c r="AB14" s="21">
        <v>99750.0</v>
      </c>
      <c r="AC14" s="21">
        <v>3693.0</v>
      </c>
      <c r="AD14" s="21">
        <v>0.0</v>
      </c>
      <c r="AE14" s="22">
        <v>0.0</v>
      </c>
      <c r="AF14" s="22">
        <v>3663905.0</v>
      </c>
      <c r="AG14" s="22">
        <v>-238047.0</v>
      </c>
      <c r="AH14" s="23">
        <v>0.0</v>
      </c>
      <c r="AI14" s="24">
        <v>0.0</v>
      </c>
      <c r="AJ14" s="24">
        <v>0.0</v>
      </c>
    </row>
    <row r="15">
      <c r="A15" s="15">
        <v>43497.0</v>
      </c>
      <c r="B15" s="18">
        <v>2019.0</v>
      </c>
      <c r="C15" s="19">
        <v>0.0</v>
      </c>
      <c r="D15" s="19">
        <v>0.0</v>
      </c>
      <c r="E15" s="21">
        <v>0.0</v>
      </c>
      <c r="F15" s="21">
        <v>25835.0</v>
      </c>
      <c r="G15" s="21">
        <v>2941.0</v>
      </c>
      <c r="H15" s="21">
        <v>0.0</v>
      </c>
      <c r="I15" s="21">
        <v>0.0</v>
      </c>
      <c r="J15" s="21">
        <v>10334.0</v>
      </c>
      <c r="K15" s="21">
        <v>294.0</v>
      </c>
      <c r="L15" s="21">
        <v>142092.0</v>
      </c>
      <c r="M15" s="21">
        <v>0.0</v>
      </c>
      <c r="N15" s="21">
        <v>9027.0</v>
      </c>
      <c r="O15" s="21">
        <v>71046.0</v>
      </c>
      <c r="P15" s="21">
        <v>7670.0</v>
      </c>
      <c r="Q15" s="21">
        <v>10000.0</v>
      </c>
      <c r="R15" s="21">
        <v>0.0</v>
      </c>
      <c r="S15" s="21">
        <v>0.0</v>
      </c>
      <c r="T15" s="21">
        <v>48122.0</v>
      </c>
      <c r="U15" s="21">
        <v>0.0</v>
      </c>
      <c r="V15" s="21">
        <v>0.0</v>
      </c>
      <c r="W15" s="21">
        <v>0.0</v>
      </c>
      <c r="X15" s="21">
        <v>7989.0</v>
      </c>
      <c r="Y15" s="21">
        <v>0.0</v>
      </c>
      <c r="Z15" s="21">
        <v>3645.0</v>
      </c>
      <c r="AA15" s="21">
        <v>14474.0</v>
      </c>
      <c r="AB15" s="21">
        <v>106609.0</v>
      </c>
      <c r="AC15" s="21">
        <v>7290.0</v>
      </c>
      <c r="AD15" s="21">
        <v>0.0</v>
      </c>
      <c r="AE15" s="22">
        <v>0.0</v>
      </c>
      <c r="AF15" s="22">
        <v>3418949.0</v>
      </c>
      <c r="AG15" s="22">
        <v>-244956.0</v>
      </c>
      <c r="AH15" s="23">
        <v>0.0</v>
      </c>
      <c r="AI15" s="24">
        <v>0.0</v>
      </c>
      <c r="AJ15" s="24">
        <v>0.0</v>
      </c>
    </row>
    <row r="16">
      <c r="A16" s="15">
        <v>43525.0</v>
      </c>
      <c r="B16" s="18">
        <v>2019.0</v>
      </c>
      <c r="C16" s="19">
        <v>0.0</v>
      </c>
      <c r="D16" s="19">
        <v>0.0</v>
      </c>
      <c r="E16" s="21">
        <v>0.0</v>
      </c>
      <c r="F16" s="21">
        <v>25833.0</v>
      </c>
      <c r="G16" s="21">
        <v>18382.0</v>
      </c>
      <c r="H16" s="21">
        <v>0.0</v>
      </c>
      <c r="I16" s="21">
        <v>0.0</v>
      </c>
      <c r="J16" s="21">
        <v>10333.0</v>
      </c>
      <c r="K16" s="21">
        <v>1838.0</v>
      </c>
      <c r="L16" s="21">
        <v>142084.0</v>
      </c>
      <c r="M16" s="21">
        <v>0.0</v>
      </c>
      <c r="N16" s="21">
        <v>10725.0</v>
      </c>
      <c r="O16" s="21">
        <v>71883.0</v>
      </c>
      <c r="P16" s="21">
        <v>7817.0</v>
      </c>
      <c r="Q16" s="21">
        <v>10000.0</v>
      </c>
      <c r="R16" s="21">
        <v>0.0</v>
      </c>
      <c r="S16" s="21">
        <v>0.0</v>
      </c>
      <c r="T16" s="21">
        <v>119131.0</v>
      </c>
      <c r="U16" s="21">
        <v>0.0</v>
      </c>
      <c r="V16" s="21">
        <v>0.0</v>
      </c>
      <c r="W16" s="21">
        <v>0.0</v>
      </c>
      <c r="X16" s="21">
        <v>11748.0</v>
      </c>
      <c r="Y16" s="21">
        <v>0.0</v>
      </c>
      <c r="Z16" s="21">
        <v>5360.0</v>
      </c>
      <c r="AA16" s="21">
        <v>16790.0</v>
      </c>
      <c r="AB16" s="21">
        <v>112791.0</v>
      </c>
      <c r="AC16" s="21">
        <v>10720.0</v>
      </c>
      <c r="AD16" s="21">
        <v>0.0</v>
      </c>
      <c r="AE16" s="22">
        <v>0.0</v>
      </c>
      <c r="AF16" s="22">
        <v>3113624.0</v>
      </c>
      <c r="AG16" s="22">
        <v>-305325.0</v>
      </c>
      <c r="AH16" s="23">
        <v>0.0</v>
      </c>
      <c r="AI16" s="24">
        <v>0.0</v>
      </c>
      <c r="AJ16" s="24">
        <v>0.0</v>
      </c>
    </row>
    <row r="17">
      <c r="A17" s="15">
        <v>43556.0</v>
      </c>
      <c r="B17" s="18">
        <v>2019.0</v>
      </c>
      <c r="C17" s="19">
        <v>0.0</v>
      </c>
      <c r="D17" s="19">
        <v>0.0</v>
      </c>
      <c r="E17" s="21">
        <v>0.0</v>
      </c>
      <c r="F17" s="21">
        <v>25348.0</v>
      </c>
      <c r="G17" s="21">
        <v>2941.0</v>
      </c>
      <c r="H17" s="21">
        <v>0.0</v>
      </c>
      <c r="I17" s="21">
        <v>0.0</v>
      </c>
      <c r="J17" s="21">
        <v>10139.0</v>
      </c>
      <c r="K17" s="21">
        <v>294.0</v>
      </c>
      <c r="L17" s="21">
        <v>139413.0</v>
      </c>
      <c r="M17" s="21">
        <v>0.0</v>
      </c>
      <c r="N17" s="21">
        <v>12422.0</v>
      </c>
      <c r="O17" s="21">
        <v>71995.0</v>
      </c>
      <c r="P17" s="21">
        <v>7965.0</v>
      </c>
      <c r="Q17" s="21">
        <v>10000.0</v>
      </c>
      <c r="R17" s="21">
        <v>0.0</v>
      </c>
      <c r="S17" s="21">
        <v>0.0</v>
      </c>
      <c r="T17" s="21">
        <v>49296.0</v>
      </c>
      <c r="U17" s="21">
        <v>0.0</v>
      </c>
      <c r="V17" s="21">
        <v>0.0</v>
      </c>
      <c r="W17" s="21">
        <v>0.0</v>
      </c>
      <c r="X17" s="21">
        <v>15295.0</v>
      </c>
      <c r="Y17" s="21">
        <v>0.0</v>
      </c>
      <c r="Z17" s="21">
        <v>6978.0</v>
      </c>
      <c r="AA17" s="21">
        <v>18932.0</v>
      </c>
      <c r="AB17" s="21">
        <v>118192.0</v>
      </c>
      <c r="AC17" s="21">
        <v>13957.0</v>
      </c>
      <c r="AD17" s="21">
        <v>0.0</v>
      </c>
      <c r="AE17" s="22">
        <v>0.0</v>
      </c>
      <c r="AF17" s="22">
        <v>2863969.0</v>
      </c>
      <c r="AG17" s="22">
        <v>-249655.0</v>
      </c>
      <c r="AH17" s="23">
        <v>0.0</v>
      </c>
      <c r="AI17" s="24">
        <v>0.0</v>
      </c>
      <c r="AJ17" s="24">
        <v>0.0</v>
      </c>
    </row>
    <row r="18">
      <c r="A18" s="15">
        <v>43586.0</v>
      </c>
      <c r="B18" s="18">
        <v>2019.0</v>
      </c>
      <c r="C18" s="19">
        <v>0.0</v>
      </c>
      <c r="D18" s="19">
        <v>0.0</v>
      </c>
      <c r="E18" s="21">
        <v>0.0</v>
      </c>
      <c r="F18" s="21">
        <v>24583.0</v>
      </c>
      <c r="G18" s="21">
        <v>2941.0</v>
      </c>
      <c r="H18" s="21">
        <v>0.0</v>
      </c>
      <c r="I18" s="21">
        <v>0.0</v>
      </c>
      <c r="J18" s="21">
        <v>9833.0</v>
      </c>
      <c r="K18" s="21">
        <v>294.0</v>
      </c>
      <c r="L18" s="21">
        <v>135204.0</v>
      </c>
      <c r="M18" s="21">
        <v>0.0</v>
      </c>
      <c r="N18" s="21">
        <v>14117.0</v>
      </c>
      <c r="O18" s="21">
        <v>71477.0</v>
      </c>
      <c r="P18" s="21">
        <v>8112.0</v>
      </c>
      <c r="Q18" s="21">
        <v>10000.0</v>
      </c>
      <c r="R18" s="21">
        <v>0.0</v>
      </c>
      <c r="S18" s="21">
        <v>0.0</v>
      </c>
      <c r="T18" s="21">
        <v>49883.0</v>
      </c>
      <c r="U18" s="21">
        <v>0.0</v>
      </c>
      <c r="V18" s="21">
        <v>0.0</v>
      </c>
      <c r="W18" s="21">
        <v>0.0</v>
      </c>
      <c r="X18" s="21">
        <v>18659.0</v>
      </c>
      <c r="Y18" s="21">
        <v>0.0</v>
      </c>
      <c r="Z18" s="21">
        <v>8513.0</v>
      </c>
      <c r="AA18" s="21">
        <v>20922.0</v>
      </c>
      <c r="AB18" s="21">
        <v>122916.0</v>
      </c>
      <c r="AC18" s="21">
        <v>17027.0</v>
      </c>
      <c r="AD18" s="21">
        <v>0.0</v>
      </c>
      <c r="AE18" s="22">
        <v>0.0</v>
      </c>
      <c r="AF18" s="22">
        <v>2615570.0</v>
      </c>
      <c r="AG18" s="22">
        <v>-248399.0</v>
      </c>
      <c r="AH18" s="23">
        <v>0.0</v>
      </c>
      <c r="AI18" s="24">
        <v>0.0</v>
      </c>
      <c r="AJ18" s="24">
        <v>0.0</v>
      </c>
    </row>
    <row r="19">
      <c r="A19" s="15">
        <v>43617.0</v>
      </c>
      <c r="B19" s="18">
        <v>2019.0</v>
      </c>
      <c r="C19" s="19">
        <v>0.0</v>
      </c>
      <c r="D19" s="19">
        <v>1.0</v>
      </c>
      <c r="E19" s="21">
        <v>0.0</v>
      </c>
      <c r="F19" s="21">
        <v>23817.0</v>
      </c>
      <c r="G19" s="21">
        <v>18382.0</v>
      </c>
      <c r="H19" s="21">
        <v>0.0</v>
      </c>
      <c r="I19" s="21">
        <v>0.0</v>
      </c>
      <c r="J19" s="21">
        <v>9527.0</v>
      </c>
      <c r="K19" s="21">
        <v>1838.0</v>
      </c>
      <c r="L19" s="21">
        <v>130995.0</v>
      </c>
      <c r="M19" s="21">
        <v>0.0</v>
      </c>
      <c r="N19" s="21">
        <v>15812.0</v>
      </c>
      <c r="O19" s="21">
        <v>70596.0</v>
      </c>
      <c r="P19" s="21">
        <v>8260.0</v>
      </c>
      <c r="Q19" s="21">
        <v>10000.0</v>
      </c>
      <c r="R19" s="21">
        <v>0.0</v>
      </c>
      <c r="S19" s="21">
        <v>0.0</v>
      </c>
      <c r="T19" s="21">
        <v>50469.0</v>
      </c>
      <c r="U19" s="21">
        <v>0.0</v>
      </c>
      <c r="V19" s="21">
        <v>0.0</v>
      </c>
      <c r="W19" s="21">
        <v>0.0</v>
      </c>
      <c r="X19" s="21">
        <v>21918.0</v>
      </c>
      <c r="Y19" s="21">
        <v>0.0</v>
      </c>
      <c r="Z19" s="21">
        <v>10000.0</v>
      </c>
      <c r="AA19" s="21">
        <v>22825.0</v>
      </c>
      <c r="AB19" s="21">
        <v>127250.0</v>
      </c>
      <c r="AC19" s="21">
        <v>20000.0</v>
      </c>
      <c r="AD19" s="21">
        <v>0.0</v>
      </c>
      <c r="AE19" s="22">
        <v>0.0</v>
      </c>
      <c r="AF19" s="22">
        <v>2382996.0</v>
      </c>
      <c r="AG19" s="22">
        <v>-232574.0</v>
      </c>
      <c r="AH19" s="23">
        <v>0.0</v>
      </c>
      <c r="AI19" s="24">
        <v>0.0</v>
      </c>
      <c r="AJ19" s="24">
        <v>0.0</v>
      </c>
    </row>
    <row r="20">
      <c r="A20" s="15">
        <v>43647.0</v>
      </c>
      <c r="B20" s="18">
        <v>2019.0</v>
      </c>
      <c r="C20" s="19">
        <v>0.0</v>
      </c>
      <c r="D20" s="19">
        <v>1.0</v>
      </c>
      <c r="E20" s="21">
        <v>0.0</v>
      </c>
      <c r="F20" s="21">
        <v>23332.0</v>
      </c>
      <c r="G20" s="21">
        <v>2941.0</v>
      </c>
      <c r="H20" s="21">
        <v>0.0</v>
      </c>
      <c r="I20" s="21">
        <v>0.0</v>
      </c>
      <c r="J20" s="21">
        <v>9333.0</v>
      </c>
      <c r="K20" s="21">
        <v>294.0</v>
      </c>
      <c r="L20" s="21">
        <v>128324.0</v>
      </c>
      <c r="M20" s="21">
        <v>0.0</v>
      </c>
      <c r="N20" s="21">
        <v>17509.0</v>
      </c>
      <c r="O20" s="21">
        <v>69715.0</v>
      </c>
      <c r="P20" s="21">
        <v>8407.0</v>
      </c>
      <c r="Q20" s="21">
        <v>10000.0</v>
      </c>
      <c r="R20" s="21">
        <v>0.0</v>
      </c>
      <c r="S20" s="21">
        <v>0.0</v>
      </c>
      <c r="T20" s="21">
        <v>51056.0</v>
      </c>
      <c r="U20" s="21">
        <v>0.0</v>
      </c>
      <c r="V20" s="21">
        <v>0.0</v>
      </c>
      <c r="W20" s="21">
        <v>0.0</v>
      </c>
      <c r="X20" s="21">
        <v>25176.0</v>
      </c>
      <c r="Y20" s="21">
        <v>0.0</v>
      </c>
      <c r="Z20" s="21">
        <v>11487.0</v>
      </c>
      <c r="AA20" s="21">
        <v>24728.0</v>
      </c>
      <c r="AB20" s="21">
        <v>131584.0</v>
      </c>
      <c r="AC20" s="21">
        <v>22973.0</v>
      </c>
      <c r="AD20" s="21">
        <v>0.0</v>
      </c>
      <c r="AE20" s="22">
        <v>0.0</v>
      </c>
      <c r="AF20" s="22">
        <v>2137503.0</v>
      </c>
      <c r="AG20" s="22">
        <v>-245493.0</v>
      </c>
      <c r="AH20" s="23">
        <v>0.0</v>
      </c>
      <c r="AI20" s="24">
        <v>0.0</v>
      </c>
      <c r="AJ20" s="24">
        <v>0.0</v>
      </c>
    </row>
    <row r="21">
      <c r="A21" s="15">
        <v>43678.0</v>
      </c>
      <c r="B21" s="18">
        <v>2019.0</v>
      </c>
      <c r="C21" s="19">
        <v>0.0</v>
      </c>
      <c r="D21" s="19">
        <v>1.0</v>
      </c>
      <c r="E21" s="21">
        <v>0.0</v>
      </c>
      <c r="F21" s="21">
        <v>23330.0</v>
      </c>
      <c r="G21" s="21">
        <v>2941.0</v>
      </c>
      <c r="H21" s="21">
        <v>0.0</v>
      </c>
      <c r="I21" s="21">
        <v>0.0</v>
      </c>
      <c r="J21" s="21">
        <v>9332.0</v>
      </c>
      <c r="K21" s="21">
        <v>294.0</v>
      </c>
      <c r="L21" s="21">
        <v>128316.0</v>
      </c>
      <c r="M21" s="21">
        <v>0.0</v>
      </c>
      <c r="N21" s="21">
        <v>19207.0</v>
      </c>
      <c r="O21" s="21">
        <v>69198.0</v>
      </c>
      <c r="P21" s="21">
        <v>8555.0</v>
      </c>
      <c r="Q21" s="21">
        <v>10000.0</v>
      </c>
      <c r="R21" s="21">
        <v>0.0</v>
      </c>
      <c r="S21" s="21">
        <v>0.0</v>
      </c>
      <c r="T21" s="21">
        <v>51643.0</v>
      </c>
      <c r="U21" s="21">
        <v>0.0</v>
      </c>
      <c r="V21" s="21">
        <v>0.0</v>
      </c>
      <c r="W21" s="21">
        <v>0.0</v>
      </c>
      <c r="X21" s="21">
        <v>28540.0</v>
      </c>
      <c r="Y21" s="21">
        <v>0.0</v>
      </c>
      <c r="Z21" s="21">
        <v>13022.0</v>
      </c>
      <c r="AA21" s="21">
        <v>26719.0</v>
      </c>
      <c r="AB21" s="21">
        <v>136308.0</v>
      </c>
      <c r="AC21" s="21">
        <v>26043.0</v>
      </c>
      <c r="AD21" s="21">
        <v>0.0</v>
      </c>
      <c r="AE21" s="22">
        <v>0.0</v>
      </c>
      <c r="AF21" s="22">
        <v>1890670.0</v>
      </c>
      <c r="AG21" s="22">
        <v>-246833.0</v>
      </c>
      <c r="AH21" s="23">
        <v>0.0</v>
      </c>
      <c r="AI21" s="24">
        <v>0.0</v>
      </c>
      <c r="AJ21" s="24">
        <v>0.0</v>
      </c>
    </row>
    <row r="22">
      <c r="A22" s="15">
        <v>43709.0</v>
      </c>
      <c r="B22" s="18">
        <v>2019.0</v>
      </c>
      <c r="C22" s="19">
        <v>0.0</v>
      </c>
      <c r="D22" s="19">
        <v>1.0</v>
      </c>
      <c r="E22" s="21">
        <v>0.0</v>
      </c>
      <c r="F22" s="21">
        <v>23888.0</v>
      </c>
      <c r="G22" s="21">
        <v>18382.0</v>
      </c>
      <c r="H22" s="21">
        <v>0.0</v>
      </c>
      <c r="I22" s="21">
        <v>0.0</v>
      </c>
      <c r="J22" s="21">
        <v>9555.0</v>
      </c>
      <c r="K22" s="21">
        <v>1838.0</v>
      </c>
      <c r="L22" s="21">
        <v>131385.0</v>
      </c>
      <c r="M22" s="21">
        <v>0.0</v>
      </c>
      <c r="N22" s="21">
        <v>20908.0</v>
      </c>
      <c r="O22" s="21">
        <v>69309.0</v>
      </c>
      <c r="P22" s="21">
        <v>8702.0</v>
      </c>
      <c r="Q22" s="21">
        <v>10000.0</v>
      </c>
      <c r="R22" s="21">
        <v>0.0</v>
      </c>
      <c r="S22" s="21">
        <v>0.0</v>
      </c>
      <c r="T22" s="21">
        <v>122653.0</v>
      </c>
      <c r="U22" s="21">
        <v>0.0</v>
      </c>
      <c r="V22" s="21">
        <v>0.0</v>
      </c>
      <c r="W22" s="21">
        <v>0.0</v>
      </c>
      <c r="X22" s="21">
        <v>32088.0</v>
      </c>
      <c r="Y22" s="21">
        <v>0.0</v>
      </c>
      <c r="Z22" s="21">
        <v>14640.0</v>
      </c>
      <c r="AA22" s="21">
        <v>28860.0</v>
      </c>
      <c r="AB22" s="21">
        <v>141709.0</v>
      </c>
      <c r="AC22" s="21">
        <v>29280.0</v>
      </c>
      <c r="AD22" s="21">
        <v>0.0</v>
      </c>
      <c r="AE22" s="22">
        <v>0.0</v>
      </c>
      <c r="AF22" s="22">
        <v>1582905.0</v>
      </c>
      <c r="AG22" s="22">
        <v>-307765.0</v>
      </c>
      <c r="AH22" s="23">
        <v>0.0</v>
      </c>
      <c r="AI22" s="24">
        <v>0.0</v>
      </c>
      <c r="AJ22" s="24">
        <v>0.0</v>
      </c>
    </row>
    <row r="23">
      <c r="A23" s="15">
        <v>43739.0</v>
      </c>
      <c r="B23" s="18">
        <v>2019.0</v>
      </c>
      <c r="C23" s="19">
        <v>0.0</v>
      </c>
      <c r="D23" s="19">
        <v>1.0</v>
      </c>
      <c r="E23" s="21">
        <v>0.0</v>
      </c>
      <c r="F23" s="21">
        <v>24930.0</v>
      </c>
      <c r="G23" s="21">
        <v>2941.0</v>
      </c>
      <c r="H23" s="21">
        <v>0.0</v>
      </c>
      <c r="I23" s="21">
        <v>0.0</v>
      </c>
      <c r="J23" s="21">
        <v>9972.0</v>
      </c>
      <c r="K23" s="21">
        <v>294.0</v>
      </c>
      <c r="L23" s="21">
        <v>137117.0</v>
      </c>
      <c r="M23" s="21">
        <v>0.0</v>
      </c>
      <c r="N23" s="21">
        <v>22611.0</v>
      </c>
      <c r="O23" s="21">
        <v>70146.0</v>
      </c>
      <c r="P23" s="21">
        <v>8850.0</v>
      </c>
      <c r="Q23" s="21">
        <v>10000.0</v>
      </c>
      <c r="R23" s="21">
        <v>0.0</v>
      </c>
      <c r="S23" s="21">
        <v>0.0</v>
      </c>
      <c r="T23" s="21">
        <v>52817.0</v>
      </c>
      <c r="U23" s="21">
        <v>0.0</v>
      </c>
      <c r="V23" s="21">
        <v>0.0</v>
      </c>
      <c r="W23" s="21">
        <v>0.0</v>
      </c>
      <c r="X23" s="21">
        <v>35846.0</v>
      </c>
      <c r="Y23" s="21">
        <v>0.0</v>
      </c>
      <c r="Z23" s="21">
        <v>16355.0</v>
      </c>
      <c r="AA23" s="21">
        <v>31177.0</v>
      </c>
      <c r="AB23" s="21">
        <v>147891.0</v>
      </c>
      <c r="AC23" s="21">
        <v>32710.0</v>
      </c>
      <c r="AD23" s="21">
        <v>0.0</v>
      </c>
      <c r="AE23" s="22">
        <v>0.0</v>
      </c>
      <c r="AF23" s="22">
        <v>1324275.0</v>
      </c>
      <c r="AG23" s="22">
        <v>-258630.0</v>
      </c>
      <c r="AH23" s="23">
        <v>0.0</v>
      </c>
      <c r="AI23" s="24">
        <v>0.0</v>
      </c>
      <c r="AJ23" s="24">
        <v>0.0</v>
      </c>
    </row>
    <row r="24">
      <c r="A24" s="15">
        <v>43770.0</v>
      </c>
      <c r="B24" s="18">
        <v>2019.0</v>
      </c>
      <c r="C24" s="19">
        <v>0.0</v>
      </c>
      <c r="D24" s="19">
        <v>1.0</v>
      </c>
      <c r="E24" s="21">
        <v>0.0</v>
      </c>
      <c r="F24" s="21">
        <v>26252.0</v>
      </c>
      <c r="G24" s="21">
        <v>2941.0</v>
      </c>
      <c r="H24" s="21">
        <v>0.0</v>
      </c>
      <c r="I24" s="21">
        <v>0.0</v>
      </c>
      <c r="J24" s="21">
        <v>10501.0</v>
      </c>
      <c r="K24" s="21">
        <v>294.0</v>
      </c>
      <c r="L24" s="21">
        <v>144388.0</v>
      </c>
      <c r="M24" s="21">
        <v>0.0</v>
      </c>
      <c r="N24" s="21">
        <v>24315.0</v>
      </c>
      <c r="O24" s="21">
        <v>71612.0</v>
      </c>
      <c r="P24" s="21">
        <v>8997.0</v>
      </c>
      <c r="Q24" s="21">
        <v>10000.0</v>
      </c>
      <c r="R24" s="21">
        <v>0.0</v>
      </c>
      <c r="S24" s="21">
        <v>0.0</v>
      </c>
      <c r="T24" s="21">
        <v>53404.0</v>
      </c>
      <c r="U24" s="21">
        <v>0.0</v>
      </c>
      <c r="V24" s="21">
        <v>0.0</v>
      </c>
      <c r="W24" s="21">
        <v>0.0</v>
      </c>
      <c r="X24" s="21">
        <v>39788.0</v>
      </c>
      <c r="Y24" s="21">
        <v>0.0</v>
      </c>
      <c r="Z24" s="21">
        <v>18153.0</v>
      </c>
      <c r="AA24" s="21">
        <v>33644.0</v>
      </c>
      <c r="AB24" s="21">
        <v>154750.0</v>
      </c>
      <c r="AC24" s="21">
        <v>36307.0</v>
      </c>
      <c r="AD24" s="21">
        <v>0.0</v>
      </c>
      <c r="AE24" s="22">
        <v>0.0</v>
      </c>
      <c r="AF24" s="22">
        <v>1056137.0</v>
      </c>
      <c r="AG24" s="22">
        <v>-268138.0</v>
      </c>
      <c r="AH24" s="23">
        <v>0.0</v>
      </c>
      <c r="AI24" s="24">
        <v>0.0</v>
      </c>
      <c r="AJ24" s="24">
        <v>0.0</v>
      </c>
    </row>
    <row r="25">
      <c r="A25" s="15">
        <v>43800.0</v>
      </c>
      <c r="B25" s="18">
        <v>2019.0</v>
      </c>
      <c r="C25" s="19">
        <v>0.0</v>
      </c>
      <c r="D25" s="19">
        <v>1.0</v>
      </c>
      <c r="E25" s="21">
        <v>0.0</v>
      </c>
      <c r="F25" s="21">
        <v>27575.0</v>
      </c>
      <c r="G25" s="21">
        <v>21326.0</v>
      </c>
      <c r="H25" s="21">
        <v>0.0</v>
      </c>
      <c r="I25" s="21">
        <v>0.0</v>
      </c>
      <c r="J25" s="21">
        <v>11030.0</v>
      </c>
      <c r="K25" s="21">
        <v>2134.0</v>
      </c>
      <c r="L25" s="21">
        <v>151659.0</v>
      </c>
      <c r="M25" s="21">
        <v>0.0</v>
      </c>
      <c r="N25" s="21">
        <v>26021.0</v>
      </c>
      <c r="O25" s="21">
        <v>73443.0</v>
      </c>
      <c r="P25" s="21">
        <v>9143.0</v>
      </c>
      <c r="Q25" s="21">
        <v>10000.0</v>
      </c>
      <c r="R25" s="21">
        <v>0.0</v>
      </c>
      <c r="S25" s="21">
        <v>0.0</v>
      </c>
      <c r="T25" s="21">
        <v>53991.0</v>
      </c>
      <c r="U25" s="21">
        <v>0.0</v>
      </c>
      <c r="V25" s="21">
        <v>0.0</v>
      </c>
      <c r="W25" s="21">
        <v>0.0</v>
      </c>
      <c r="X25" s="21">
        <v>43836.0</v>
      </c>
      <c r="Y25" s="21">
        <v>0.0</v>
      </c>
      <c r="Z25" s="21">
        <v>20000.0</v>
      </c>
      <c r="AA25" s="21">
        <v>36199.0</v>
      </c>
      <c r="AB25" s="21">
        <v>162000.0</v>
      </c>
      <c r="AC25" s="21">
        <v>40000.0</v>
      </c>
      <c r="AD25" s="21">
        <v>0.0</v>
      </c>
      <c r="AE25" s="22">
        <v>0.0</v>
      </c>
      <c r="AF25" s="22">
        <v>794363.0</v>
      </c>
      <c r="AG25" s="22">
        <v>-261774.0</v>
      </c>
      <c r="AH25" s="23">
        <v>0.0</v>
      </c>
      <c r="AI25" s="24">
        <v>0.0</v>
      </c>
      <c r="AJ25" s="24">
        <v>0.0</v>
      </c>
    </row>
    <row r="26">
      <c r="A26" s="15">
        <v>43831.0</v>
      </c>
      <c r="B26" s="18">
        <v>2020.0</v>
      </c>
      <c r="C26" s="19">
        <v>0.0</v>
      </c>
      <c r="D26" s="19">
        <v>1.0</v>
      </c>
      <c r="E26" s="21">
        <v>0.0</v>
      </c>
      <c r="F26" s="21">
        <v>84256.0</v>
      </c>
      <c r="G26" s="21">
        <v>8824.0</v>
      </c>
      <c r="H26" s="21">
        <v>0.0</v>
      </c>
      <c r="I26" s="21">
        <v>0.0</v>
      </c>
      <c r="J26" s="21">
        <v>37073.0</v>
      </c>
      <c r="K26" s="21">
        <v>882.0</v>
      </c>
      <c r="L26" s="21">
        <v>231705.0</v>
      </c>
      <c r="M26" s="21">
        <v>0.0</v>
      </c>
      <c r="N26" s="21">
        <v>14931.0</v>
      </c>
      <c r="O26" s="21">
        <v>122788.0</v>
      </c>
      <c r="P26" s="21">
        <v>18053.0</v>
      </c>
      <c r="Q26" s="21">
        <v>20000.0</v>
      </c>
      <c r="R26" s="21">
        <v>0.0</v>
      </c>
      <c r="S26" s="21">
        <v>0.0</v>
      </c>
      <c r="T26" s="21">
        <v>79225.0</v>
      </c>
      <c r="U26" s="21">
        <v>0.0</v>
      </c>
      <c r="V26" s="21">
        <v>0.0</v>
      </c>
      <c r="W26" s="21">
        <v>0.0</v>
      </c>
      <c r="X26" s="21">
        <v>53337.0</v>
      </c>
      <c r="Y26" s="21">
        <v>0.0</v>
      </c>
      <c r="Z26" s="21">
        <v>24335.0</v>
      </c>
      <c r="AA26" s="21">
        <v>43503.0</v>
      </c>
      <c r="AB26" s="21">
        <v>178555.0</v>
      </c>
      <c r="AC26" s="21">
        <v>51071.0</v>
      </c>
      <c r="AD26" s="21">
        <v>0.0</v>
      </c>
      <c r="AE26" s="22">
        <v>0.0</v>
      </c>
      <c r="AF26" s="22">
        <v>421933.0</v>
      </c>
      <c r="AG26" s="22">
        <v>-372430.0</v>
      </c>
      <c r="AH26" s="23">
        <v>0.0</v>
      </c>
      <c r="AI26" s="24">
        <v>0.0</v>
      </c>
      <c r="AJ26" s="24">
        <v>0.0</v>
      </c>
    </row>
    <row r="27">
      <c r="A27" s="15">
        <v>43862.0</v>
      </c>
      <c r="B27" s="18">
        <v>2020.0</v>
      </c>
      <c r="C27" s="19">
        <v>0.0</v>
      </c>
      <c r="D27" s="19">
        <v>1.0</v>
      </c>
      <c r="E27" s="21">
        <v>0.0</v>
      </c>
      <c r="F27" s="21">
        <v>86116.0</v>
      </c>
      <c r="G27" s="21">
        <v>8824.0</v>
      </c>
      <c r="H27" s="21">
        <v>0.0</v>
      </c>
      <c r="I27" s="21">
        <v>0.0</v>
      </c>
      <c r="J27" s="21">
        <v>37891.0</v>
      </c>
      <c r="K27" s="21">
        <v>882.0</v>
      </c>
      <c r="L27" s="21">
        <v>236820.0</v>
      </c>
      <c r="M27" s="21">
        <v>0.0</v>
      </c>
      <c r="N27" s="21">
        <v>18294.0</v>
      </c>
      <c r="O27" s="21">
        <v>125376.0</v>
      </c>
      <c r="P27" s="21">
        <v>18407.0</v>
      </c>
      <c r="Q27" s="21">
        <v>20000.0</v>
      </c>
      <c r="R27" s="21">
        <v>0.0</v>
      </c>
      <c r="S27" s="21">
        <v>0.0</v>
      </c>
      <c r="T27" s="21">
        <v>80203.0</v>
      </c>
      <c r="U27" s="21">
        <v>0.0</v>
      </c>
      <c r="V27" s="21">
        <v>0.0</v>
      </c>
      <c r="W27" s="21">
        <v>0.0</v>
      </c>
      <c r="X27" s="21">
        <v>62495.0</v>
      </c>
      <c r="Y27" s="21">
        <v>0.0</v>
      </c>
      <c r="Z27" s="21">
        <v>28513.0</v>
      </c>
      <c r="AA27" s="21">
        <v>50538.0</v>
      </c>
      <c r="AB27" s="21">
        <v>194324.0</v>
      </c>
      <c r="AC27" s="21">
        <v>61765.0</v>
      </c>
      <c r="AD27" s="21">
        <v>0.0</v>
      </c>
      <c r="AE27" s="22">
        <v>0.0</v>
      </c>
      <c r="AF27" s="22">
        <v>37569.0</v>
      </c>
      <c r="AG27" s="22">
        <v>-384364.0</v>
      </c>
      <c r="AH27" s="23">
        <v>0.0</v>
      </c>
      <c r="AI27" s="24">
        <v>0.0</v>
      </c>
      <c r="AJ27" s="24">
        <v>0.0</v>
      </c>
    </row>
    <row r="28">
      <c r="A28" s="15">
        <v>43891.0</v>
      </c>
      <c r="B28" s="18">
        <v>2020.0</v>
      </c>
      <c r="C28" s="19">
        <v>0.0</v>
      </c>
      <c r="D28" s="19">
        <v>2.0</v>
      </c>
      <c r="E28" s="21">
        <v>0.0</v>
      </c>
      <c r="F28" s="21">
        <v>86112.0</v>
      </c>
      <c r="G28" s="21">
        <v>55147.0</v>
      </c>
      <c r="H28" s="21">
        <v>0.0</v>
      </c>
      <c r="I28" s="21">
        <v>0.0</v>
      </c>
      <c r="J28" s="21">
        <v>37889.0</v>
      </c>
      <c r="K28" s="21">
        <v>5515.0</v>
      </c>
      <c r="L28" s="21">
        <v>236807.0</v>
      </c>
      <c r="M28" s="21">
        <v>0.0</v>
      </c>
      <c r="N28" s="21">
        <v>21641.0</v>
      </c>
      <c r="O28" s="21">
        <v>126853.0</v>
      </c>
      <c r="P28" s="21">
        <v>18761.0</v>
      </c>
      <c r="Q28" s="21">
        <v>20000.0</v>
      </c>
      <c r="R28" s="21">
        <v>0.0</v>
      </c>
      <c r="S28" s="21">
        <v>0.0</v>
      </c>
      <c r="T28" s="21">
        <v>198552.0</v>
      </c>
      <c r="U28" s="21">
        <v>2.4E7</v>
      </c>
      <c r="V28" s="21">
        <v>0.0</v>
      </c>
      <c r="W28" s="21">
        <v>0.0</v>
      </c>
      <c r="X28" s="21">
        <v>71058.0</v>
      </c>
      <c r="Y28" s="21">
        <v>0.0</v>
      </c>
      <c r="Z28" s="21">
        <v>32420.0</v>
      </c>
      <c r="AA28" s="21">
        <v>57106.0</v>
      </c>
      <c r="AB28" s="21">
        <v>208734.0</v>
      </c>
      <c r="AC28" s="21">
        <v>71808.0</v>
      </c>
      <c r="AD28" s="21">
        <v>0.0</v>
      </c>
      <c r="AE28" s="22">
        <v>0.0</v>
      </c>
      <c r="AF28" s="22">
        <v>2.3570122E7</v>
      </c>
      <c r="AG28" s="22">
        <v>-467447.0</v>
      </c>
      <c r="AH28" s="23">
        <v>0.0</v>
      </c>
      <c r="AI28" s="24">
        <v>0.0</v>
      </c>
      <c r="AJ28" s="24">
        <v>0.0</v>
      </c>
    </row>
    <row r="29">
      <c r="A29" s="15">
        <v>43922.0</v>
      </c>
      <c r="B29" s="18">
        <v>2020.0</v>
      </c>
      <c r="C29" s="19">
        <v>0.0</v>
      </c>
      <c r="D29" s="19">
        <v>2.0</v>
      </c>
      <c r="E29" s="21">
        <v>0.0</v>
      </c>
      <c r="F29" s="21">
        <v>84493.0</v>
      </c>
      <c r="G29" s="21">
        <v>8824.0</v>
      </c>
      <c r="H29" s="21">
        <v>0.0</v>
      </c>
      <c r="I29" s="21">
        <v>0.0</v>
      </c>
      <c r="J29" s="21">
        <v>37177.0</v>
      </c>
      <c r="K29" s="21">
        <v>882.0</v>
      </c>
      <c r="L29" s="21">
        <v>232355.0</v>
      </c>
      <c r="M29" s="21">
        <v>0.0</v>
      </c>
      <c r="N29" s="21">
        <v>24975.0</v>
      </c>
      <c r="O29" s="21">
        <v>127049.0</v>
      </c>
      <c r="P29" s="21">
        <v>19115.0</v>
      </c>
      <c r="Q29" s="21">
        <v>20000.0</v>
      </c>
      <c r="R29" s="21">
        <v>0.0</v>
      </c>
      <c r="S29" s="21">
        <v>0.0</v>
      </c>
      <c r="T29" s="21">
        <v>82160.0</v>
      </c>
      <c r="U29" s="21">
        <v>0.0</v>
      </c>
      <c r="V29" s="21">
        <v>0.0</v>
      </c>
      <c r="W29" s="21">
        <v>0.0</v>
      </c>
      <c r="X29" s="21">
        <v>78933.0</v>
      </c>
      <c r="Y29" s="21">
        <v>0.0</v>
      </c>
      <c r="Z29" s="21">
        <v>36013.0</v>
      </c>
      <c r="AA29" s="21">
        <v>63135.0</v>
      </c>
      <c r="AB29" s="21">
        <v>221574.0</v>
      </c>
      <c r="AC29" s="21">
        <v>81098.0</v>
      </c>
      <c r="AD29" s="21">
        <v>0.0</v>
      </c>
      <c r="AE29" s="22">
        <v>0.0</v>
      </c>
      <c r="AF29" s="22">
        <v>2.3175532E7</v>
      </c>
      <c r="AG29" s="22">
        <v>-394590.0</v>
      </c>
      <c r="AH29" s="23">
        <v>0.0</v>
      </c>
      <c r="AI29" s="24">
        <v>0.0</v>
      </c>
      <c r="AJ29" s="24">
        <v>0.0</v>
      </c>
    </row>
    <row r="30">
      <c r="A30" s="15">
        <v>43952.0</v>
      </c>
      <c r="B30" s="18">
        <v>2020.0</v>
      </c>
      <c r="C30" s="19">
        <v>0.0</v>
      </c>
      <c r="D30" s="19">
        <v>2.0</v>
      </c>
      <c r="E30" s="21">
        <v>0.0</v>
      </c>
      <c r="F30" s="21">
        <v>81942.0</v>
      </c>
      <c r="G30" s="21">
        <v>8824.0</v>
      </c>
      <c r="H30" s="21">
        <v>0.0</v>
      </c>
      <c r="I30" s="21">
        <v>0.0</v>
      </c>
      <c r="J30" s="21">
        <v>36054.0</v>
      </c>
      <c r="K30" s="21">
        <v>882.0</v>
      </c>
      <c r="L30" s="21">
        <v>225340.0</v>
      </c>
      <c r="M30" s="21">
        <v>0.0</v>
      </c>
      <c r="N30" s="21">
        <v>28301.0</v>
      </c>
      <c r="O30" s="21">
        <v>126136.0</v>
      </c>
      <c r="P30" s="21">
        <v>19469.0</v>
      </c>
      <c r="Q30" s="21">
        <v>20000.0</v>
      </c>
      <c r="R30" s="21">
        <v>0.0</v>
      </c>
      <c r="S30" s="21">
        <v>0.0</v>
      </c>
      <c r="T30" s="21">
        <v>83138.0</v>
      </c>
      <c r="U30" s="21">
        <v>0.0</v>
      </c>
      <c r="V30" s="21">
        <v>0.0</v>
      </c>
      <c r="W30" s="21">
        <v>0.0</v>
      </c>
      <c r="X30" s="21">
        <v>86214.0</v>
      </c>
      <c r="Y30" s="21">
        <v>0.0</v>
      </c>
      <c r="Z30" s="21">
        <v>39335.0</v>
      </c>
      <c r="AA30" s="21">
        <v>68697.0</v>
      </c>
      <c r="AB30" s="21">
        <v>233055.0</v>
      </c>
      <c r="AC30" s="21">
        <v>89737.0</v>
      </c>
      <c r="AD30" s="21">
        <v>0.0</v>
      </c>
      <c r="AE30" s="22">
        <v>0.0</v>
      </c>
      <c r="AF30" s="22">
        <v>2.2781526E7</v>
      </c>
      <c r="AG30" s="22">
        <v>-394006.0</v>
      </c>
      <c r="AH30" s="23">
        <v>0.0</v>
      </c>
      <c r="AI30" s="24">
        <v>0.0</v>
      </c>
      <c r="AJ30" s="24">
        <v>0.0</v>
      </c>
    </row>
    <row r="31">
      <c r="A31" s="15">
        <v>43983.0</v>
      </c>
      <c r="B31" s="18">
        <v>2020.0</v>
      </c>
      <c r="C31" s="19">
        <v>0.0</v>
      </c>
      <c r="D31" s="19">
        <v>2.0</v>
      </c>
      <c r="E31" s="21">
        <v>0.0</v>
      </c>
      <c r="F31" s="21">
        <v>79391.0</v>
      </c>
      <c r="G31" s="21">
        <v>55147.0</v>
      </c>
      <c r="H31" s="21">
        <v>0.0</v>
      </c>
      <c r="I31" s="21">
        <v>0.0</v>
      </c>
      <c r="J31" s="21">
        <v>34932.0</v>
      </c>
      <c r="K31" s="21">
        <v>5515.0</v>
      </c>
      <c r="L31" s="21">
        <v>218325.0</v>
      </c>
      <c r="M31" s="21">
        <v>0.0</v>
      </c>
      <c r="N31" s="21">
        <v>31627.0</v>
      </c>
      <c r="O31" s="21">
        <v>124582.0</v>
      </c>
      <c r="P31" s="21">
        <v>19823.0</v>
      </c>
      <c r="Q31" s="21">
        <v>20000.0</v>
      </c>
      <c r="R31" s="21">
        <v>0.0</v>
      </c>
      <c r="S31" s="21">
        <v>0.0</v>
      </c>
      <c r="T31" s="21">
        <v>84116.0</v>
      </c>
      <c r="U31" s="21">
        <v>0.0</v>
      </c>
      <c r="V31" s="21">
        <v>0.0</v>
      </c>
      <c r="W31" s="21">
        <v>0.0</v>
      </c>
      <c r="X31" s="21">
        <v>93151.0</v>
      </c>
      <c r="Y31" s="21">
        <v>0.0</v>
      </c>
      <c r="Z31" s="21">
        <v>42500.0</v>
      </c>
      <c r="AA31" s="21">
        <v>73990.0</v>
      </c>
      <c r="AB31" s="21">
        <v>243750.0</v>
      </c>
      <c r="AC31" s="21">
        <v>98000.0</v>
      </c>
      <c r="AD31" s="21">
        <v>0.0</v>
      </c>
      <c r="AE31" s="22">
        <v>0.0</v>
      </c>
      <c r="AF31" s="22">
        <v>2.2431116E7</v>
      </c>
      <c r="AG31" s="22">
        <v>-350410.0</v>
      </c>
      <c r="AH31" s="23">
        <v>0.0</v>
      </c>
      <c r="AI31" s="24">
        <v>0.0</v>
      </c>
      <c r="AJ31" s="24">
        <v>0.0</v>
      </c>
    </row>
    <row r="32">
      <c r="A32" s="15">
        <v>44013.0</v>
      </c>
      <c r="B32" s="18">
        <v>2020.0</v>
      </c>
      <c r="C32" s="19">
        <v>0.0</v>
      </c>
      <c r="D32" s="19">
        <v>2.0</v>
      </c>
      <c r="E32" s="21">
        <v>0.0</v>
      </c>
      <c r="F32" s="21">
        <v>77772.0</v>
      </c>
      <c r="G32" s="21">
        <v>8824.0</v>
      </c>
      <c r="H32" s="21">
        <v>0.0</v>
      </c>
      <c r="I32" s="21">
        <v>0.0</v>
      </c>
      <c r="J32" s="21">
        <v>34220.0</v>
      </c>
      <c r="K32" s="21">
        <v>882.0</v>
      </c>
      <c r="L32" s="21">
        <v>213873.0</v>
      </c>
      <c r="M32" s="21">
        <v>0.0</v>
      </c>
      <c r="N32" s="21">
        <v>34960.0</v>
      </c>
      <c r="O32" s="21">
        <v>123027.0</v>
      </c>
      <c r="P32" s="21">
        <v>20177.0</v>
      </c>
      <c r="Q32" s="21">
        <v>20000.0</v>
      </c>
      <c r="R32" s="21">
        <v>0.0</v>
      </c>
      <c r="S32" s="21">
        <v>0.0</v>
      </c>
      <c r="T32" s="21">
        <v>85094.0</v>
      </c>
      <c r="U32" s="21">
        <v>0.0</v>
      </c>
      <c r="V32" s="21">
        <v>0.0</v>
      </c>
      <c r="W32" s="21">
        <v>0.0</v>
      </c>
      <c r="X32" s="21">
        <v>100088.0</v>
      </c>
      <c r="Y32" s="21">
        <v>0.0</v>
      </c>
      <c r="Z32" s="21">
        <v>45665.0</v>
      </c>
      <c r="AA32" s="21">
        <v>79282.0</v>
      </c>
      <c r="AB32" s="21">
        <v>254446.0</v>
      </c>
      <c r="AC32" s="21">
        <v>106263.0</v>
      </c>
      <c r="AD32" s="21">
        <v>0.0</v>
      </c>
      <c r="AE32" s="22">
        <v>0.0</v>
      </c>
      <c r="AF32" s="22">
        <v>2.2039805E7</v>
      </c>
      <c r="AG32" s="22">
        <v>-391311.0</v>
      </c>
      <c r="AH32" s="23">
        <v>0.0</v>
      </c>
      <c r="AI32" s="24">
        <v>0.0</v>
      </c>
      <c r="AJ32" s="24">
        <v>0.0</v>
      </c>
    </row>
    <row r="33">
      <c r="A33" s="15">
        <v>44044.0</v>
      </c>
      <c r="B33" s="18">
        <v>2020.0</v>
      </c>
      <c r="C33" s="19">
        <v>0.0</v>
      </c>
      <c r="D33" s="19">
        <v>2.0</v>
      </c>
      <c r="E33" s="21">
        <v>0.0</v>
      </c>
      <c r="F33" s="21">
        <v>77767.0</v>
      </c>
      <c r="G33" s="21">
        <v>8824.0</v>
      </c>
      <c r="H33" s="21">
        <v>0.0</v>
      </c>
      <c r="I33" s="21">
        <v>0.0</v>
      </c>
      <c r="J33" s="21">
        <v>34218.0</v>
      </c>
      <c r="K33" s="21">
        <v>882.0</v>
      </c>
      <c r="L33" s="21">
        <v>213861.0</v>
      </c>
      <c r="M33" s="21">
        <v>0.0</v>
      </c>
      <c r="N33" s="21">
        <v>38308.0</v>
      </c>
      <c r="O33" s="21">
        <v>122114.0</v>
      </c>
      <c r="P33" s="21">
        <v>20531.0</v>
      </c>
      <c r="Q33" s="21">
        <v>20000.0</v>
      </c>
      <c r="R33" s="21">
        <v>0.0</v>
      </c>
      <c r="S33" s="21">
        <v>0.0</v>
      </c>
      <c r="T33" s="21">
        <v>86072.0</v>
      </c>
      <c r="U33" s="21">
        <v>0.0</v>
      </c>
      <c r="V33" s="21">
        <v>0.0</v>
      </c>
      <c r="W33" s="21">
        <v>0.0</v>
      </c>
      <c r="X33" s="21">
        <v>107368.0</v>
      </c>
      <c r="Y33" s="21">
        <v>0.0</v>
      </c>
      <c r="Z33" s="21">
        <v>48987.0</v>
      </c>
      <c r="AA33" s="21">
        <v>84844.0</v>
      </c>
      <c r="AB33" s="21">
        <v>265926.0</v>
      </c>
      <c r="AC33" s="21">
        <v>114902.0</v>
      </c>
      <c r="AD33" s="21">
        <v>0.0</v>
      </c>
      <c r="AE33" s="22">
        <v>0.0</v>
      </c>
      <c r="AF33" s="22">
        <v>2.164602E7</v>
      </c>
      <c r="AG33" s="22">
        <v>-393785.0</v>
      </c>
      <c r="AH33" s="23">
        <v>0.0</v>
      </c>
      <c r="AI33" s="24">
        <v>0.0</v>
      </c>
      <c r="AJ33" s="24">
        <v>0.0</v>
      </c>
    </row>
    <row r="34">
      <c r="A34" s="15">
        <v>44075.0</v>
      </c>
      <c r="B34" s="18">
        <v>2020.0</v>
      </c>
      <c r="C34" s="19">
        <v>0.0</v>
      </c>
      <c r="D34" s="19">
        <v>3.0</v>
      </c>
      <c r="E34" s="21">
        <v>0.0</v>
      </c>
      <c r="F34" s="21">
        <v>79627.0</v>
      </c>
      <c r="G34" s="21">
        <v>55147.0</v>
      </c>
      <c r="H34" s="21">
        <v>0.0</v>
      </c>
      <c r="I34" s="21">
        <v>0.0</v>
      </c>
      <c r="J34" s="21">
        <v>35036.0</v>
      </c>
      <c r="K34" s="21">
        <v>5515.0</v>
      </c>
      <c r="L34" s="21">
        <v>218975.0</v>
      </c>
      <c r="M34" s="21">
        <v>0.0</v>
      </c>
      <c r="N34" s="21">
        <v>41671.0</v>
      </c>
      <c r="O34" s="21">
        <v>122310.0</v>
      </c>
      <c r="P34" s="21">
        <v>20885.0</v>
      </c>
      <c r="Q34" s="21">
        <v>20000.0</v>
      </c>
      <c r="R34" s="21">
        <v>0.0</v>
      </c>
      <c r="S34" s="21">
        <v>0.0</v>
      </c>
      <c r="T34" s="21">
        <v>204421.0</v>
      </c>
      <c r="U34" s="21">
        <v>0.0</v>
      </c>
      <c r="V34" s="21">
        <v>0.0</v>
      </c>
      <c r="W34" s="21">
        <v>0.0</v>
      </c>
      <c r="X34" s="21">
        <v>115244.0</v>
      </c>
      <c r="Y34" s="21">
        <v>0.0</v>
      </c>
      <c r="Z34" s="21">
        <v>52580.0</v>
      </c>
      <c r="AA34" s="21">
        <v>90873.0</v>
      </c>
      <c r="AB34" s="21">
        <v>278766.0</v>
      </c>
      <c r="AC34" s="21">
        <v>124192.0</v>
      </c>
      <c r="AD34" s="21">
        <v>0.0</v>
      </c>
      <c r="AE34" s="22">
        <v>0.0</v>
      </c>
      <c r="AF34" s="22">
        <v>2.1169556E7</v>
      </c>
      <c r="AG34" s="22">
        <v>-476464.0</v>
      </c>
      <c r="AH34" s="23">
        <v>0.0</v>
      </c>
      <c r="AI34" s="24">
        <v>0.0</v>
      </c>
      <c r="AJ34" s="24">
        <v>0.0</v>
      </c>
    </row>
    <row r="35">
      <c r="A35" s="15">
        <v>44105.0</v>
      </c>
      <c r="B35" s="18">
        <v>2020.0</v>
      </c>
      <c r="C35" s="19">
        <v>0.0</v>
      </c>
      <c r="D35" s="19">
        <v>3.0</v>
      </c>
      <c r="E35" s="21">
        <v>0.0</v>
      </c>
      <c r="F35" s="21">
        <v>83101.0</v>
      </c>
      <c r="G35" s="21">
        <v>8824.0</v>
      </c>
      <c r="H35" s="21">
        <v>0.0</v>
      </c>
      <c r="I35" s="21">
        <v>0.0</v>
      </c>
      <c r="J35" s="21">
        <v>36565.0</v>
      </c>
      <c r="K35" s="21">
        <v>882.0</v>
      </c>
      <c r="L35" s="21">
        <v>228529.0</v>
      </c>
      <c r="M35" s="21">
        <v>0.0</v>
      </c>
      <c r="N35" s="21">
        <v>45047.0</v>
      </c>
      <c r="O35" s="21">
        <v>123788.0</v>
      </c>
      <c r="P35" s="21">
        <v>21239.0</v>
      </c>
      <c r="Q35" s="21">
        <v>20000.0</v>
      </c>
      <c r="R35" s="21">
        <v>0.0</v>
      </c>
      <c r="S35" s="21">
        <v>0.0</v>
      </c>
      <c r="T35" s="21">
        <v>88028.0</v>
      </c>
      <c r="U35" s="21">
        <v>0.0</v>
      </c>
      <c r="V35" s="21">
        <v>0.0</v>
      </c>
      <c r="W35" s="21">
        <v>0.0</v>
      </c>
      <c r="X35" s="21">
        <v>123807.0</v>
      </c>
      <c r="Y35" s="21">
        <v>0.0</v>
      </c>
      <c r="Z35" s="21">
        <v>56487.0</v>
      </c>
      <c r="AA35" s="21">
        <v>97441.0</v>
      </c>
      <c r="AB35" s="21">
        <v>293176.0</v>
      </c>
      <c r="AC35" s="21">
        <v>134235.0</v>
      </c>
      <c r="AD35" s="21">
        <v>0.0</v>
      </c>
      <c r="AE35" s="22">
        <v>0.0</v>
      </c>
      <c r="AF35" s="22">
        <v>2.0757193E7</v>
      </c>
      <c r="AG35" s="22">
        <v>-412363.0</v>
      </c>
      <c r="AH35" s="23">
        <v>0.0</v>
      </c>
      <c r="AI35" s="24">
        <v>0.0</v>
      </c>
      <c r="AJ35" s="24">
        <v>0.0</v>
      </c>
    </row>
    <row r="36">
      <c r="A36" s="15">
        <v>44136.0</v>
      </c>
      <c r="B36" s="18">
        <v>2020.0</v>
      </c>
      <c r="C36" s="19">
        <v>0.0</v>
      </c>
      <c r="D36" s="19">
        <v>3.0</v>
      </c>
      <c r="E36" s="21">
        <v>0.0</v>
      </c>
      <c r="F36" s="21">
        <v>87508.0</v>
      </c>
      <c r="G36" s="21">
        <v>8824.0</v>
      </c>
      <c r="H36" s="21">
        <v>0.0</v>
      </c>
      <c r="I36" s="21">
        <v>0.0</v>
      </c>
      <c r="J36" s="21">
        <v>38503.0</v>
      </c>
      <c r="K36" s="21">
        <v>882.0</v>
      </c>
      <c r="L36" s="21">
        <v>240646.0</v>
      </c>
      <c r="M36" s="21">
        <v>0.0</v>
      </c>
      <c r="N36" s="21">
        <v>48431.0</v>
      </c>
      <c r="O36" s="21">
        <v>126375.0</v>
      </c>
      <c r="P36" s="21">
        <v>21593.0</v>
      </c>
      <c r="Q36" s="21">
        <v>20000.0</v>
      </c>
      <c r="R36" s="21">
        <v>0.0</v>
      </c>
      <c r="S36" s="21">
        <v>0.0</v>
      </c>
      <c r="T36" s="21">
        <v>89006.0</v>
      </c>
      <c r="U36" s="21">
        <v>0.0</v>
      </c>
      <c r="V36" s="21">
        <v>0.0</v>
      </c>
      <c r="W36" s="21">
        <v>0.0</v>
      </c>
      <c r="X36" s="21">
        <v>132964.0</v>
      </c>
      <c r="Y36" s="21">
        <v>0.0</v>
      </c>
      <c r="Z36" s="21">
        <v>60665.0</v>
      </c>
      <c r="AA36" s="21">
        <v>104476.0</v>
      </c>
      <c r="AB36" s="21">
        <v>308946.0</v>
      </c>
      <c r="AC36" s="21">
        <v>144929.0</v>
      </c>
      <c r="AD36" s="21">
        <v>0.0</v>
      </c>
      <c r="AE36" s="22">
        <v>0.0</v>
      </c>
      <c r="AF36" s="22">
        <v>2.0329846E7</v>
      </c>
      <c r="AG36" s="22">
        <v>-427347.0</v>
      </c>
      <c r="AH36" s="23">
        <v>0.0</v>
      </c>
      <c r="AI36" s="24">
        <v>0.0</v>
      </c>
      <c r="AJ36" s="24">
        <v>0.0</v>
      </c>
    </row>
    <row r="37">
      <c r="A37" s="15">
        <v>44166.0</v>
      </c>
      <c r="B37" s="18">
        <v>2020.0</v>
      </c>
      <c r="C37" s="19">
        <v>0.0</v>
      </c>
      <c r="D37" s="19">
        <v>3.0</v>
      </c>
      <c r="E37" s="21">
        <v>0.0</v>
      </c>
      <c r="F37" s="21">
        <v>91915.0</v>
      </c>
      <c r="G37" s="21">
        <v>63967.0</v>
      </c>
      <c r="H37" s="21">
        <v>0.0</v>
      </c>
      <c r="I37" s="21">
        <v>0.0</v>
      </c>
      <c r="J37" s="21">
        <v>40442.0</v>
      </c>
      <c r="K37" s="21">
        <v>6399.0</v>
      </c>
      <c r="L37" s="21">
        <v>252764.0</v>
      </c>
      <c r="M37" s="21">
        <v>0.0</v>
      </c>
      <c r="N37" s="21">
        <v>51814.0</v>
      </c>
      <c r="O37" s="21">
        <v>129602.0</v>
      </c>
      <c r="P37" s="21">
        <v>21947.0</v>
      </c>
      <c r="Q37" s="21">
        <v>20000.0</v>
      </c>
      <c r="R37" s="21">
        <v>0.0</v>
      </c>
      <c r="S37" s="21">
        <v>0.0</v>
      </c>
      <c r="T37" s="21">
        <v>89985.0</v>
      </c>
      <c r="U37" s="21">
        <v>0.0</v>
      </c>
      <c r="V37" s="21">
        <v>0.0</v>
      </c>
      <c r="W37" s="21">
        <v>0.0</v>
      </c>
      <c r="X37" s="21">
        <v>142466.0</v>
      </c>
      <c r="Y37" s="21">
        <v>0.0</v>
      </c>
      <c r="Z37" s="21">
        <v>65000.0</v>
      </c>
      <c r="AA37" s="21">
        <v>111781.0</v>
      </c>
      <c r="AB37" s="21">
        <v>325500.0</v>
      </c>
      <c r="AC37" s="21">
        <v>156000.0</v>
      </c>
      <c r="AD37" s="21">
        <v>0.0</v>
      </c>
      <c r="AE37" s="22">
        <v>0.0</v>
      </c>
      <c r="AF37" s="22">
        <v>1.9935815E7</v>
      </c>
      <c r="AG37" s="22">
        <v>-394031.0</v>
      </c>
      <c r="AH37" s="23">
        <v>0.0</v>
      </c>
      <c r="AI37" s="24">
        <v>0.0</v>
      </c>
      <c r="AJ37" s="24">
        <v>0.0</v>
      </c>
    </row>
    <row r="38">
      <c r="A38" s="15">
        <v>44197.0</v>
      </c>
      <c r="B38" s="18">
        <v>2021.0</v>
      </c>
      <c r="C38" s="19">
        <v>0.0</v>
      </c>
      <c r="D38" s="19">
        <v>3.0</v>
      </c>
      <c r="E38" s="21">
        <v>0.0</v>
      </c>
      <c r="F38" s="21">
        <v>193790.0</v>
      </c>
      <c r="G38" s="21">
        <v>20588.0</v>
      </c>
      <c r="H38" s="21">
        <v>0.0</v>
      </c>
      <c r="I38" s="21">
        <v>0.0</v>
      </c>
      <c r="J38" s="21">
        <v>85267.0</v>
      </c>
      <c r="K38" s="21">
        <v>2059.0</v>
      </c>
      <c r="L38" s="21">
        <v>320174.0</v>
      </c>
      <c r="M38" s="21">
        <v>0.0</v>
      </c>
      <c r="N38" s="21">
        <v>25071.0</v>
      </c>
      <c r="O38" s="21">
        <v>184182.0</v>
      </c>
      <c r="P38" s="21">
        <v>33850.0</v>
      </c>
      <c r="Q38" s="21">
        <v>37500.0</v>
      </c>
      <c r="R38" s="21">
        <v>0.0</v>
      </c>
      <c r="S38" s="21">
        <v>0.0</v>
      </c>
      <c r="T38" s="21">
        <v>158451.0</v>
      </c>
      <c r="U38" s="21">
        <v>0.0</v>
      </c>
      <c r="V38" s="21">
        <v>0.0</v>
      </c>
      <c r="W38" s="21">
        <v>0.0</v>
      </c>
      <c r="X38" s="21">
        <v>162468.0</v>
      </c>
      <c r="Y38" s="21">
        <v>0.0</v>
      </c>
      <c r="Z38" s="21">
        <v>73433.0</v>
      </c>
      <c r="AA38" s="21">
        <v>121873.0</v>
      </c>
      <c r="AB38" s="21">
        <v>347866.0</v>
      </c>
      <c r="AC38" s="21">
        <v>187320.0</v>
      </c>
      <c r="AD38" s="21">
        <v>0.0</v>
      </c>
      <c r="AE38" s="22">
        <v>0.0</v>
      </c>
      <c r="AF38" s="22">
        <v>1.9410332E7</v>
      </c>
      <c r="AG38" s="22">
        <v>-525483.0</v>
      </c>
      <c r="AH38" s="23">
        <v>0.0</v>
      </c>
      <c r="AI38" s="24">
        <v>0.0</v>
      </c>
      <c r="AJ38" s="24">
        <v>0.0</v>
      </c>
    </row>
    <row r="39">
      <c r="A39" s="15">
        <v>44228.0</v>
      </c>
      <c r="B39" s="18">
        <v>2021.0</v>
      </c>
      <c r="C39" s="19">
        <v>0.0</v>
      </c>
      <c r="D39" s="19">
        <v>4.0</v>
      </c>
      <c r="E39" s="21">
        <v>0.0</v>
      </c>
      <c r="F39" s="21">
        <v>198067.0</v>
      </c>
      <c r="G39" s="21">
        <v>20588.0</v>
      </c>
      <c r="H39" s="21">
        <v>0.0</v>
      </c>
      <c r="I39" s="21">
        <v>0.0</v>
      </c>
      <c r="J39" s="21">
        <v>87150.0</v>
      </c>
      <c r="K39" s="21">
        <v>2059.0</v>
      </c>
      <c r="L39" s="21">
        <v>327242.0</v>
      </c>
      <c r="M39" s="21">
        <v>0.0</v>
      </c>
      <c r="N39" s="21">
        <v>30422.0</v>
      </c>
      <c r="O39" s="21">
        <v>188063.0</v>
      </c>
      <c r="P39" s="21">
        <v>34513.0</v>
      </c>
      <c r="Q39" s="21">
        <v>37500.0</v>
      </c>
      <c r="R39" s="21">
        <v>0.0</v>
      </c>
      <c r="S39" s="21">
        <v>0.0</v>
      </c>
      <c r="T39" s="21">
        <v>160407.0</v>
      </c>
      <c r="U39" s="21">
        <v>0.0</v>
      </c>
      <c r="V39" s="21">
        <v>0.0</v>
      </c>
      <c r="W39" s="21">
        <v>0.0</v>
      </c>
      <c r="X39" s="21">
        <v>181637.0</v>
      </c>
      <c r="Y39" s="21">
        <v>0.0</v>
      </c>
      <c r="Z39" s="21">
        <v>81505.0</v>
      </c>
      <c r="AA39" s="21">
        <v>131459.0</v>
      </c>
      <c r="AB39" s="21">
        <v>368939.0</v>
      </c>
      <c r="AC39" s="21">
        <v>217482.0</v>
      </c>
      <c r="AD39" s="21">
        <v>0.0</v>
      </c>
      <c r="AE39" s="22">
        <v>0.0</v>
      </c>
      <c r="AF39" s="22">
        <v>1.8867224E7</v>
      </c>
      <c r="AG39" s="22">
        <v>-543108.0</v>
      </c>
      <c r="AH39" s="23">
        <v>0.0</v>
      </c>
      <c r="AI39" s="24">
        <v>0.0</v>
      </c>
      <c r="AJ39" s="24">
        <v>0.0</v>
      </c>
    </row>
    <row r="40">
      <c r="A40" s="15">
        <v>44256.0</v>
      </c>
      <c r="B40" s="18">
        <v>2021.0</v>
      </c>
      <c r="C40" s="19">
        <v>0.0</v>
      </c>
      <c r="D40" s="19">
        <v>4.0</v>
      </c>
      <c r="E40" s="21">
        <v>0.0</v>
      </c>
      <c r="F40" s="21">
        <v>198057.0</v>
      </c>
      <c r="G40" s="21">
        <v>128676.0</v>
      </c>
      <c r="H40" s="21">
        <v>0.0</v>
      </c>
      <c r="I40" s="21">
        <v>0.0</v>
      </c>
      <c r="J40" s="21">
        <v>87145.0</v>
      </c>
      <c r="K40" s="21">
        <v>12868.0</v>
      </c>
      <c r="L40" s="21">
        <v>327224.0</v>
      </c>
      <c r="M40" s="21">
        <v>0.0</v>
      </c>
      <c r="N40" s="21">
        <v>35718.0</v>
      </c>
      <c r="O40" s="21">
        <v>190280.0</v>
      </c>
      <c r="P40" s="21">
        <v>35177.0</v>
      </c>
      <c r="Q40" s="21">
        <v>37500.0</v>
      </c>
      <c r="R40" s="21">
        <v>0.0</v>
      </c>
      <c r="S40" s="21">
        <v>0.0</v>
      </c>
      <c r="T40" s="21">
        <v>397105.0</v>
      </c>
      <c r="U40" s="21">
        <v>0.0</v>
      </c>
      <c r="V40" s="21">
        <v>0.0</v>
      </c>
      <c r="W40" s="21">
        <v>0.0</v>
      </c>
      <c r="X40" s="21">
        <v>199364.0</v>
      </c>
      <c r="Y40" s="21">
        <v>0.0</v>
      </c>
      <c r="Z40" s="21">
        <v>88950.0</v>
      </c>
      <c r="AA40" s="21">
        <v>140167.0</v>
      </c>
      <c r="AB40" s="21">
        <v>387773.0</v>
      </c>
      <c r="AC40" s="21">
        <v>245640.0</v>
      </c>
      <c r="AD40" s="21">
        <v>0.0</v>
      </c>
      <c r="AE40" s="22">
        <v>0.0</v>
      </c>
      <c r="AF40" s="22">
        <v>1.8174145E7</v>
      </c>
      <c r="AG40" s="22">
        <v>-693079.0</v>
      </c>
      <c r="AH40" s="23">
        <v>0.0</v>
      </c>
      <c r="AI40" s="24">
        <v>0.0</v>
      </c>
      <c r="AJ40" s="24">
        <v>0.0</v>
      </c>
    </row>
    <row r="41">
      <c r="A41" s="15">
        <v>44287.0</v>
      </c>
      <c r="B41" s="18">
        <v>2021.0</v>
      </c>
      <c r="C41" s="19">
        <v>0.0</v>
      </c>
      <c r="D41" s="19">
        <v>5.0</v>
      </c>
      <c r="E41" s="21">
        <v>0.0</v>
      </c>
      <c r="F41" s="21">
        <v>194334.0</v>
      </c>
      <c r="G41" s="21">
        <v>20588.0</v>
      </c>
      <c r="H41" s="21">
        <v>0.0</v>
      </c>
      <c r="I41" s="21">
        <v>0.0</v>
      </c>
      <c r="J41" s="21">
        <v>85507.0</v>
      </c>
      <c r="K41" s="21">
        <v>2059.0</v>
      </c>
      <c r="L41" s="21">
        <v>321073.0</v>
      </c>
      <c r="M41" s="21">
        <v>0.0</v>
      </c>
      <c r="N41" s="21">
        <v>40964.0</v>
      </c>
      <c r="O41" s="21">
        <v>190574.0</v>
      </c>
      <c r="P41" s="21">
        <v>35841.0</v>
      </c>
      <c r="Q41" s="21">
        <v>37500.0</v>
      </c>
      <c r="R41" s="21">
        <v>0.0</v>
      </c>
      <c r="S41" s="21">
        <v>0.0</v>
      </c>
      <c r="T41" s="21">
        <v>164319.0</v>
      </c>
      <c r="U41" s="21">
        <v>0.0</v>
      </c>
      <c r="V41" s="21">
        <v>0.0</v>
      </c>
      <c r="W41" s="21">
        <v>0.0</v>
      </c>
      <c r="X41" s="21">
        <v>215427.0</v>
      </c>
      <c r="Y41" s="21">
        <v>0.0</v>
      </c>
      <c r="Z41" s="21">
        <v>95672.0</v>
      </c>
      <c r="AA41" s="21">
        <v>147861.0</v>
      </c>
      <c r="AB41" s="21">
        <v>404022.0</v>
      </c>
      <c r="AC41" s="21">
        <v>271482.0</v>
      </c>
      <c r="AD41" s="21">
        <v>0.0</v>
      </c>
      <c r="AE41" s="22">
        <v>0.0</v>
      </c>
      <c r="AF41" s="22">
        <v>1.7611571E7</v>
      </c>
      <c r="AG41" s="22">
        <v>-562574.0</v>
      </c>
      <c r="AH41" s="23">
        <v>0.0</v>
      </c>
      <c r="AI41" s="24">
        <v>0.0</v>
      </c>
      <c r="AJ41" s="24">
        <v>0.0</v>
      </c>
    </row>
    <row r="42">
      <c r="A42" s="15">
        <v>44317.0</v>
      </c>
      <c r="B42" s="18">
        <v>2021.0</v>
      </c>
      <c r="C42" s="19">
        <v>0.0</v>
      </c>
      <c r="D42" s="19">
        <v>5.0</v>
      </c>
      <c r="E42" s="21">
        <v>0.0</v>
      </c>
      <c r="F42" s="21">
        <v>188466.0</v>
      </c>
      <c r="G42" s="21">
        <v>20588.0</v>
      </c>
      <c r="H42" s="21">
        <v>0.0</v>
      </c>
      <c r="I42" s="21">
        <v>0.0</v>
      </c>
      <c r="J42" s="21">
        <v>82925.0</v>
      </c>
      <c r="K42" s="21">
        <v>2059.0</v>
      </c>
      <c r="L42" s="21">
        <v>311379.0</v>
      </c>
      <c r="M42" s="21">
        <v>0.0</v>
      </c>
      <c r="N42" s="21">
        <v>46181.0</v>
      </c>
      <c r="O42" s="21">
        <v>189204.0</v>
      </c>
      <c r="P42" s="21">
        <v>36504.0</v>
      </c>
      <c r="Q42" s="21">
        <v>37500.0</v>
      </c>
      <c r="R42" s="21">
        <v>0.0</v>
      </c>
      <c r="S42" s="21">
        <v>0.0</v>
      </c>
      <c r="T42" s="21">
        <v>166275.0</v>
      </c>
      <c r="U42" s="21">
        <v>0.0</v>
      </c>
      <c r="V42" s="21">
        <v>0.0</v>
      </c>
      <c r="W42" s="21">
        <v>0.0</v>
      </c>
      <c r="X42" s="21">
        <v>230047.0</v>
      </c>
      <c r="Y42" s="21">
        <v>0.0</v>
      </c>
      <c r="Z42" s="21">
        <v>101767.0</v>
      </c>
      <c r="AA42" s="21">
        <v>154677.0</v>
      </c>
      <c r="AB42" s="21">
        <v>418032.0</v>
      </c>
      <c r="AC42" s="21">
        <v>295320.0</v>
      </c>
      <c r="AD42" s="21">
        <v>0.0</v>
      </c>
      <c r="AE42" s="22">
        <v>0.0</v>
      </c>
      <c r="AF42" s="22">
        <v>1.7046551E7</v>
      </c>
      <c r="AG42" s="22">
        <v>-565020.0</v>
      </c>
      <c r="AH42" s="23">
        <v>0.0</v>
      </c>
      <c r="AI42" s="24">
        <v>0.0</v>
      </c>
      <c r="AJ42" s="24">
        <v>0.0</v>
      </c>
    </row>
    <row r="43">
      <c r="A43" s="15">
        <v>44348.0</v>
      </c>
      <c r="B43" s="18">
        <v>2021.0</v>
      </c>
      <c r="C43" s="19">
        <v>0.0</v>
      </c>
      <c r="D43" s="19">
        <v>6.0</v>
      </c>
      <c r="E43" s="21">
        <v>0.0</v>
      </c>
      <c r="F43" s="21">
        <v>182599.0</v>
      </c>
      <c r="G43" s="21">
        <v>128676.0</v>
      </c>
      <c r="H43" s="21">
        <v>0.0</v>
      </c>
      <c r="I43" s="21">
        <v>0.0</v>
      </c>
      <c r="J43" s="21">
        <v>80344.0</v>
      </c>
      <c r="K43" s="21">
        <v>12868.0</v>
      </c>
      <c r="L43" s="21">
        <v>301685.0</v>
      </c>
      <c r="M43" s="21">
        <v>0.0</v>
      </c>
      <c r="N43" s="21">
        <v>51399.0</v>
      </c>
      <c r="O43" s="21">
        <v>186872.0</v>
      </c>
      <c r="P43" s="21">
        <v>37168.0</v>
      </c>
      <c r="Q43" s="21">
        <v>37500.0</v>
      </c>
      <c r="R43" s="21">
        <v>0.0</v>
      </c>
      <c r="S43" s="21">
        <v>0.0</v>
      </c>
      <c r="T43" s="21">
        <v>168232.0</v>
      </c>
      <c r="U43" s="21">
        <v>0.0</v>
      </c>
      <c r="V43" s="21">
        <v>0.0</v>
      </c>
      <c r="W43" s="21">
        <v>0.0</v>
      </c>
      <c r="X43" s="21">
        <v>243836.0</v>
      </c>
      <c r="Y43" s="21">
        <v>0.0</v>
      </c>
      <c r="Z43" s="21">
        <v>107500.0</v>
      </c>
      <c r="AA43" s="21">
        <v>160986.0</v>
      </c>
      <c r="AB43" s="21">
        <v>430750.0</v>
      </c>
      <c r="AC43" s="21">
        <v>318000.0</v>
      </c>
      <c r="AD43" s="21">
        <v>0.0</v>
      </c>
      <c r="AE43" s="22">
        <v>0.0</v>
      </c>
      <c r="AF43" s="22">
        <v>1.6578611E7</v>
      </c>
      <c r="AG43" s="22">
        <v>-467940.0</v>
      </c>
      <c r="AH43" s="23">
        <v>0.0</v>
      </c>
      <c r="AI43" s="24">
        <v>0.0</v>
      </c>
      <c r="AJ43" s="24">
        <v>0.0</v>
      </c>
    </row>
    <row r="44">
      <c r="A44" s="15">
        <v>44378.0</v>
      </c>
      <c r="B44" s="18">
        <v>2021.0</v>
      </c>
      <c r="C44" s="19">
        <v>0.0</v>
      </c>
      <c r="D44" s="19">
        <v>6.0</v>
      </c>
      <c r="E44" s="21">
        <v>0.0</v>
      </c>
      <c r="F44" s="21">
        <v>178876.0</v>
      </c>
      <c r="G44" s="21">
        <v>20588.0</v>
      </c>
      <c r="H44" s="21">
        <v>0.0</v>
      </c>
      <c r="I44" s="21">
        <v>0.0</v>
      </c>
      <c r="J44" s="21">
        <v>78705.0</v>
      </c>
      <c r="K44" s="21">
        <v>2059.0</v>
      </c>
      <c r="L44" s="21">
        <v>295534.0</v>
      </c>
      <c r="M44" s="21">
        <v>0.0</v>
      </c>
      <c r="N44" s="21">
        <v>56645.0</v>
      </c>
      <c r="O44" s="21">
        <v>184541.0</v>
      </c>
      <c r="P44" s="21">
        <v>37832.0</v>
      </c>
      <c r="Q44" s="21">
        <v>37500.0</v>
      </c>
      <c r="R44" s="21">
        <v>0.0</v>
      </c>
      <c r="S44" s="21">
        <v>0.0</v>
      </c>
      <c r="T44" s="21">
        <v>170188.0</v>
      </c>
      <c r="U44" s="21">
        <v>0.0</v>
      </c>
      <c r="V44" s="21">
        <v>0.0</v>
      </c>
      <c r="W44" s="21">
        <v>0.0</v>
      </c>
      <c r="X44" s="21">
        <v>257624.0</v>
      </c>
      <c r="Y44" s="21">
        <v>0.0</v>
      </c>
      <c r="Z44" s="21">
        <v>113233.0</v>
      </c>
      <c r="AA44" s="21">
        <v>167295.0</v>
      </c>
      <c r="AB44" s="21">
        <v>443468.0</v>
      </c>
      <c r="AC44" s="21">
        <v>340680.0</v>
      </c>
      <c r="AD44" s="21">
        <v>0.0</v>
      </c>
      <c r="AE44" s="22">
        <v>0.0</v>
      </c>
      <c r="AF44" s="22">
        <v>1.6012589E7</v>
      </c>
      <c r="AG44" s="22">
        <v>-566022.0</v>
      </c>
      <c r="AH44" s="23">
        <v>0.0</v>
      </c>
      <c r="AI44" s="24">
        <v>0.0</v>
      </c>
      <c r="AJ44" s="24">
        <v>0.0</v>
      </c>
    </row>
    <row r="45">
      <c r="A45" s="15">
        <v>44409.0</v>
      </c>
      <c r="B45" s="18">
        <v>2021.0</v>
      </c>
      <c r="C45" s="19">
        <v>0.0</v>
      </c>
      <c r="D45" s="19">
        <v>6.0</v>
      </c>
      <c r="E45" s="21">
        <v>0.0</v>
      </c>
      <c r="F45" s="21">
        <v>178865.0</v>
      </c>
      <c r="G45" s="21">
        <v>20588.0</v>
      </c>
      <c r="H45" s="21">
        <v>0.0</v>
      </c>
      <c r="I45" s="21">
        <v>0.0</v>
      </c>
      <c r="J45" s="21">
        <v>78701.0</v>
      </c>
      <c r="K45" s="21">
        <v>2059.0</v>
      </c>
      <c r="L45" s="21">
        <v>295516.0</v>
      </c>
      <c r="M45" s="21">
        <v>0.0</v>
      </c>
      <c r="N45" s="21">
        <v>61940.0</v>
      </c>
      <c r="O45" s="21">
        <v>183171.0</v>
      </c>
      <c r="P45" s="21">
        <v>38496.0</v>
      </c>
      <c r="Q45" s="21">
        <v>37500.0</v>
      </c>
      <c r="R45" s="21">
        <v>0.0</v>
      </c>
      <c r="S45" s="21">
        <v>0.0</v>
      </c>
      <c r="T45" s="21">
        <v>172144.0</v>
      </c>
      <c r="U45" s="21">
        <v>0.0</v>
      </c>
      <c r="V45" s="21">
        <v>0.0</v>
      </c>
      <c r="W45" s="21">
        <v>0.0</v>
      </c>
      <c r="X45" s="21">
        <v>272244.0</v>
      </c>
      <c r="Y45" s="21">
        <v>0.0</v>
      </c>
      <c r="Z45" s="21">
        <v>119328.0</v>
      </c>
      <c r="AA45" s="21">
        <v>174112.0</v>
      </c>
      <c r="AB45" s="21">
        <v>457478.0</v>
      </c>
      <c r="AC45" s="21">
        <v>364518.0</v>
      </c>
      <c r="AD45" s="21">
        <v>0.0</v>
      </c>
      <c r="AE45" s="22">
        <v>0.0</v>
      </c>
      <c r="AF45" s="22">
        <v>1.5442461E7</v>
      </c>
      <c r="AG45" s="22">
        <v>-570128.0</v>
      </c>
      <c r="AH45" s="23">
        <v>0.0</v>
      </c>
      <c r="AI45" s="24">
        <v>0.0</v>
      </c>
      <c r="AJ45" s="24">
        <v>0.0</v>
      </c>
    </row>
    <row r="46">
      <c r="A46" s="15">
        <v>44440.0</v>
      </c>
      <c r="B46" s="18">
        <v>2021.0</v>
      </c>
      <c r="C46" s="19">
        <v>0.0</v>
      </c>
      <c r="D46" s="19">
        <v>7.0</v>
      </c>
      <c r="E46" s="21">
        <v>0.0</v>
      </c>
      <c r="F46" s="21">
        <v>183143.0</v>
      </c>
      <c r="G46" s="21">
        <v>128676.0</v>
      </c>
      <c r="H46" s="21">
        <v>0.0</v>
      </c>
      <c r="I46" s="21">
        <v>0.0</v>
      </c>
      <c r="J46" s="21">
        <v>80583.0</v>
      </c>
      <c r="K46" s="21">
        <v>12868.0</v>
      </c>
      <c r="L46" s="21">
        <v>302584.0</v>
      </c>
      <c r="M46" s="21">
        <v>0.0</v>
      </c>
      <c r="N46" s="21">
        <v>67292.0</v>
      </c>
      <c r="O46" s="21">
        <v>183465.0</v>
      </c>
      <c r="P46" s="21">
        <v>39159.0</v>
      </c>
      <c r="Q46" s="21">
        <v>37500.0</v>
      </c>
      <c r="R46" s="21">
        <v>0.0</v>
      </c>
      <c r="S46" s="21">
        <v>0.0</v>
      </c>
      <c r="T46" s="21">
        <v>408842.0</v>
      </c>
      <c r="U46" s="21">
        <v>0.0</v>
      </c>
      <c r="V46" s="21">
        <v>0.0</v>
      </c>
      <c r="W46" s="21">
        <v>0.0</v>
      </c>
      <c r="X46" s="21">
        <v>288307.0</v>
      </c>
      <c r="Y46" s="21">
        <v>0.0</v>
      </c>
      <c r="Z46" s="21">
        <v>126050.0</v>
      </c>
      <c r="AA46" s="21">
        <v>181806.0</v>
      </c>
      <c r="AB46" s="21">
        <v>473727.0</v>
      </c>
      <c r="AC46" s="21">
        <v>390360.0</v>
      </c>
      <c r="AD46" s="21">
        <v>0.0</v>
      </c>
      <c r="AE46" s="22">
        <v>0.0</v>
      </c>
      <c r="AF46" s="22">
        <v>1.4725646E7</v>
      </c>
      <c r="AG46" s="22">
        <v>-716815.0</v>
      </c>
      <c r="AH46" s="23">
        <v>0.0</v>
      </c>
      <c r="AI46" s="24">
        <v>0.0</v>
      </c>
      <c r="AJ46" s="24">
        <v>0.0</v>
      </c>
    </row>
    <row r="47">
      <c r="A47" s="15">
        <v>44470.0</v>
      </c>
      <c r="B47" s="18">
        <v>2021.0</v>
      </c>
      <c r="C47" s="19">
        <v>0.0</v>
      </c>
      <c r="D47" s="19">
        <v>7.0</v>
      </c>
      <c r="E47" s="21">
        <v>0.0</v>
      </c>
      <c r="F47" s="21">
        <v>191133.0</v>
      </c>
      <c r="G47" s="21">
        <v>20588.0</v>
      </c>
      <c r="H47" s="21">
        <v>0.0</v>
      </c>
      <c r="I47" s="21">
        <v>0.0</v>
      </c>
      <c r="J47" s="21">
        <v>84099.0</v>
      </c>
      <c r="K47" s="21">
        <v>2059.0</v>
      </c>
      <c r="L47" s="21">
        <v>315785.0</v>
      </c>
      <c r="M47" s="21">
        <v>0.0</v>
      </c>
      <c r="N47" s="21">
        <v>72693.0</v>
      </c>
      <c r="O47" s="21">
        <v>185681.0</v>
      </c>
      <c r="P47" s="21">
        <v>39823.0</v>
      </c>
      <c r="Q47" s="21">
        <v>37500.0</v>
      </c>
      <c r="R47" s="21">
        <v>0.0</v>
      </c>
      <c r="S47" s="21">
        <v>0.0</v>
      </c>
      <c r="T47" s="21">
        <v>176056.0</v>
      </c>
      <c r="U47" s="21">
        <v>0.0</v>
      </c>
      <c r="V47" s="21">
        <v>0.0</v>
      </c>
      <c r="W47" s="21">
        <v>0.0</v>
      </c>
      <c r="X47" s="21">
        <v>306034.0</v>
      </c>
      <c r="Y47" s="21">
        <v>0.0</v>
      </c>
      <c r="Z47" s="21">
        <v>133495.0</v>
      </c>
      <c r="AA47" s="21">
        <v>190513.0</v>
      </c>
      <c r="AB47" s="21">
        <v>492561.0</v>
      </c>
      <c r="AC47" s="21">
        <v>418518.0</v>
      </c>
      <c r="AD47" s="21">
        <v>0.0</v>
      </c>
      <c r="AE47" s="22">
        <v>0.0</v>
      </c>
      <c r="AF47" s="22">
        <v>1.4131521E7</v>
      </c>
      <c r="AG47" s="22">
        <v>-594125.0</v>
      </c>
      <c r="AH47" s="23">
        <v>0.0</v>
      </c>
      <c r="AI47" s="24">
        <v>0.0</v>
      </c>
      <c r="AJ47" s="24">
        <v>0.0</v>
      </c>
    </row>
    <row r="48">
      <c r="A48" s="15">
        <v>44501.0</v>
      </c>
      <c r="B48" s="18">
        <v>2021.0</v>
      </c>
      <c r="C48" s="19">
        <v>0.0</v>
      </c>
      <c r="D48" s="19">
        <v>8.0</v>
      </c>
      <c r="E48" s="21">
        <v>0.0</v>
      </c>
      <c r="F48" s="21">
        <v>201268.0</v>
      </c>
      <c r="G48" s="21">
        <v>20588.0</v>
      </c>
      <c r="H48" s="21">
        <v>0.0</v>
      </c>
      <c r="I48" s="21">
        <v>0.0</v>
      </c>
      <c r="J48" s="21">
        <v>88558.0</v>
      </c>
      <c r="K48" s="21">
        <v>2059.0</v>
      </c>
      <c r="L48" s="21">
        <v>332529.0</v>
      </c>
      <c r="M48" s="21">
        <v>0.0</v>
      </c>
      <c r="N48" s="21">
        <v>78123.0</v>
      </c>
      <c r="O48" s="21">
        <v>189562.0</v>
      </c>
      <c r="P48" s="21">
        <v>40487.0</v>
      </c>
      <c r="Q48" s="21">
        <v>37500.0</v>
      </c>
      <c r="R48" s="21">
        <v>0.0</v>
      </c>
      <c r="S48" s="21">
        <v>0.0</v>
      </c>
      <c r="T48" s="21">
        <v>178013.0</v>
      </c>
      <c r="U48" s="21">
        <v>0.0</v>
      </c>
      <c r="V48" s="21">
        <v>0.0</v>
      </c>
      <c r="W48" s="21">
        <v>0.0</v>
      </c>
      <c r="X48" s="21">
        <v>325204.0</v>
      </c>
      <c r="Y48" s="21">
        <v>0.0</v>
      </c>
      <c r="Z48" s="21">
        <v>141567.0</v>
      </c>
      <c r="AA48" s="21">
        <v>200099.0</v>
      </c>
      <c r="AB48" s="21">
        <v>513634.0</v>
      </c>
      <c r="AC48" s="21">
        <v>448680.0</v>
      </c>
      <c r="AD48" s="21">
        <v>0.0</v>
      </c>
      <c r="AE48" s="22">
        <v>0.0</v>
      </c>
      <c r="AF48" s="22">
        <v>1.3518112E7</v>
      </c>
      <c r="AG48" s="22">
        <v>-613409.0</v>
      </c>
      <c r="AH48" s="23">
        <v>0.0</v>
      </c>
      <c r="AI48" s="24">
        <v>0.0</v>
      </c>
      <c r="AJ48" s="24">
        <v>0.0</v>
      </c>
    </row>
    <row r="49">
      <c r="A49" s="15">
        <v>44531.0</v>
      </c>
      <c r="B49" s="18">
        <v>2021.0</v>
      </c>
      <c r="C49" s="19">
        <v>0.0</v>
      </c>
      <c r="D49" s="19">
        <v>8.0</v>
      </c>
      <c r="E49" s="21">
        <v>0.0</v>
      </c>
      <c r="F49" s="21">
        <v>211402.0</v>
      </c>
      <c r="G49" s="21">
        <v>149268.0</v>
      </c>
      <c r="H49" s="21">
        <v>0.0</v>
      </c>
      <c r="I49" s="21">
        <v>0.0</v>
      </c>
      <c r="J49" s="21">
        <v>93016.0</v>
      </c>
      <c r="K49" s="21">
        <v>14924.0</v>
      </c>
      <c r="L49" s="21">
        <v>349275.0</v>
      </c>
      <c r="M49" s="21">
        <v>0.0</v>
      </c>
      <c r="N49" s="21">
        <v>83552.0</v>
      </c>
      <c r="O49" s="21">
        <v>194405.0</v>
      </c>
      <c r="P49" s="21">
        <v>41150.0</v>
      </c>
      <c r="Q49" s="21">
        <v>37500.0</v>
      </c>
      <c r="R49" s="21">
        <v>0.0</v>
      </c>
      <c r="S49" s="21">
        <v>0.0</v>
      </c>
      <c r="T49" s="21">
        <v>179968.0</v>
      </c>
      <c r="U49" s="21">
        <v>0.0</v>
      </c>
      <c r="V49" s="21">
        <v>0.0</v>
      </c>
      <c r="W49" s="21">
        <v>0.0</v>
      </c>
      <c r="X49" s="21">
        <v>345205.0</v>
      </c>
      <c r="Y49" s="21">
        <v>0.0</v>
      </c>
      <c r="Z49" s="21">
        <v>150000.0</v>
      </c>
      <c r="AA49" s="21">
        <v>210192.0</v>
      </c>
      <c r="AB49" s="21">
        <v>536000.0</v>
      </c>
      <c r="AC49" s="21">
        <v>480000.0</v>
      </c>
      <c r="AD49" s="21">
        <v>0.0</v>
      </c>
      <c r="AE49" s="22">
        <v>0.0</v>
      </c>
      <c r="AF49" s="22">
        <v>1.2998987E7</v>
      </c>
      <c r="AG49" s="22">
        <v>-519125.0</v>
      </c>
      <c r="AH49" s="23">
        <v>0.0</v>
      </c>
      <c r="AI49" s="24">
        <v>0.0</v>
      </c>
      <c r="AJ49" s="24">
        <v>0.0</v>
      </c>
    </row>
    <row r="50">
      <c r="A50" s="15">
        <v>44562.0</v>
      </c>
      <c r="B50" s="18">
        <v>2022.0</v>
      </c>
      <c r="C50" s="19">
        <v>0.0</v>
      </c>
      <c r="D50" s="19">
        <v>9.0</v>
      </c>
      <c r="E50" s="21">
        <v>0.0</v>
      </c>
      <c r="F50" s="21">
        <v>421282.0</v>
      </c>
      <c r="G50" s="21">
        <v>29412.0</v>
      </c>
      <c r="H50" s="21">
        <v>0.0</v>
      </c>
      <c r="I50" s="21">
        <v>0.0</v>
      </c>
      <c r="J50" s="21">
        <v>185364.0</v>
      </c>
      <c r="K50" s="21">
        <v>2941.0</v>
      </c>
      <c r="L50" s="21">
        <v>1074268.0</v>
      </c>
      <c r="M50" s="21">
        <v>189577.0</v>
      </c>
      <c r="N50" s="21">
        <v>81903.0</v>
      </c>
      <c r="O50" s="21">
        <v>409294.0</v>
      </c>
      <c r="P50" s="21">
        <v>56416.0</v>
      </c>
      <c r="Q50" s="21">
        <v>91667.0</v>
      </c>
      <c r="R50" s="21">
        <v>472.0</v>
      </c>
      <c r="S50" s="21">
        <v>0.0</v>
      </c>
      <c r="T50" s="21">
        <v>190141.0</v>
      </c>
      <c r="U50" s="21">
        <v>0.0</v>
      </c>
      <c r="V50" s="21">
        <v>0.0</v>
      </c>
      <c r="W50" s="21">
        <v>0.0</v>
      </c>
      <c r="X50" s="21">
        <v>384740.0</v>
      </c>
      <c r="Y50" s="21">
        <v>0.0</v>
      </c>
      <c r="Z50" s="21">
        <v>170740.0</v>
      </c>
      <c r="AA50" s="21">
        <v>261546.0</v>
      </c>
      <c r="AB50" s="21">
        <v>694467.0</v>
      </c>
      <c r="AC50" s="21">
        <v>561880.0</v>
      </c>
      <c r="AD50" s="21">
        <v>0.0</v>
      </c>
      <c r="AE50" s="22">
        <v>0.0</v>
      </c>
      <c r="AF50" s="22">
        <v>1.1547147E7</v>
      </c>
      <c r="AG50" s="22">
        <v>-1451840.0</v>
      </c>
      <c r="AH50" s="23">
        <v>0.0</v>
      </c>
      <c r="AI50" s="24">
        <v>0.0</v>
      </c>
      <c r="AJ50" s="24">
        <v>0.0</v>
      </c>
    </row>
    <row r="51">
      <c r="A51" s="15">
        <v>44593.0</v>
      </c>
      <c r="B51" s="18">
        <v>2022.0</v>
      </c>
      <c r="C51" s="19">
        <v>0.0</v>
      </c>
      <c r="D51" s="19">
        <v>9.0</v>
      </c>
      <c r="E51" s="21">
        <v>0.0</v>
      </c>
      <c r="F51" s="21">
        <v>430581.0</v>
      </c>
      <c r="G51" s="21">
        <v>29412.0</v>
      </c>
      <c r="H51" s="21">
        <v>0.0</v>
      </c>
      <c r="I51" s="21">
        <v>0.0</v>
      </c>
      <c r="J51" s="21">
        <v>189456.0</v>
      </c>
      <c r="K51" s="21">
        <v>2941.0</v>
      </c>
      <c r="L51" s="21">
        <v>1097982.0</v>
      </c>
      <c r="M51" s="21">
        <v>193762.0</v>
      </c>
      <c r="N51" s="21">
        <v>97706.0</v>
      </c>
      <c r="O51" s="21">
        <v>417918.0</v>
      </c>
      <c r="P51" s="21">
        <v>57522.0</v>
      </c>
      <c r="Q51" s="21">
        <v>91667.0</v>
      </c>
      <c r="R51" s="21">
        <v>472.0</v>
      </c>
      <c r="S51" s="21">
        <v>0.0</v>
      </c>
      <c r="T51" s="21">
        <v>192488.0</v>
      </c>
      <c r="U51" s="21">
        <v>0.0</v>
      </c>
      <c r="V51" s="21">
        <v>0.0</v>
      </c>
      <c r="W51" s="21">
        <v>0.0</v>
      </c>
      <c r="X51" s="21">
        <v>422490.0</v>
      </c>
      <c r="Y51" s="21">
        <v>0.0</v>
      </c>
      <c r="Z51" s="21">
        <v>190612.0</v>
      </c>
      <c r="AA51" s="21">
        <v>311102.0</v>
      </c>
      <c r="AB51" s="21">
        <v>847628.0</v>
      </c>
      <c r="AC51" s="21">
        <v>640577.0</v>
      </c>
      <c r="AD51" s="21">
        <v>0.0</v>
      </c>
      <c r="AE51" s="22">
        <v>0.0</v>
      </c>
      <c r="AF51" s="22">
        <v>1.0038207E7</v>
      </c>
      <c r="AG51" s="22">
        <v>-1508940.0</v>
      </c>
      <c r="AH51" s="23">
        <v>0.0</v>
      </c>
      <c r="AI51" s="24">
        <v>0.0</v>
      </c>
      <c r="AJ51" s="24">
        <v>0.0</v>
      </c>
    </row>
    <row r="52">
      <c r="A52" s="15">
        <v>44621.0</v>
      </c>
      <c r="B52" s="18">
        <v>2022.0</v>
      </c>
      <c r="C52" s="19">
        <v>0.0</v>
      </c>
      <c r="D52" s="19">
        <v>10.0</v>
      </c>
      <c r="E52" s="21">
        <v>0.0</v>
      </c>
      <c r="F52" s="21">
        <v>430558.0</v>
      </c>
      <c r="G52" s="21">
        <v>183824.0</v>
      </c>
      <c r="H52" s="21">
        <v>0.0</v>
      </c>
      <c r="I52" s="21">
        <v>0.0</v>
      </c>
      <c r="J52" s="21">
        <v>189446.0</v>
      </c>
      <c r="K52" s="21">
        <v>18382.0</v>
      </c>
      <c r="L52" s="21">
        <v>1097923.0</v>
      </c>
      <c r="M52" s="21">
        <v>193751.0</v>
      </c>
      <c r="N52" s="21">
        <v>113149.0</v>
      </c>
      <c r="O52" s="21">
        <v>422844.0</v>
      </c>
      <c r="P52" s="21">
        <v>58628.0</v>
      </c>
      <c r="Q52" s="21">
        <v>91667.0</v>
      </c>
      <c r="R52" s="21">
        <v>472.0</v>
      </c>
      <c r="S52" s="21">
        <v>0.0</v>
      </c>
      <c r="T52" s="21">
        <v>476526.0</v>
      </c>
      <c r="U52" s="21">
        <v>0.0</v>
      </c>
      <c r="V52" s="21">
        <v>0.0</v>
      </c>
      <c r="W52" s="21">
        <v>0.0</v>
      </c>
      <c r="X52" s="21">
        <v>457151.0</v>
      </c>
      <c r="Y52" s="21">
        <v>0.0</v>
      </c>
      <c r="Z52" s="21">
        <v>208980.0</v>
      </c>
      <c r="AA52" s="21">
        <v>357542.0</v>
      </c>
      <c r="AB52" s="21">
        <v>991600.0</v>
      </c>
      <c r="AC52" s="21">
        <v>713760.0</v>
      </c>
      <c r="AD52" s="21">
        <v>0.0</v>
      </c>
      <c r="AE52" s="22">
        <v>0.0</v>
      </c>
      <c r="AF52" s="22">
        <v>8350662.0</v>
      </c>
      <c r="AG52" s="22">
        <v>-1687545.0</v>
      </c>
      <c r="AH52" s="23">
        <v>0.0</v>
      </c>
      <c r="AI52" s="24">
        <v>0.0</v>
      </c>
      <c r="AJ52" s="24">
        <v>0.0</v>
      </c>
    </row>
    <row r="53">
      <c r="A53" s="15">
        <v>44652.0</v>
      </c>
      <c r="B53" s="18">
        <v>2022.0</v>
      </c>
      <c r="C53" s="19">
        <v>0.0</v>
      </c>
      <c r="D53" s="19">
        <v>10.0</v>
      </c>
      <c r="E53" s="21">
        <v>0.0</v>
      </c>
      <c r="F53" s="21">
        <v>422464.0</v>
      </c>
      <c r="G53" s="21">
        <v>29412.0</v>
      </c>
      <c r="H53" s="21">
        <v>0.0</v>
      </c>
      <c r="I53" s="21">
        <v>0.0</v>
      </c>
      <c r="J53" s="21">
        <v>185884.0</v>
      </c>
      <c r="K53" s="21">
        <v>2941.0</v>
      </c>
      <c r="L53" s="21">
        <v>1077284.0</v>
      </c>
      <c r="M53" s="21">
        <v>190109.0</v>
      </c>
      <c r="N53" s="21">
        <v>128280.0</v>
      </c>
      <c r="O53" s="21">
        <v>423498.0</v>
      </c>
      <c r="P53" s="21">
        <v>59735.0</v>
      </c>
      <c r="Q53" s="21">
        <v>91667.0</v>
      </c>
      <c r="R53" s="21">
        <v>103732.0</v>
      </c>
      <c r="S53" s="21">
        <v>0.0</v>
      </c>
      <c r="T53" s="21">
        <v>197183.0</v>
      </c>
      <c r="U53" s="21">
        <v>0.0</v>
      </c>
      <c r="V53" s="21">
        <v>2.2E7</v>
      </c>
      <c r="W53" s="21">
        <v>0.0</v>
      </c>
      <c r="X53" s="21">
        <v>488244.0</v>
      </c>
      <c r="Y53" s="21">
        <v>0.0</v>
      </c>
      <c r="Z53" s="21">
        <v>225612.0</v>
      </c>
      <c r="AA53" s="21">
        <v>400385.0</v>
      </c>
      <c r="AB53" s="21">
        <v>1124961.0</v>
      </c>
      <c r="AC53" s="21">
        <v>780577.0</v>
      </c>
      <c r="AD53" s="21">
        <v>0.0</v>
      </c>
      <c r="AE53" s="22">
        <v>2.2E7</v>
      </c>
      <c r="AF53" s="22">
        <v>2.8688923E7</v>
      </c>
      <c r="AG53" s="22">
        <v>2.0338261E7</v>
      </c>
      <c r="AH53" s="23">
        <v>0.0</v>
      </c>
      <c r="AI53" s="24">
        <v>0.0</v>
      </c>
      <c r="AJ53" s="24">
        <v>0.0</v>
      </c>
    </row>
    <row r="54">
      <c r="A54" s="15">
        <v>44682.0</v>
      </c>
      <c r="B54" s="18">
        <v>2022.0</v>
      </c>
      <c r="C54" s="19">
        <v>0.0</v>
      </c>
      <c r="D54" s="19">
        <v>11.0</v>
      </c>
      <c r="E54" s="21">
        <v>0.0</v>
      </c>
      <c r="F54" s="21">
        <v>409709.0</v>
      </c>
      <c r="G54" s="21">
        <v>29412.0</v>
      </c>
      <c r="H54" s="21">
        <v>0.0</v>
      </c>
      <c r="I54" s="21">
        <v>0.0</v>
      </c>
      <c r="J54" s="21">
        <v>180272.0</v>
      </c>
      <c r="K54" s="21">
        <v>2941.0</v>
      </c>
      <c r="L54" s="21">
        <v>1044759.0</v>
      </c>
      <c r="M54" s="21">
        <v>184369.0</v>
      </c>
      <c r="N54" s="21">
        <v>143232.0</v>
      </c>
      <c r="O54" s="21">
        <v>420453.0</v>
      </c>
      <c r="P54" s="21">
        <v>60841.0</v>
      </c>
      <c r="Q54" s="21">
        <v>91667.0</v>
      </c>
      <c r="R54" s="21">
        <v>103732.0</v>
      </c>
      <c r="S54" s="21">
        <v>0.0</v>
      </c>
      <c r="T54" s="21">
        <v>199531.0</v>
      </c>
      <c r="U54" s="21">
        <v>0.0</v>
      </c>
      <c r="V54" s="21">
        <v>0.0</v>
      </c>
      <c r="W54" s="21">
        <v>0.0</v>
      </c>
      <c r="X54" s="21">
        <v>516247.0</v>
      </c>
      <c r="Y54" s="21">
        <v>0.0</v>
      </c>
      <c r="Z54" s="21">
        <v>240740.0</v>
      </c>
      <c r="AA54" s="21">
        <v>440113.0</v>
      </c>
      <c r="AB54" s="21">
        <v>1249133.0</v>
      </c>
      <c r="AC54" s="21">
        <v>841880.0</v>
      </c>
      <c r="AD54" s="21">
        <v>0.0</v>
      </c>
      <c r="AE54" s="22">
        <v>2.2E7</v>
      </c>
      <c r="AF54" s="22">
        <v>2.7030827E7</v>
      </c>
      <c r="AG54" s="22">
        <v>-1658096.0</v>
      </c>
      <c r="AH54" s="23">
        <v>0.0</v>
      </c>
      <c r="AI54" s="24">
        <v>0.0</v>
      </c>
      <c r="AJ54" s="24">
        <v>0.0</v>
      </c>
    </row>
    <row r="55">
      <c r="A55" s="15">
        <v>44713.0</v>
      </c>
      <c r="B55" s="18">
        <v>2022.0</v>
      </c>
      <c r="C55" s="19">
        <v>0.0</v>
      </c>
      <c r="D55" s="19">
        <v>12.0</v>
      </c>
      <c r="E55" s="21">
        <v>0.0</v>
      </c>
      <c r="F55" s="21">
        <v>396954.0</v>
      </c>
      <c r="G55" s="21">
        <v>183824.0</v>
      </c>
      <c r="H55" s="21">
        <v>0.0</v>
      </c>
      <c r="I55" s="21">
        <v>0.0</v>
      </c>
      <c r="J55" s="21">
        <v>174660.0</v>
      </c>
      <c r="K55" s="21">
        <v>18382.0</v>
      </c>
      <c r="L55" s="21">
        <v>1012234.0</v>
      </c>
      <c r="M55" s="21">
        <v>178629.0</v>
      </c>
      <c r="N55" s="21">
        <v>158184.0</v>
      </c>
      <c r="O55" s="21">
        <v>415272.0</v>
      </c>
      <c r="P55" s="21">
        <v>61947.0</v>
      </c>
      <c r="Q55" s="21">
        <v>91667.0</v>
      </c>
      <c r="R55" s="21">
        <v>103732.0</v>
      </c>
      <c r="S55" s="21">
        <v>0.0</v>
      </c>
      <c r="T55" s="21">
        <v>201878.0</v>
      </c>
      <c r="U55" s="21">
        <v>0.0</v>
      </c>
      <c r="V55" s="21">
        <v>0.0</v>
      </c>
      <c r="W55" s="21">
        <v>0.0</v>
      </c>
      <c r="X55" s="21">
        <v>542466.0</v>
      </c>
      <c r="Y55" s="21">
        <v>0.0</v>
      </c>
      <c r="Z55" s="21">
        <v>255000.0</v>
      </c>
      <c r="AA55" s="21">
        <v>478041.0</v>
      </c>
      <c r="AB55" s="21">
        <v>1368000.0</v>
      </c>
      <c r="AC55" s="21">
        <v>900000.0</v>
      </c>
      <c r="AD55" s="21">
        <v>0.0</v>
      </c>
      <c r="AE55" s="22">
        <v>2.2E7</v>
      </c>
      <c r="AF55" s="22">
        <v>2.552307E7</v>
      </c>
      <c r="AG55" s="22">
        <v>-1507757.0</v>
      </c>
      <c r="AH55" s="23">
        <v>0.0</v>
      </c>
      <c r="AI55" s="24">
        <v>0.0</v>
      </c>
      <c r="AJ55" s="24">
        <v>0.0</v>
      </c>
    </row>
    <row r="56">
      <c r="A56" s="15">
        <v>44743.0</v>
      </c>
      <c r="B56" s="18">
        <v>2022.0</v>
      </c>
      <c r="C56" s="19">
        <v>0.0</v>
      </c>
      <c r="D56" s="19">
        <v>12.0</v>
      </c>
      <c r="E56" s="21">
        <v>0.0</v>
      </c>
      <c r="F56" s="21">
        <v>388861.0</v>
      </c>
      <c r="G56" s="21">
        <v>29412.0</v>
      </c>
      <c r="H56" s="21">
        <v>0.0</v>
      </c>
      <c r="I56" s="21">
        <v>0.0</v>
      </c>
      <c r="J56" s="21">
        <v>171099.0</v>
      </c>
      <c r="K56" s="21">
        <v>2941.0</v>
      </c>
      <c r="L56" s="21">
        <v>991595.0</v>
      </c>
      <c r="M56" s="21">
        <v>174987.0</v>
      </c>
      <c r="N56" s="21">
        <v>173315.0</v>
      </c>
      <c r="O56" s="21">
        <v>410091.0</v>
      </c>
      <c r="P56" s="21">
        <v>63053.0</v>
      </c>
      <c r="Q56" s="21">
        <v>91667.0</v>
      </c>
      <c r="R56" s="21">
        <v>103732.0</v>
      </c>
      <c r="S56" s="21">
        <v>0.0</v>
      </c>
      <c r="T56" s="21">
        <v>204225.0</v>
      </c>
      <c r="U56" s="21">
        <v>6.0E7</v>
      </c>
      <c r="V56" s="21">
        <v>0.0</v>
      </c>
      <c r="W56" s="21">
        <v>0.0</v>
      </c>
      <c r="X56" s="21">
        <v>568685.0</v>
      </c>
      <c r="Y56" s="21">
        <v>0.0</v>
      </c>
      <c r="Z56" s="21">
        <v>269260.0</v>
      </c>
      <c r="AA56" s="21">
        <v>515970.0</v>
      </c>
      <c r="AB56" s="21">
        <v>1486867.0</v>
      </c>
      <c r="AC56" s="21">
        <v>958120.0</v>
      </c>
      <c r="AD56" s="21">
        <v>0.0</v>
      </c>
      <c r="AE56" s="22">
        <v>2.2E7</v>
      </c>
      <c r="AF56" s="22">
        <v>8.3883795E7</v>
      </c>
      <c r="AG56" s="22">
        <v>-1639275.0</v>
      </c>
      <c r="AH56" s="23">
        <v>0.0</v>
      </c>
      <c r="AI56" s="24">
        <v>0.0</v>
      </c>
      <c r="AJ56" s="24">
        <v>0.0</v>
      </c>
    </row>
    <row r="57">
      <c r="A57" s="15">
        <v>44774.0</v>
      </c>
      <c r="B57" s="18">
        <v>2022.0</v>
      </c>
      <c r="C57" s="19">
        <v>0.0</v>
      </c>
      <c r="D57" s="19">
        <v>13.0</v>
      </c>
      <c r="E57" s="21">
        <v>0.0</v>
      </c>
      <c r="F57" s="21">
        <v>388837.0</v>
      </c>
      <c r="G57" s="21">
        <v>29412.0</v>
      </c>
      <c r="H57" s="21">
        <v>0.0</v>
      </c>
      <c r="I57" s="21">
        <v>0.0</v>
      </c>
      <c r="J57" s="21">
        <v>171088.0</v>
      </c>
      <c r="K57" s="21">
        <v>2941.0</v>
      </c>
      <c r="L57" s="21">
        <v>991535.0</v>
      </c>
      <c r="M57" s="21">
        <v>174977.0</v>
      </c>
      <c r="N57" s="21">
        <v>188758.0</v>
      </c>
      <c r="O57" s="21">
        <v>407046.0</v>
      </c>
      <c r="P57" s="21">
        <v>64159.0</v>
      </c>
      <c r="Q57" s="21">
        <v>91667.0</v>
      </c>
      <c r="R57" s="21">
        <v>103732.0</v>
      </c>
      <c r="S57" s="21">
        <v>0.0</v>
      </c>
      <c r="T57" s="21">
        <v>206573.0</v>
      </c>
      <c r="U57" s="21">
        <v>0.0</v>
      </c>
      <c r="V57" s="21">
        <v>0.0</v>
      </c>
      <c r="W57" s="21">
        <v>0.0</v>
      </c>
      <c r="X57" s="21">
        <v>596688.0</v>
      </c>
      <c r="Y57" s="21">
        <v>0.0</v>
      </c>
      <c r="Z57" s="21">
        <v>284388.0</v>
      </c>
      <c r="AA57" s="21">
        <v>555697.0</v>
      </c>
      <c r="AB57" s="21">
        <v>1611039.0</v>
      </c>
      <c r="AC57" s="21">
        <v>1019423.0</v>
      </c>
      <c r="AD57" s="21">
        <v>0.0</v>
      </c>
      <c r="AE57" s="22">
        <v>2.2E7</v>
      </c>
      <c r="AF57" s="22">
        <v>8.2237465E7</v>
      </c>
      <c r="AG57" s="22">
        <v>-1646330.0</v>
      </c>
      <c r="AH57" s="23">
        <v>0.0</v>
      </c>
      <c r="AI57" s="24">
        <v>0.0</v>
      </c>
      <c r="AJ57" s="24">
        <v>0.0</v>
      </c>
    </row>
    <row r="58">
      <c r="A58" s="15">
        <v>44805.0</v>
      </c>
      <c r="B58" s="18">
        <v>2022.0</v>
      </c>
      <c r="C58" s="19">
        <v>0.0</v>
      </c>
      <c r="D58" s="19">
        <v>13.0</v>
      </c>
      <c r="E58" s="21">
        <v>0.0</v>
      </c>
      <c r="F58" s="21">
        <v>398137.0</v>
      </c>
      <c r="G58" s="21">
        <v>183824.0</v>
      </c>
      <c r="H58" s="21">
        <v>0.0</v>
      </c>
      <c r="I58" s="21">
        <v>0.0</v>
      </c>
      <c r="J58" s="21">
        <v>175180.0</v>
      </c>
      <c r="K58" s="21">
        <v>18382.0</v>
      </c>
      <c r="L58" s="21">
        <v>1015249.0</v>
      </c>
      <c r="M58" s="21">
        <v>179162.0</v>
      </c>
      <c r="N58" s="21">
        <v>204561.0</v>
      </c>
      <c r="O58" s="21">
        <v>407700.0</v>
      </c>
      <c r="P58" s="21">
        <v>65265.0</v>
      </c>
      <c r="Q58" s="21">
        <v>91667.0</v>
      </c>
      <c r="R58" s="21">
        <v>103732.0</v>
      </c>
      <c r="S58" s="21">
        <v>0.0</v>
      </c>
      <c r="T58" s="21">
        <v>490610.0</v>
      </c>
      <c r="U58" s="21">
        <v>0.0</v>
      </c>
      <c r="V58" s="21">
        <v>0.0</v>
      </c>
      <c r="W58" s="21">
        <v>0.0</v>
      </c>
      <c r="X58" s="21">
        <v>627781.0</v>
      </c>
      <c r="Y58" s="21">
        <v>0.0</v>
      </c>
      <c r="Z58" s="21">
        <v>301020.0</v>
      </c>
      <c r="AA58" s="21">
        <v>598540.0</v>
      </c>
      <c r="AB58" s="21">
        <v>1744400.0</v>
      </c>
      <c r="AC58" s="21">
        <v>1086240.0</v>
      </c>
      <c r="AD58" s="21">
        <v>0.0</v>
      </c>
      <c r="AE58" s="22">
        <v>2.2E7</v>
      </c>
      <c r="AF58" s="22">
        <v>8.0420146E7</v>
      </c>
      <c r="AG58" s="22">
        <v>-1817319.0</v>
      </c>
      <c r="AH58" s="23">
        <v>0.0</v>
      </c>
      <c r="AI58" s="24">
        <v>0.0</v>
      </c>
      <c r="AJ58" s="24">
        <v>0.0</v>
      </c>
    </row>
    <row r="59">
      <c r="A59" s="15">
        <v>44835.0</v>
      </c>
      <c r="B59" s="18">
        <v>2022.0</v>
      </c>
      <c r="C59" s="19">
        <v>0.0</v>
      </c>
      <c r="D59" s="19">
        <v>14.0</v>
      </c>
      <c r="E59" s="21">
        <v>0.0</v>
      </c>
      <c r="F59" s="21">
        <v>415507.0</v>
      </c>
      <c r="G59" s="21">
        <v>29412.0</v>
      </c>
      <c r="H59" s="21">
        <v>0.0</v>
      </c>
      <c r="I59" s="21">
        <v>0.0</v>
      </c>
      <c r="J59" s="21">
        <v>182823.0</v>
      </c>
      <c r="K59" s="21">
        <v>2941.0</v>
      </c>
      <c r="L59" s="21">
        <v>1059543.0</v>
      </c>
      <c r="M59" s="21">
        <v>186978.0</v>
      </c>
      <c r="N59" s="21">
        <v>220676.0</v>
      </c>
      <c r="O59" s="21">
        <v>412625.0</v>
      </c>
      <c r="P59" s="21">
        <v>66372.0</v>
      </c>
      <c r="Q59" s="21">
        <v>91667.0</v>
      </c>
      <c r="R59" s="21">
        <v>103732.0</v>
      </c>
      <c r="S59" s="21">
        <v>0.0</v>
      </c>
      <c r="T59" s="21">
        <v>211268.0</v>
      </c>
      <c r="U59" s="21">
        <v>0.0</v>
      </c>
      <c r="V59" s="21">
        <v>0.0</v>
      </c>
      <c r="W59" s="21">
        <v>0.0</v>
      </c>
      <c r="X59" s="21">
        <v>662441.0</v>
      </c>
      <c r="Y59" s="21">
        <v>0.0</v>
      </c>
      <c r="Z59" s="21">
        <v>319388.0</v>
      </c>
      <c r="AA59" s="21">
        <v>644980.0</v>
      </c>
      <c r="AB59" s="21">
        <v>1888372.0</v>
      </c>
      <c r="AC59" s="21">
        <v>1159423.0</v>
      </c>
      <c r="AD59" s="21">
        <v>0.0</v>
      </c>
      <c r="AE59" s="22">
        <v>2.2E7</v>
      </c>
      <c r="AF59" s="22">
        <v>7.8695046E7</v>
      </c>
      <c r="AG59" s="22">
        <v>-1725100.0</v>
      </c>
      <c r="AH59" s="23">
        <v>0.0</v>
      </c>
      <c r="AI59" s="24">
        <v>0.0</v>
      </c>
      <c r="AJ59" s="24">
        <v>0.0</v>
      </c>
    </row>
    <row r="60">
      <c r="A60" s="15">
        <v>44866.0</v>
      </c>
      <c r="B60" s="18">
        <v>2022.0</v>
      </c>
      <c r="C60" s="19">
        <v>0.0</v>
      </c>
      <c r="D60" s="19">
        <v>14.0</v>
      </c>
      <c r="E60" s="21">
        <v>0.0</v>
      </c>
      <c r="F60" s="21">
        <v>437539.0</v>
      </c>
      <c r="G60" s="21">
        <v>29412.0</v>
      </c>
      <c r="H60" s="21">
        <v>0.0</v>
      </c>
      <c r="I60" s="21">
        <v>0.0</v>
      </c>
      <c r="J60" s="21">
        <v>192517.0</v>
      </c>
      <c r="K60" s="21">
        <v>2941.0</v>
      </c>
      <c r="L60" s="21">
        <v>1115724.0</v>
      </c>
      <c r="M60" s="21">
        <v>196892.0</v>
      </c>
      <c r="N60" s="21">
        <v>236971.0</v>
      </c>
      <c r="O60" s="21">
        <v>421250.0</v>
      </c>
      <c r="P60" s="21">
        <v>67478.0</v>
      </c>
      <c r="Q60" s="21">
        <v>91667.0</v>
      </c>
      <c r="R60" s="21">
        <v>103732.0</v>
      </c>
      <c r="S60" s="21">
        <v>0.0</v>
      </c>
      <c r="T60" s="21">
        <v>213615.0</v>
      </c>
      <c r="U60" s="21">
        <v>0.0</v>
      </c>
      <c r="V60" s="21">
        <v>0.0</v>
      </c>
      <c r="W60" s="21">
        <v>0.0</v>
      </c>
      <c r="X60" s="21">
        <v>700192.0</v>
      </c>
      <c r="Y60" s="21">
        <v>0.0</v>
      </c>
      <c r="Z60" s="21">
        <v>339260.0</v>
      </c>
      <c r="AA60" s="21">
        <v>694536.0</v>
      </c>
      <c r="AB60" s="21">
        <v>2041533.0</v>
      </c>
      <c r="AC60" s="21">
        <v>1238120.0</v>
      </c>
      <c r="AD60" s="21">
        <v>0.0</v>
      </c>
      <c r="AE60" s="22">
        <v>2.2E7</v>
      </c>
      <c r="AF60" s="22">
        <v>7.6902146E7</v>
      </c>
      <c r="AG60" s="22">
        <v>-1792900.0</v>
      </c>
      <c r="AH60" s="23">
        <v>0.0</v>
      </c>
      <c r="AI60" s="24">
        <v>0.0</v>
      </c>
      <c r="AJ60" s="24">
        <v>0.0</v>
      </c>
    </row>
    <row r="61">
      <c r="A61" s="15">
        <v>44896.0</v>
      </c>
      <c r="B61" s="18">
        <v>2022.0</v>
      </c>
      <c r="C61" s="19">
        <v>0.0</v>
      </c>
      <c r="D61" s="19">
        <v>15.0</v>
      </c>
      <c r="E61" s="21">
        <v>0.0</v>
      </c>
      <c r="F61" s="21">
        <v>459571.0</v>
      </c>
      <c r="G61" s="21">
        <v>213232.0</v>
      </c>
      <c r="H61" s="21">
        <v>0.0</v>
      </c>
      <c r="I61" s="21">
        <v>0.0</v>
      </c>
      <c r="J61" s="21">
        <v>202211.0</v>
      </c>
      <c r="K61" s="21">
        <v>21326.0</v>
      </c>
      <c r="L61" s="21">
        <v>1171904.0</v>
      </c>
      <c r="M61" s="21">
        <v>206807.0</v>
      </c>
      <c r="N61" s="21">
        <v>253265.0</v>
      </c>
      <c r="O61" s="21">
        <v>432009.0</v>
      </c>
      <c r="P61" s="21">
        <v>68584.0</v>
      </c>
      <c r="Q61" s="21">
        <v>91663.0</v>
      </c>
      <c r="R61" s="21">
        <v>103728.0</v>
      </c>
      <c r="S61" s="21">
        <v>0.0</v>
      </c>
      <c r="T61" s="21">
        <v>215962.0</v>
      </c>
      <c r="U61" s="21">
        <v>0.0</v>
      </c>
      <c r="V61" s="21">
        <v>0.0</v>
      </c>
      <c r="W61" s="21">
        <v>0.0</v>
      </c>
      <c r="X61" s="21">
        <v>739726.0</v>
      </c>
      <c r="Y61" s="21">
        <v>0.0</v>
      </c>
      <c r="Z61" s="21">
        <v>360000.0</v>
      </c>
      <c r="AA61" s="21">
        <v>745890.0</v>
      </c>
      <c r="AB61" s="21">
        <v>2200000.0</v>
      </c>
      <c r="AC61" s="21">
        <v>1320000.0</v>
      </c>
      <c r="AD61" s="21">
        <v>0.0</v>
      </c>
      <c r="AE61" s="22">
        <v>2.2E7</v>
      </c>
      <c r="AF61" s="22">
        <v>7.5199164E7</v>
      </c>
      <c r="AG61" s="22">
        <v>-1702982.0</v>
      </c>
      <c r="AH61" s="23">
        <v>0.0</v>
      </c>
      <c r="AI61" s="24">
        <v>0.0</v>
      </c>
      <c r="AJ61" s="24">
        <v>0.0</v>
      </c>
    </row>
    <row r="62">
      <c r="A62" s="15">
        <v>44927.0</v>
      </c>
      <c r="B62" s="18">
        <v>2023.0</v>
      </c>
      <c r="C62" s="19">
        <v>0.0</v>
      </c>
      <c r="D62" s="19">
        <v>16.0</v>
      </c>
      <c r="E62" s="21">
        <v>0.0</v>
      </c>
      <c r="F62" s="21">
        <v>926820.0</v>
      </c>
      <c r="G62" s="21">
        <v>176471.0</v>
      </c>
      <c r="H62" s="21">
        <v>0.0</v>
      </c>
      <c r="I62" s="21">
        <v>0.0</v>
      </c>
      <c r="J62" s="21">
        <v>417069.0</v>
      </c>
      <c r="K62" s="21">
        <v>14118.0</v>
      </c>
      <c r="L62" s="21">
        <v>1390229.0</v>
      </c>
      <c r="M62" s="21">
        <v>463410.0</v>
      </c>
      <c r="N62" s="21">
        <v>409020.0</v>
      </c>
      <c r="O62" s="21">
        <v>982305.0</v>
      </c>
      <c r="P62" s="21">
        <v>150442.0</v>
      </c>
      <c r="Q62" s="21">
        <v>250000.0</v>
      </c>
      <c r="R62" s="21">
        <v>125865.0</v>
      </c>
      <c r="S62" s="21">
        <v>0.0</v>
      </c>
      <c r="T62" s="21">
        <v>380282.0</v>
      </c>
      <c r="U62" s="21">
        <v>0.0</v>
      </c>
      <c r="V62" s="21">
        <v>0.0</v>
      </c>
      <c r="W62" s="21">
        <v>0.0</v>
      </c>
      <c r="X62" s="21">
        <v>884504.0</v>
      </c>
      <c r="Y62" s="21">
        <v>0.0</v>
      </c>
      <c r="Z62" s="21">
        <v>424180.0</v>
      </c>
      <c r="AA62" s="21">
        <v>808155.0</v>
      </c>
      <c r="AB62" s="21">
        <v>2413700.0</v>
      </c>
      <c r="AC62" s="21">
        <v>1555327.0</v>
      </c>
      <c r="AD62" s="21">
        <v>0.0</v>
      </c>
      <c r="AE62" s="22">
        <v>2.2E7</v>
      </c>
      <c r="AF62" s="22">
        <v>7.2422491E7</v>
      </c>
      <c r="AG62" s="22">
        <v>-2776673.0</v>
      </c>
      <c r="AH62" s="23">
        <v>0.0</v>
      </c>
      <c r="AI62" s="24">
        <v>0.0</v>
      </c>
      <c r="AJ62" s="24">
        <v>0.0</v>
      </c>
    </row>
    <row r="63">
      <c r="A63" s="15">
        <v>44958.0</v>
      </c>
      <c r="B63" s="18">
        <v>2023.0</v>
      </c>
      <c r="C63" s="19">
        <v>0.0</v>
      </c>
      <c r="D63" s="19">
        <v>17.0</v>
      </c>
      <c r="E63" s="21">
        <v>0.0</v>
      </c>
      <c r="F63" s="21">
        <v>947279.0</v>
      </c>
      <c r="G63" s="21">
        <v>176471.0</v>
      </c>
      <c r="H63" s="21">
        <v>0.0</v>
      </c>
      <c r="I63" s="21">
        <v>0.0</v>
      </c>
      <c r="J63" s="21">
        <v>426276.0</v>
      </c>
      <c r="K63" s="21">
        <v>14118.0</v>
      </c>
      <c r="L63" s="21">
        <v>1420919.0</v>
      </c>
      <c r="M63" s="21">
        <v>473639.0</v>
      </c>
      <c r="N63" s="21">
        <v>474490.0</v>
      </c>
      <c r="O63" s="21">
        <v>1003004.0</v>
      </c>
      <c r="P63" s="21">
        <v>153392.0</v>
      </c>
      <c r="Q63" s="21">
        <v>250000.0</v>
      </c>
      <c r="R63" s="21">
        <v>125865.0</v>
      </c>
      <c r="S63" s="21">
        <v>0.0</v>
      </c>
      <c r="T63" s="21">
        <v>384977.0</v>
      </c>
      <c r="U63" s="21">
        <v>0.0</v>
      </c>
      <c r="V63" s="21">
        <v>0.0</v>
      </c>
      <c r="W63" s="21">
        <v>0.0</v>
      </c>
      <c r="X63" s="21">
        <v>1023891.0</v>
      </c>
      <c r="Y63" s="21">
        <v>0.0</v>
      </c>
      <c r="Z63" s="21">
        <v>485900.0</v>
      </c>
      <c r="AA63" s="21">
        <v>867170.0</v>
      </c>
      <c r="AB63" s="21">
        <v>2617030.0</v>
      </c>
      <c r="AC63" s="21">
        <v>1781634.0</v>
      </c>
      <c r="AD63" s="21">
        <v>0.0</v>
      </c>
      <c r="AE63" s="22">
        <v>2.2E7</v>
      </c>
      <c r="AF63" s="22">
        <v>6.9510498E7</v>
      </c>
      <c r="AG63" s="22">
        <v>-2911993.0</v>
      </c>
      <c r="AH63" s="23">
        <v>0.0</v>
      </c>
      <c r="AI63" s="24">
        <v>0.0</v>
      </c>
      <c r="AJ63" s="24">
        <v>0.0</v>
      </c>
    </row>
    <row r="64">
      <c r="A64" s="15">
        <v>44986.0</v>
      </c>
      <c r="B64" s="18">
        <v>2023.0</v>
      </c>
      <c r="C64" s="19">
        <v>0.0</v>
      </c>
      <c r="D64" s="19">
        <v>17.0</v>
      </c>
      <c r="E64" s="21">
        <v>0.0</v>
      </c>
      <c r="F64" s="21">
        <v>947228.0</v>
      </c>
      <c r="G64" s="21">
        <v>1102941.0</v>
      </c>
      <c r="H64" s="21">
        <v>0.0</v>
      </c>
      <c r="I64" s="21">
        <v>0.0</v>
      </c>
      <c r="J64" s="21">
        <v>426253.0</v>
      </c>
      <c r="K64" s="21">
        <v>88235.0</v>
      </c>
      <c r="L64" s="21">
        <v>1420842.0</v>
      </c>
      <c r="M64" s="21">
        <v>473614.0</v>
      </c>
      <c r="N64" s="21">
        <v>536766.0</v>
      </c>
      <c r="O64" s="21">
        <v>1014825.0</v>
      </c>
      <c r="P64" s="21">
        <v>156342.0</v>
      </c>
      <c r="Q64" s="21">
        <v>250000.0</v>
      </c>
      <c r="R64" s="21">
        <v>125865.0</v>
      </c>
      <c r="S64" s="21">
        <v>0.0</v>
      </c>
      <c r="T64" s="21">
        <v>953052.0</v>
      </c>
      <c r="U64" s="21">
        <v>0.0</v>
      </c>
      <c r="V64" s="21">
        <v>0.0</v>
      </c>
      <c r="W64" s="21">
        <v>0.0</v>
      </c>
      <c r="X64" s="21">
        <v>1153940.0</v>
      </c>
      <c r="Y64" s="21">
        <v>0.0</v>
      </c>
      <c r="Z64" s="21">
        <v>543360.0</v>
      </c>
      <c r="AA64" s="21">
        <v>920557.0</v>
      </c>
      <c r="AB64" s="21">
        <v>2802400.0</v>
      </c>
      <c r="AC64" s="21">
        <v>1992320.0</v>
      </c>
      <c r="AD64" s="21">
        <v>0.0</v>
      </c>
      <c r="AE64" s="22">
        <v>2.2E7</v>
      </c>
      <c r="AF64" s="22">
        <v>6.6783149E7</v>
      </c>
      <c r="AG64" s="22">
        <v>-2727349.0</v>
      </c>
      <c r="AH64" s="23">
        <v>0.0</v>
      </c>
      <c r="AI64" s="24">
        <v>0.0</v>
      </c>
      <c r="AJ64" s="24">
        <v>0.0</v>
      </c>
    </row>
    <row r="65">
      <c r="A65" s="15">
        <v>45017.0</v>
      </c>
      <c r="B65" s="18">
        <v>2023.0</v>
      </c>
      <c r="C65" s="19">
        <v>0.0</v>
      </c>
      <c r="D65" s="19">
        <v>18.0</v>
      </c>
      <c r="E65" s="21">
        <v>0.0</v>
      </c>
      <c r="F65" s="21">
        <v>929422.0</v>
      </c>
      <c r="G65" s="21">
        <v>176471.0</v>
      </c>
      <c r="H65" s="21">
        <v>0.0</v>
      </c>
      <c r="I65" s="21">
        <v>0.0</v>
      </c>
      <c r="J65" s="21">
        <v>418240.0</v>
      </c>
      <c r="K65" s="21">
        <v>14118.0</v>
      </c>
      <c r="L65" s="21">
        <v>1394133.0</v>
      </c>
      <c r="M65" s="21">
        <v>464711.0</v>
      </c>
      <c r="N65" s="21">
        <v>596277.0</v>
      </c>
      <c r="O65" s="21">
        <v>1016395.0</v>
      </c>
      <c r="P65" s="21">
        <v>159292.0</v>
      </c>
      <c r="Q65" s="21">
        <v>250000.0</v>
      </c>
      <c r="R65" s="21">
        <v>354712.0</v>
      </c>
      <c r="S65" s="21">
        <v>0.0</v>
      </c>
      <c r="T65" s="21">
        <v>394366.0</v>
      </c>
      <c r="U65" s="21">
        <v>0.0</v>
      </c>
      <c r="V65" s="21">
        <v>4.0E7</v>
      </c>
      <c r="W65" s="21">
        <v>0.0</v>
      </c>
      <c r="X65" s="21">
        <v>1273206.0</v>
      </c>
      <c r="Y65" s="21">
        <v>0.0</v>
      </c>
      <c r="Z65" s="21">
        <v>595900.0</v>
      </c>
      <c r="AA65" s="21">
        <v>967444.0</v>
      </c>
      <c r="AB65" s="21">
        <v>2967030.0</v>
      </c>
      <c r="AC65" s="21">
        <v>2184967.0</v>
      </c>
      <c r="AD65" s="21">
        <v>0.0</v>
      </c>
      <c r="AE65" s="22">
        <v>6.2E7</v>
      </c>
      <c r="AF65" s="22">
        <v>1.03468448E8</v>
      </c>
      <c r="AG65" s="22">
        <v>3.6685299E7</v>
      </c>
      <c r="AH65" s="23">
        <v>0.0</v>
      </c>
      <c r="AI65" s="24">
        <v>0.0</v>
      </c>
      <c r="AJ65" s="24">
        <v>0.0</v>
      </c>
    </row>
    <row r="66">
      <c r="A66" s="15">
        <v>45047.0</v>
      </c>
      <c r="B66" s="18">
        <v>2023.0</v>
      </c>
      <c r="C66" s="19">
        <v>0.0</v>
      </c>
      <c r="D66" s="19">
        <v>19.0</v>
      </c>
      <c r="E66" s="21">
        <v>0.0</v>
      </c>
      <c r="F66" s="21">
        <v>901361.0</v>
      </c>
      <c r="G66" s="21">
        <v>176471.0</v>
      </c>
      <c r="H66" s="21">
        <v>0.0</v>
      </c>
      <c r="I66" s="21">
        <v>0.0</v>
      </c>
      <c r="J66" s="21">
        <v>405612.0</v>
      </c>
      <c r="K66" s="21">
        <v>14118.0</v>
      </c>
      <c r="L66" s="21">
        <v>1352041.0</v>
      </c>
      <c r="M66" s="21">
        <v>450680.0</v>
      </c>
      <c r="N66" s="21">
        <v>654191.0</v>
      </c>
      <c r="O66" s="21">
        <v>1009087.0</v>
      </c>
      <c r="P66" s="21">
        <v>162242.0</v>
      </c>
      <c r="Q66" s="21">
        <v>250000.0</v>
      </c>
      <c r="R66" s="21">
        <v>354712.0</v>
      </c>
      <c r="S66" s="21">
        <v>0.0</v>
      </c>
      <c r="T66" s="21">
        <v>399061.0</v>
      </c>
      <c r="U66" s="21">
        <v>0.0</v>
      </c>
      <c r="V66" s="21">
        <v>0.0</v>
      </c>
      <c r="W66" s="21">
        <v>0.0</v>
      </c>
      <c r="X66" s="21">
        <v>1383134.0</v>
      </c>
      <c r="Y66" s="21">
        <v>0.0</v>
      </c>
      <c r="Z66" s="21">
        <v>644180.0</v>
      </c>
      <c r="AA66" s="21">
        <v>1008703.0</v>
      </c>
      <c r="AB66" s="21">
        <v>3113700.0</v>
      </c>
      <c r="AC66" s="21">
        <v>2361993.0</v>
      </c>
      <c r="AD66" s="21">
        <v>0.0</v>
      </c>
      <c r="AE66" s="22">
        <v>6.2E7</v>
      </c>
      <c r="AF66" s="22">
        <v>1.00113525E8</v>
      </c>
      <c r="AG66" s="22">
        <v>-3354923.0</v>
      </c>
      <c r="AH66" s="23">
        <v>0.0</v>
      </c>
      <c r="AI66" s="24">
        <v>0.0</v>
      </c>
      <c r="AJ66" s="24">
        <v>0.0</v>
      </c>
    </row>
    <row r="67">
      <c r="A67" s="15">
        <v>45078.0</v>
      </c>
      <c r="B67" s="18">
        <v>2023.0</v>
      </c>
      <c r="C67" s="19">
        <v>0.0</v>
      </c>
      <c r="D67" s="19">
        <v>20.0</v>
      </c>
      <c r="E67" s="21">
        <v>0.0</v>
      </c>
      <c r="F67" s="21">
        <v>873299.0</v>
      </c>
      <c r="G67" s="21">
        <v>1102941.0</v>
      </c>
      <c r="H67" s="21">
        <v>0.0</v>
      </c>
      <c r="I67" s="21">
        <v>0.0</v>
      </c>
      <c r="J67" s="21">
        <v>392985.0</v>
      </c>
      <c r="K67" s="21">
        <v>88235.0</v>
      </c>
      <c r="L67" s="21">
        <v>1309949.0</v>
      </c>
      <c r="M67" s="21">
        <v>436650.0</v>
      </c>
      <c r="N67" s="21">
        <v>712105.0</v>
      </c>
      <c r="O67" s="21">
        <v>996652.0</v>
      </c>
      <c r="P67" s="21">
        <v>165192.0</v>
      </c>
      <c r="Q67" s="21">
        <v>250000.0</v>
      </c>
      <c r="R67" s="21">
        <v>354712.0</v>
      </c>
      <c r="S67" s="21">
        <v>0.0</v>
      </c>
      <c r="T67" s="21">
        <v>403756.0</v>
      </c>
      <c r="U67" s="21">
        <v>0.0</v>
      </c>
      <c r="V67" s="21">
        <v>0.0</v>
      </c>
      <c r="W67" s="21">
        <v>0.0</v>
      </c>
      <c r="X67" s="21">
        <v>1487671.0</v>
      </c>
      <c r="Y67" s="21">
        <v>0.0</v>
      </c>
      <c r="Z67" s="21">
        <v>690000.0</v>
      </c>
      <c r="AA67" s="21">
        <v>1046712.0</v>
      </c>
      <c r="AB67" s="21">
        <v>3250000.0</v>
      </c>
      <c r="AC67" s="21">
        <v>2530000.0</v>
      </c>
      <c r="AD67" s="21">
        <v>0.0</v>
      </c>
      <c r="AE67" s="22">
        <v>6.2E7</v>
      </c>
      <c r="AF67" s="22">
        <v>9.758668E7</v>
      </c>
      <c r="AG67" s="22">
        <v>-2526845.0</v>
      </c>
      <c r="AH67" s="23">
        <v>0.0</v>
      </c>
      <c r="AI67" s="24">
        <v>0.0</v>
      </c>
      <c r="AJ67" s="24">
        <v>0.0</v>
      </c>
    </row>
    <row r="68">
      <c r="A68" s="15">
        <v>45108.0</v>
      </c>
      <c r="B68" s="18">
        <v>2023.0</v>
      </c>
      <c r="C68" s="19">
        <v>0.0</v>
      </c>
      <c r="D68" s="19">
        <v>20.0</v>
      </c>
      <c r="E68" s="21">
        <v>0.0</v>
      </c>
      <c r="F68" s="21">
        <v>855493.0</v>
      </c>
      <c r="G68" s="21">
        <v>176471.0</v>
      </c>
      <c r="H68" s="21">
        <v>0.0</v>
      </c>
      <c r="I68" s="21">
        <v>0.0</v>
      </c>
      <c r="J68" s="21">
        <v>384972.0</v>
      </c>
      <c r="K68" s="21">
        <v>14118.0</v>
      </c>
      <c r="L68" s="21">
        <v>1283240.0</v>
      </c>
      <c r="M68" s="21">
        <v>427746.0</v>
      </c>
      <c r="N68" s="21">
        <v>771617.0</v>
      </c>
      <c r="O68" s="21">
        <v>984218.0</v>
      </c>
      <c r="P68" s="21">
        <v>168142.0</v>
      </c>
      <c r="Q68" s="21">
        <v>250000.0</v>
      </c>
      <c r="R68" s="21">
        <v>354712.0</v>
      </c>
      <c r="S68" s="21">
        <v>0.0</v>
      </c>
      <c r="T68" s="21">
        <v>408451.0</v>
      </c>
      <c r="U68" s="21">
        <v>0.0</v>
      </c>
      <c r="V68" s="21">
        <v>0.0</v>
      </c>
      <c r="W68" s="21">
        <v>0.0</v>
      </c>
      <c r="X68" s="21">
        <v>1592208.0</v>
      </c>
      <c r="Y68" s="21">
        <v>0.0</v>
      </c>
      <c r="Z68" s="21">
        <v>735820.0</v>
      </c>
      <c r="AA68" s="21">
        <v>1084722.0</v>
      </c>
      <c r="AB68" s="21">
        <v>3386300.0</v>
      </c>
      <c r="AC68" s="21">
        <v>2698007.0</v>
      </c>
      <c r="AD68" s="21">
        <v>0.0</v>
      </c>
      <c r="AE68" s="22">
        <v>6.2E7</v>
      </c>
      <c r="AF68" s="22">
        <v>9.418153E7</v>
      </c>
      <c r="AG68" s="22">
        <v>-3405150.0</v>
      </c>
      <c r="AH68" s="23">
        <v>0.0</v>
      </c>
      <c r="AI68" s="24">
        <v>0.0</v>
      </c>
      <c r="AJ68" s="24">
        <v>0.0</v>
      </c>
    </row>
    <row r="69">
      <c r="A69" s="15">
        <v>45139.0</v>
      </c>
      <c r="B69" s="18">
        <v>2023.0</v>
      </c>
      <c r="C69" s="19">
        <v>0.0</v>
      </c>
      <c r="D69" s="19">
        <v>21.0</v>
      </c>
      <c r="E69" s="21">
        <v>0.0</v>
      </c>
      <c r="F69" s="21">
        <v>855442.0</v>
      </c>
      <c r="G69" s="21">
        <v>176471.0</v>
      </c>
      <c r="H69" s="21">
        <v>0.0</v>
      </c>
      <c r="I69" s="21">
        <v>0.0</v>
      </c>
      <c r="J69" s="21">
        <v>384949.0</v>
      </c>
      <c r="K69" s="21">
        <v>14118.0</v>
      </c>
      <c r="L69" s="21">
        <v>1283163.0</v>
      </c>
      <c r="M69" s="21">
        <v>427721.0</v>
      </c>
      <c r="N69" s="21">
        <v>833892.0</v>
      </c>
      <c r="O69" s="21">
        <v>976910.0</v>
      </c>
      <c r="P69" s="21">
        <v>171091.0</v>
      </c>
      <c r="Q69" s="21">
        <v>250000.0</v>
      </c>
      <c r="R69" s="21">
        <v>354712.0</v>
      </c>
      <c r="S69" s="21">
        <v>0.0</v>
      </c>
      <c r="T69" s="21">
        <v>413146.0</v>
      </c>
      <c r="U69" s="21">
        <v>0.0</v>
      </c>
      <c r="V69" s="21">
        <v>0.0</v>
      </c>
      <c r="W69" s="21">
        <v>0.0</v>
      </c>
      <c r="X69" s="21">
        <v>1702136.0</v>
      </c>
      <c r="Y69" s="21">
        <v>0.0</v>
      </c>
      <c r="Z69" s="21">
        <v>784100.0</v>
      </c>
      <c r="AA69" s="21">
        <v>1125980.0</v>
      </c>
      <c r="AB69" s="21">
        <v>3532970.0</v>
      </c>
      <c r="AC69" s="21">
        <v>2875033.0</v>
      </c>
      <c r="AD69" s="21">
        <v>0.0</v>
      </c>
      <c r="AE69" s="22">
        <v>6.2E7</v>
      </c>
      <c r="AF69" s="22">
        <v>9.0731578E7</v>
      </c>
      <c r="AG69" s="22">
        <v>-3449952.0</v>
      </c>
      <c r="AH69" s="23">
        <v>0.0</v>
      </c>
      <c r="AI69" s="24">
        <v>0.0</v>
      </c>
      <c r="AJ69" s="24">
        <v>0.0</v>
      </c>
    </row>
    <row r="70">
      <c r="A70" s="15">
        <v>45170.0</v>
      </c>
      <c r="B70" s="18">
        <v>2023.0</v>
      </c>
      <c r="C70" s="19">
        <v>0.0</v>
      </c>
      <c r="D70" s="19">
        <v>22.0</v>
      </c>
      <c r="E70" s="21">
        <v>0.0</v>
      </c>
      <c r="F70" s="21">
        <v>875901.0</v>
      </c>
      <c r="G70" s="21">
        <v>1102941.0</v>
      </c>
      <c r="H70" s="21">
        <v>0.0</v>
      </c>
      <c r="I70" s="21">
        <v>0.0</v>
      </c>
      <c r="J70" s="21">
        <v>394156.0</v>
      </c>
      <c r="K70" s="21">
        <v>88235.0</v>
      </c>
      <c r="L70" s="21">
        <v>1313852.0</v>
      </c>
      <c r="M70" s="21">
        <v>437951.0</v>
      </c>
      <c r="N70" s="21">
        <v>899362.0</v>
      </c>
      <c r="O70" s="21">
        <v>978479.0</v>
      </c>
      <c r="P70" s="21">
        <v>174041.0</v>
      </c>
      <c r="Q70" s="21">
        <v>250000.0</v>
      </c>
      <c r="R70" s="21">
        <v>354712.0</v>
      </c>
      <c r="S70" s="21">
        <v>0.0</v>
      </c>
      <c r="T70" s="21">
        <v>981221.0</v>
      </c>
      <c r="U70" s="21">
        <v>0.0</v>
      </c>
      <c r="V70" s="21">
        <v>0.0</v>
      </c>
      <c r="W70" s="21">
        <v>0.0</v>
      </c>
      <c r="X70" s="21">
        <v>1821403.0</v>
      </c>
      <c r="Y70" s="21">
        <v>0.0</v>
      </c>
      <c r="Z70" s="21">
        <v>836640.0</v>
      </c>
      <c r="AA70" s="21">
        <v>1172868.0</v>
      </c>
      <c r="AB70" s="21">
        <v>3697600.0</v>
      </c>
      <c r="AC70" s="21">
        <v>3067680.0</v>
      </c>
      <c r="AD70" s="21">
        <v>5000000.0</v>
      </c>
      <c r="AE70" s="22">
        <v>6.2E7</v>
      </c>
      <c r="AF70" s="22">
        <v>8.749481E7</v>
      </c>
      <c r="AG70" s="22">
        <v>-3236768.0</v>
      </c>
      <c r="AH70" s="23">
        <v>0.0</v>
      </c>
      <c r="AI70" s="24">
        <v>0.0</v>
      </c>
      <c r="AJ70" s="24">
        <v>0.0</v>
      </c>
    </row>
    <row r="71">
      <c r="A71" s="15">
        <v>45200.0</v>
      </c>
      <c r="B71" s="18">
        <v>2023.0</v>
      </c>
      <c r="C71" s="19">
        <v>0.0</v>
      </c>
      <c r="D71" s="19">
        <v>23.0</v>
      </c>
      <c r="E71" s="21">
        <v>0.0</v>
      </c>
      <c r="F71" s="21">
        <v>914116.0</v>
      </c>
      <c r="G71" s="21">
        <v>176471.0</v>
      </c>
      <c r="H71" s="21">
        <v>0.0</v>
      </c>
      <c r="I71" s="21">
        <v>0.0</v>
      </c>
      <c r="J71" s="21">
        <v>411352.0</v>
      </c>
      <c r="K71" s="21">
        <v>14118.0</v>
      </c>
      <c r="L71" s="21">
        <v>1371173.0</v>
      </c>
      <c r="M71" s="21">
        <v>457058.0</v>
      </c>
      <c r="N71" s="21">
        <v>967596.0</v>
      </c>
      <c r="O71" s="21">
        <v>990300.0</v>
      </c>
      <c r="P71" s="21">
        <v>176991.0</v>
      </c>
      <c r="Q71" s="21">
        <v>250000.0</v>
      </c>
      <c r="R71" s="21">
        <v>354712.0</v>
      </c>
      <c r="S71" s="21">
        <v>0.0</v>
      </c>
      <c r="T71" s="21">
        <v>422535.0</v>
      </c>
      <c r="U71" s="21">
        <v>0.0</v>
      </c>
      <c r="V71" s="21">
        <v>0.0</v>
      </c>
      <c r="W71" s="21">
        <v>0.0</v>
      </c>
      <c r="X71" s="21">
        <v>1951452.0</v>
      </c>
      <c r="Y71" s="21">
        <v>0.0</v>
      </c>
      <c r="Z71" s="21">
        <v>894100.0</v>
      </c>
      <c r="AA71" s="21">
        <v>1226254.0</v>
      </c>
      <c r="AB71" s="21">
        <v>3882970.0</v>
      </c>
      <c r="AC71" s="21">
        <v>3278366.0</v>
      </c>
      <c r="AD71" s="21">
        <v>5000000.0</v>
      </c>
      <c r="AE71" s="22">
        <v>6.2E7</v>
      </c>
      <c r="AF71" s="22">
        <v>8.3858486E7</v>
      </c>
      <c r="AG71" s="22">
        <v>-3636324.0</v>
      </c>
      <c r="AH71" s="23">
        <v>0.0</v>
      </c>
      <c r="AI71" s="24">
        <v>0.0</v>
      </c>
      <c r="AJ71" s="24">
        <v>0.0</v>
      </c>
    </row>
    <row r="72">
      <c r="A72" s="15">
        <v>45231.0</v>
      </c>
      <c r="B72" s="18">
        <v>2023.0</v>
      </c>
      <c r="C72" s="19">
        <v>0.0</v>
      </c>
      <c r="D72" s="19">
        <v>23.0</v>
      </c>
      <c r="E72" s="21">
        <v>0.0</v>
      </c>
      <c r="F72" s="21">
        <v>962585.0</v>
      </c>
      <c r="G72" s="21">
        <v>176471.0</v>
      </c>
      <c r="H72" s="21">
        <v>0.0</v>
      </c>
      <c r="I72" s="21">
        <v>0.0</v>
      </c>
      <c r="J72" s="21">
        <v>433163.0</v>
      </c>
      <c r="K72" s="21">
        <v>14118.0</v>
      </c>
      <c r="L72" s="21">
        <v>1443878.0</v>
      </c>
      <c r="M72" s="21">
        <v>481292.0</v>
      </c>
      <c r="N72" s="21">
        <v>1037427.0</v>
      </c>
      <c r="O72" s="21">
        <v>1011000.0</v>
      </c>
      <c r="P72" s="21">
        <v>179941.0</v>
      </c>
      <c r="Q72" s="21">
        <v>250000.0</v>
      </c>
      <c r="R72" s="21">
        <v>354712.0</v>
      </c>
      <c r="S72" s="21">
        <v>0.0</v>
      </c>
      <c r="T72" s="21">
        <v>427230.0</v>
      </c>
      <c r="U72" s="21">
        <v>0.0</v>
      </c>
      <c r="V72" s="21">
        <v>0.0</v>
      </c>
      <c r="W72" s="21">
        <v>0.0</v>
      </c>
      <c r="X72" s="21">
        <v>2090838.0</v>
      </c>
      <c r="Y72" s="21">
        <v>0.0</v>
      </c>
      <c r="Z72" s="21">
        <v>955820.0</v>
      </c>
      <c r="AA72" s="21">
        <v>1285269.0</v>
      </c>
      <c r="AB72" s="21">
        <v>4086300.0</v>
      </c>
      <c r="AC72" s="21">
        <v>3504673.0</v>
      </c>
      <c r="AD72" s="21">
        <v>5000000.0</v>
      </c>
      <c r="AE72" s="22">
        <v>6.2E7</v>
      </c>
      <c r="AF72" s="22">
        <v>8.0082268E7</v>
      </c>
      <c r="AG72" s="22">
        <v>-3776218.0</v>
      </c>
      <c r="AH72" s="23">
        <v>0.0</v>
      </c>
      <c r="AI72" s="24">
        <v>0.0</v>
      </c>
      <c r="AJ72" s="24">
        <v>0.0</v>
      </c>
    </row>
    <row r="73">
      <c r="A73" s="15">
        <v>45261.0</v>
      </c>
      <c r="B73" s="18">
        <v>2023.0</v>
      </c>
      <c r="C73" s="19">
        <v>0.0</v>
      </c>
      <c r="D73" s="19">
        <v>24.0</v>
      </c>
      <c r="E73" s="21">
        <v>0.0</v>
      </c>
      <c r="F73" s="21">
        <v>1011054.0</v>
      </c>
      <c r="G73" s="21">
        <v>1279409.0</v>
      </c>
      <c r="H73" s="21">
        <v>0.0</v>
      </c>
      <c r="I73" s="21">
        <v>0.0</v>
      </c>
      <c r="J73" s="21">
        <v>454973.0</v>
      </c>
      <c r="K73" s="21">
        <v>102351.0</v>
      </c>
      <c r="L73" s="21">
        <v>1516582.0</v>
      </c>
      <c r="M73" s="21">
        <v>505527.0</v>
      </c>
      <c r="N73" s="21">
        <v>1107257.0</v>
      </c>
      <c r="O73" s="21">
        <v>1036825.0</v>
      </c>
      <c r="P73" s="21">
        <v>182892.0</v>
      </c>
      <c r="Q73" s="21">
        <v>250000.0</v>
      </c>
      <c r="R73" s="21">
        <v>354709.0</v>
      </c>
      <c r="S73" s="21">
        <v>0.0</v>
      </c>
      <c r="T73" s="21">
        <v>431923.0</v>
      </c>
      <c r="U73" s="21">
        <v>0.0</v>
      </c>
      <c r="V73" s="21">
        <v>0.0</v>
      </c>
      <c r="W73" s="21">
        <v>0.0</v>
      </c>
      <c r="X73" s="21">
        <v>2235616.0</v>
      </c>
      <c r="Y73" s="21">
        <v>0.0</v>
      </c>
      <c r="Z73" s="21">
        <v>1020000.0</v>
      </c>
      <c r="AA73" s="21">
        <v>1347534.0</v>
      </c>
      <c r="AB73" s="21">
        <v>4300000.0</v>
      </c>
      <c r="AC73" s="21">
        <v>3740000.0</v>
      </c>
      <c r="AD73" s="21">
        <v>5000000.0</v>
      </c>
      <c r="AE73" s="22">
        <v>6.2E7</v>
      </c>
      <c r="AF73" s="22">
        <v>7.7164918E7</v>
      </c>
      <c r="AG73" s="22">
        <v>-2917350.0</v>
      </c>
      <c r="AH73" s="23">
        <v>0.0</v>
      </c>
      <c r="AI73" s="24">
        <v>0.0</v>
      </c>
      <c r="AJ73" s="24">
        <v>0.0</v>
      </c>
    </row>
    <row r="74">
      <c r="A74" s="15">
        <v>45292.0</v>
      </c>
      <c r="B74" s="18">
        <v>2024.0</v>
      </c>
      <c r="C74" s="19">
        <v>510.0</v>
      </c>
      <c r="D74" s="19">
        <v>25.0</v>
      </c>
      <c r="E74" s="21">
        <v>815476.0</v>
      </c>
      <c r="F74" s="21">
        <v>1685127.0</v>
      </c>
      <c r="G74" s="21">
        <v>205882.0</v>
      </c>
      <c r="H74" s="21">
        <v>187560.0</v>
      </c>
      <c r="I74" s="21">
        <v>65238.0</v>
      </c>
      <c r="J74" s="21">
        <v>758307.0</v>
      </c>
      <c r="K74" s="21">
        <v>16471.0</v>
      </c>
      <c r="L74" s="21">
        <v>2595095.0</v>
      </c>
      <c r="M74" s="21">
        <v>1112184.0</v>
      </c>
      <c r="N74" s="21">
        <v>842774.0</v>
      </c>
      <c r="O74" s="21">
        <v>1555316.0</v>
      </c>
      <c r="P74" s="21">
        <v>300885.0</v>
      </c>
      <c r="Q74" s="21">
        <v>416667.0</v>
      </c>
      <c r="R74" s="21">
        <v>433101.0</v>
      </c>
      <c r="S74" s="21">
        <v>0.0</v>
      </c>
      <c r="T74" s="21">
        <v>760563.0</v>
      </c>
      <c r="U74" s="21">
        <v>0.0</v>
      </c>
      <c r="V74" s="21">
        <v>0.0</v>
      </c>
      <c r="W74" s="21">
        <v>0.0</v>
      </c>
      <c r="X74" s="21">
        <v>2693878.0</v>
      </c>
      <c r="Y74" s="21">
        <v>239291.0</v>
      </c>
      <c r="Z74" s="21">
        <v>1206460.0</v>
      </c>
      <c r="AA74" s="21">
        <v>1560774.0</v>
      </c>
      <c r="AB74" s="21">
        <v>4726962.0</v>
      </c>
      <c r="AC74" s="21">
        <v>3976793.0</v>
      </c>
      <c r="AD74" s="21">
        <v>5000000.0</v>
      </c>
      <c r="AE74" s="22">
        <v>6.2E7</v>
      </c>
      <c r="AF74" s="22">
        <v>7.1537776E7</v>
      </c>
      <c r="AG74" s="22">
        <v>-5627142.0</v>
      </c>
      <c r="AH74" s="23">
        <v>0.0</v>
      </c>
      <c r="AI74" s="24">
        <v>0.0</v>
      </c>
      <c r="AJ74" s="24">
        <v>0.0</v>
      </c>
    </row>
    <row r="75">
      <c r="A75" s="15">
        <v>45323.0</v>
      </c>
      <c r="B75" s="18">
        <v>2024.0</v>
      </c>
      <c r="C75" s="19">
        <v>597.0</v>
      </c>
      <c r="D75" s="19">
        <v>26.0</v>
      </c>
      <c r="E75" s="21">
        <v>955660.0</v>
      </c>
      <c r="F75" s="21">
        <v>1722325.0</v>
      </c>
      <c r="G75" s="21">
        <v>205882.0</v>
      </c>
      <c r="H75" s="21">
        <v>219802.0</v>
      </c>
      <c r="I75" s="21">
        <v>76453.0</v>
      </c>
      <c r="J75" s="21">
        <v>775046.0</v>
      </c>
      <c r="K75" s="21">
        <v>16471.0</v>
      </c>
      <c r="L75" s="21">
        <v>2652381.0</v>
      </c>
      <c r="M75" s="21">
        <v>1136735.0</v>
      </c>
      <c r="N75" s="21">
        <v>959701.0</v>
      </c>
      <c r="O75" s="21">
        <v>1588090.0</v>
      </c>
      <c r="P75" s="21">
        <v>306785.0</v>
      </c>
      <c r="Q75" s="21">
        <v>416667.0</v>
      </c>
      <c r="R75" s="21">
        <v>433101.0</v>
      </c>
      <c r="S75" s="21">
        <v>0.0</v>
      </c>
      <c r="T75" s="21">
        <v>769953.0</v>
      </c>
      <c r="U75" s="21">
        <v>0.0</v>
      </c>
      <c r="V75" s="21">
        <v>0.0</v>
      </c>
      <c r="W75" s="21">
        <v>0.0</v>
      </c>
      <c r="X75" s="21">
        <v>3135304.0</v>
      </c>
      <c r="Y75" s="21">
        <v>472332.0</v>
      </c>
      <c r="Z75" s="21">
        <v>1385830.0</v>
      </c>
      <c r="AA75" s="21">
        <v>1765512.0</v>
      </c>
      <c r="AB75" s="21">
        <v>5133413.0</v>
      </c>
      <c r="AC75" s="21">
        <v>4199262.0</v>
      </c>
      <c r="AD75" s="21">
        <v>5000000.0</v>
      </c>
      <c r="AE75" s="22">
        <v>6.2E7</v>
      </c>
      <c r="AF75" s="22">
        <v>6.5773731E7</v>
      </c>
      <c r="AG75" s="22">
        <v>-5764045.0</v>
      </c>
      <c r="AH75" s="23">
        <v>0.0</v>
      </c>
      <c r="AI75" s="24">
        <v>0.0</v>
      </c>
      <c r="AJ75" s="24">
        <v>0.0</v>
      </c>
    </row>
    <row r="76">
      <c r="A76" s="15">
        <v>45352.0</v>
      </c>
      <c r="B76" s="18">
        <v>2024.0</v>
      </c>
      <c r="C76" s="19">
        <v>691.0</v>
      </c>
      <c r="D76" s="19">
        <v>27.0</v>
      </c>
      <c r="E76" s="21">
        <v>1105320.0</v>
      </c>
      <c r="F76" s="21">
        <v>1722233.0</v>
      </c>
      <c r="G76" s="21">
        <v>1286765.0</v>
      </c>
      <c r="H76" s="21">
        <v>254223.0</v>
      </c>
      <c r="I76" s="21">
        <v>88426.0</v>
      </c>
      <c r="J76" s="21">
        <v>775005.0</v>
      </c>
      <c r="K76" s="21">
        <v>102941.0</v>
      </c>
      <c r="L76" s="21">
        <v>2652238.0</v>
      </c>
      <c r="M76" s="21">
        <v>1136674.0</v>
      </c>
      <c r="N76" s="21">
        <v>1071621.0</v>
      </c>
      <c r="O76" s="21">
        <v>1606807.0</v>
      </c>
      <c r="P76" s="21">
        <v>312684.0</v>
      </c>
      <c r="Q76" s="21">
        <v>416667.0</v>
      </c>
      <c r="R76" s="21">
        <v>433101.0</v>
      </c>
      <c r="S76" s="21">
        <v>0.0</v>
      </c>
      <c r="T76" s="21">
        <v>1906103.0</v>
      </c>
      <c r="U76" s="21">
        <v>1.1E8</v>
      </c>
      <c r="V76" s="21">
        <v>0.0</v>
      </c>
      <c r="W76" s="21">
        <v>0.0</v>
      </c>
      <c r="X76" s="21">
        <v>3547573.0</v>
      </c>
      <c r="Y76" s="21">
        <v>694549.0</v>
      </c>
      <c r="Z76" s="21">
        <v>1552920.0</v>
      </c>
      <c r="AA76" s="21">
        <v>1955523.0</v>
      </c>
      <c r="AB76" s="21">
        <v>5504340.0</v>
      </c>
      <c r="AC76" s="21">
        <v>4396920.0</v>
      </c>
      <c r="AD76" s="21">
        <v>5000000.0</v>
      </c>
      <c r="AE76" s="22">
        <v>6.2E7</v>
      </c>
      <c r="AF76" s="22">
        <v>1.6981793E8</v>
      </c>
      <c r="AG76" s="22">
        <v>-5955801.0</v>
      </c>
      <c r="AH76" s="23">
        <v>0.0</v>
      </c>
      <c r="AI76" s="24">
        <v>0.0</v>
      </c>
      <c r="AJ76" s="24">
        <v>0.0</v>
      </c>
    </row>
    <row r="77">
      <c r="A77" s="15">
        <v>45383.0</v>
      </c>
      <c r="B77" s="18">
        <v>2024.0</v>
      </c>
      <c r="C77" s="19">
        <v>790.0</v>
      </c>
      <c r="D77" s="19">
        <v>28.0</v>
      </c>
      <c r="E77" s="21">
        <v>1264495.0</v>
      </c>
      <c r="F77" s="21">
        <v>1689858.0</v>
      </c>
      <c r="G77" s="21">
        <v>205882.0</v>
      </c>
      <c r="H77" s="21">
        <v>290833.0</v>
      </c>
      <c r="I77" s="21">
        <v>101160.0</v>
      </c>
      <c r="J77" s="21">
        <v>760436.0</v>
      </c>
      <c r="K77" s="21">
        <v>16471.0</v>
      </c>
      <c r="L77" s="21">
        <v>2602381.0</v>
      </c>
      <c r="M77" s="21">
        <v>1115306.0</v>
      </c>
      <c r="N77" s="21">
        <v>1179512.0</v>
      </c>
      <c r="O77" s="21">
        <v>1609292.0</v>
      </c>
      <c r="P77" s="21">
        <v>318584.0</v>
      </c>
      <c r="Q77" s="21">
        <v>416667.0</v>
      </c>
      <c r="R77" s="21">
        <v>433101.0</v>
      </c>
      <c r="S77" s="21">
        <v>0.0</v>
      </c>
      <c r="T77" s="21">
        <v>788732.0</v>
      </c>
      <c r="U77" s="21">
        <v>0.0</v>
      </c>
      <c r="V77" s="21">
        <v>0.0</v>
      </c>
      <c r="W77" s="21">
        <v>0.0</v>
      </c>
      <c r="X77" s="21">
        <v>3926172.0</v>
      </c>
      <c r="Y77" s="21">
        <v>904266.0</v>
      </c>
      <c r="Z77" s="21">
        <v>1705830.0</v>
      </c>
      <c r="AA77" s="21">
        <v>2128530.0</v>
      </c>
      <c r="AB77" s="21">
        <v>5834246.0</v>
      </c>
      <c r="AC77" s="21">
        <v>4565929.0</v>
      </c>
      <c r="AD77" s="21">
        <v>5000000.0</v>
      </c>
      <c r="AE77" s="22">
        <v>6.2E7</v>
      </c>
      <c r="AF77" s="22">
        <v>1.64011637E8</v>
      </c>
      <c r="AG77" s="22">
        <v>-5806293.0</v>
      </c>
      <c r="AH77" s="23">
        <v>0.0</v>
      </c>
      <c r="AI77" s="24">
        <v>0.0</v>
      </c>
      <c r="AJ77" s="24">
        <v>0.0</v>
      </c>
    </row>
    <row r="78">
      <c r="A78" s="15">
        <v>45413.0</v>
      </c>
      <c r="B78" s="18">
        <v>2024.0</v>
      </c>
      <c r="C78" s="19">
        <v>896.0</v>
      </c>
      <c r="D78" s="19">
        <v>29.0</v>
      </c>
      <c r="E78" s="21">
        <v>1433164.0</v>
      </c>
      <c r="F78" s="21">
        <v>1638837.0</v>
      </c>
      <c r="G78" s="21">
        <v>205882.0</v>
      </c>
      <c r="H78" s="21">
        <v>329628.0</v>
      </c>
      <c r="I78" s="21">
        <v>114653.0</v>
      </c>
      <c r="J78" s="21">
        <v>737477.0</v>
      </c>
      <c r="K78" s="21">
        <v>16471.0</v>
      </c>
      <c r="L78" s="21">
        <v>2523809.0</v>
      </c>
      <c r="M78" s="21">
        <v>1081633.0</v>
      </c>
      <c r="N78" s="21">
        <v>1286002.0</v>
      </c>
      <c r="O78" s="21">
        <v>1597720.0</v>
      </c>
      <c r="P78" s="21">
        <v>324484.0</v>
      </c>
      <c r="Q78" s="21">
        <v>416667.0</v>
      </c>
      <c r="R78" s="21">
        <v>433101.0</v>
      </c>
      <c r="S78" s="21">
        <v>0.0</v>
      </c>
      <c r="T78" s="21">
        <v>798122.0</v>
      </c>
      <c r="U78" s="21">
        <v>0.0</v>
      </c>
      <c r="V78" s="21">
        <v>0.0</v>
      </c>
      <c r="W78" s="21">
        <v>0.0</v>
      </c>
      <c r="X78" s="21">
        <v>4275613.0</v>
      </c>
      <c r="Y78" s="21">
        <v>1103158.0</v>
      </c>
      <c r="Z78" s="21">
        <v>1846460.0</v>
      </c>
      <c r="AA78" s="21">
        <v>2286811.0</v>
      </c>
      <c r="AB78" s="21">
        <v>6128628.0</v>
      </c>
      <c r="AC78" s="21">
        <v>4710127.0</v>
      </c>
      <c r="AD78" s="21">
        <v>5000000.0</v>
      </c>
      <c r="AE78" s="22">
        <v>6.2E7</v>
      </c>
      <c r="AF78" s="22">
        <v>1.58278802E8</v>
      </c>
      <c r="AG78" s="22">
        <v>-5732835.0</v>
      </c>
      <c r="AH78" s="23">
        <v>0.0</v>
      </c>
      <c r="AI78" s="24">
        <v>0.0</v>
      </c>
      <c r="AJ78" s="24">
        <v>0.0</v>
      </c>
    </row>
    <row r="79">
      <c r="A79" s="15">
        <v>45444.0</v>
      </c>
      <c r="B79" s="18">
        <v>2024.0</v>
      </c>
      <c r="C79" s="19">
        <v>1007.0</v>
      </c>
      <c r="D79" s="19">
        <v>30.0</v>
      </c>
      <c r="E79" s="21">
        <v>1611310.0</v>
      </c>
      <c r="F79" s="21">
        <v>1587817.0</v>
      </c>
      <c r="G79" s="21">
        <v>1286765.0</v>
      </c>
      <c r="H79" s="21">
        <v>370601.0</v>
      </c>
      <c r="I79" s="21">
        <v>128905.0</v>
      </c>
      <c r="J79" s="21">
        <v>714518.0</v>
      </c>
      <c r="K79" s="21">
        <v>102941.0</v>
      </c>
      <c r="L79" s="21">
        <v>2445238.0</v>
      </c>
      <c r="M79" s="21">
        <v>1047959.0</v>
      </c>
      <c r="N79" s="21">
        <v>1394689.0</v>
      </c>
      <c r="O79" s="21">
        <v>1578033.0</v>
      </c>
      <c r="P79" s="21">
        <v>330383.0</v>
      </c>
      <c r="Q79" s="21">
        <v>416667.0</v>
      </c>
      <c r="R79" s="21">
        <v>433101.0</v>
      </c>
      <c r="S79" s="21">
        <v>0.0</v>
      </c>
      <c r="T79" s="21">
        <v>807512.0</v>
      </c>
      <c r="U79" s="21">
        <v>0.0</v>
      </c>
      <c r="V79" s="21">
        <v>0.0</v>
      </c>
      <c r="W79" s="21">
        <v>0.0</v>
      </c>
      <c r="X79" s="21">
        <v>4608219.0</v>
      </c>
      <c r="Y79" s="21">
        <v>1295800.0</v>
      </c>
      <c r="Z79" s="21">
        <v>1980000.0</v>
      </c>
      <c r="AA79" s="21">
        <v>2436589.0</v>
      </c>
      <c r="AB79" s="21">
        <v>6402500.0</v>
      </c>
      <c r="AC79" s="21">
        <v>4840000.0</v>
      </c>
      <c r="AD79" s="21">
        <v>5000000.0</v>
      </c>
      <c r="AE79" s="22">
        <v>6.2E7</v>
      </c>
      <c r="AF79" s="22">
        <v>1.53635932E8</v>
      </c>
      <c r="AG79" s="22">
        <v>-4642870.0</v>
      </c>
      <c r="AH79" s="23">
        <v>0.0</v>
      </c>
      <c r="AI79" s="24">
        <v>0.0</v>
      </c>
      <c r="AJ79" s="24">
        <v>0.0</v>
      </c>
    </row>
    <row r="80">
      <c r="A80" s="15">
        <v>45474.0</v>
      </c>
      <c r="B80" s="18">
        <v>2024.0</v>
      </c>
      <c r="C80" s="19">
        <v>1124.0</v>
      </c>
      <c r="D80" s="19">
        <v>31.0</v>
      </c>
      <c r="E80" s="21">
        <v>1798951.0</v>
      </c>
      <c r="F80" s="21">
        <v>1555442.0</v>
      </c>
      <c r="G80" s="21">
        <v>205882.0</v>
      </c>
      <c r="H80" s="21">
        <v>413759.0</v>
      </c>
      <c r="I80" s="21">
        <v>143916.0</v>
      </c>
      <c r="J80" s="21">
        <v>699949.0</v>
      </c>
      <c r="K80" s="21">
        <v>16471.0</v>
      </c>
      <c r="L80" s="21">
        <v>2395381.0</v>
      </c>
      <c r="M80" s="21">
        <v>1026592.0</v>
      </c>
      <c r="N80" s="21">
        <v>1509177.0</v>
      </c>
      <c r="O80" s="21">
        <v>1558345.0</v>
      </c>
      <c r="P80" s="21">
        <v>336283.0</v>
      </c>
      <c r="Q80" s="21">
        <v>416667.0</v>
      </c>
      <c r="R80" s="21">
        <v>433101.0</v>
      </c>
      <c r="S80" s="21">
        <v>0.0</v>
      </c>
      <c r="T80" s="21">
        <v>816901.0</v>
      </c>
      <c r="U80" s="21">
        <v>0.0</v>
      </c>
      <c r="V80" s="21">
        <v>0.0</v>
      </c>
      <c r="W80" s="21">
        <v>0.0</v>
      </c>
      <c r="X80" s="21">
        <v>4940826.0</v>
      </c>
      <c r="Y80" s="21">
        <v>1488442.0</v>
      </c>
      <c r="Z80" s="21">
        <v>2113540.0</v>
      </c>
      <c r="AA80" s="21">
        <v>2586367.0</v>
      </c>
      <c r="AB80" s="21">
        <v>6676372.0</v>
      </c>
      <c r="AC80" s="21">
        <v>4969873.0</v>
      </c>
      <c r="AD80" s="21">
        <v>5000000.0</v>
      </c>
      <c r="AE80" s="22">
        <v>6.2E7</v>
      </c>
      <c r="AF80" s="22">
        <v>1.48077349E8</v>
      </c>
      <c r="AG80" s="22">
        <v>-5558583.0</v>
      </c>
      <c r="AH80" s="23">
        <v>0.0</v>
      </c>
      <c r="AI80" s="24">
        <v>0.0</v>
      </c>
      <c r="AJ80" s="24">
        <v>0.0</v>
      </c>
    </row>
    <row r="81">
      <c r="A81" s="15">
        <v>45505.0</v>
      </c>
      <c r="B81" s="18">
        <v>2024.0</v>
      </c>
      <c r="C81" s="19">
        <v>1248.0</v>
      </c>
      <c r="D81" s="19">
        <v>32.0</v>
      </c>
      <c r="E81" s="21">
        <v>1996106.0</v>
      </c>
      <c r="F81" s="21">
        <v>1555349.0</v>
      </c>
      <c r="G81" s="21">
        <v>205882.0</v>
      </c>
      <c r="H81" s="21">
        <v>459105.0</v>
      </c>
      <c r="I81" s="21">
        <v>159688.0</v>
      </c>
      <c r="J81" s="21">
        <v>699907.0</v>
      </c>
      <c r="K81" s="21">
        <v>16471.0</v>
      </c>
      <c r="L81" s="21">
        <v>2395238.0</v>
      </c>
      <c r="M81" s="21">
        <v>1026531.0</v>
      </c>
      <c r="N81" s="21">
        <v>1632105.0</v>
      </c>
      <c r="O81" s="21">
        <v>1546774.0</v>
      </c>
      <c r="P81" s="21">
        <v>342183.0</v>
      </c>
      <c r="Q81" s="21">
        <v>416667.0</v>
      </c>
      <c r="R81" s="21">
        <v>433101.0</v>
      </c>
      <c r="S81" s="21">
        <v>0.0</v>
      </c>
      <c r="T81" s="21">
        <v>826291.0</v>
      </c>
      <c r="U81" s="21">
        <v>0.0</v>
      </c>
      <c r="V81" s="21">
        <v>0.0</v>
      </c>
      <c r="W81" s="21">
        <v>0.0</v>
      </c>
      <c r="X81" s="21">
        <v>5290267.0</v>
      </c>
      <c r="Y81" s="21">
        <v>1687334.0</v>
      </c>
      <c r="Z81" s="21">
        <v>2254170.0</v>
      </c>
      <c r="AA81" s="21">
        <v>2744648.0</v>
      </c>
      <c r="AB81" s="21">
        <v>6970754.0</v>
      </c>
      <c r="AC81" s="21">
        <v>5114071.0</v>
      </c>
      <c r="AD81" s="21">
        <v>5000000.0</v>
      </c>
      <c r="AE81" s="22">
        <v>6.2E7</v>
      </c>
      <c r="AF81" s="22">
        <v>1.42547373E8</v>
      </c>
      <c r="AG81" s="22">
        <v>-5529976.0</v>
      </c>
      <c r="AH81" s="23">
        <v>0.0</v>
      </c>
      <c r="AI81" s="24">
        <v>0.0</v>
      </c>
      <c r="AJ81" s="24">
        <v>0.0</v>
      </c>
    </row>
    <row r="82">
      <c r="A82" s="15">
        <v>45536.0</v>
      </c>
      <c r="B82" s="18">
        <v>2024.0</v>
      </c>
      <c r="C82" s="19">
        <v>1377.0</v>
      </c>
      <c r="D82" s="19">
        <v>33.0</v>
      </c>
      <c r="E82" s="21">
        <v>2202756.0</v>
      </c>
      <c r="F82" s="21">
        <v>1592548.0</v>
      </c>
      <c r="G82" s="21">
        <v>1286765.0</v>
      </c>
      <c r="H82" s="21">
        <v>506635.0</v>
      </c>
      <c r="I82" s="21">
        <v>176220.0</v>
      </c>
      <c r="J82" s="21">
        <v>716647.0</v>
      </c>
      <c r="K82" s="21">
        <v>102941.0</v>
      </c>
      <c r="L82" s="21">
        <v>2452524.0</v>
      </c>
      <c r="M82" s="21">
        <v>1051081.0</v>
      </c>
      <c r="N82" s="21">
        <v>1764436.0</v>
      </c>
      <c r="O82" s="21">
        <v>1549259.0</v>
      </c>
      <c r="P82" s="21">
        <v>348083.0</v>
      </c>
      <c r="Q82" s="21">
        <v>416667.0</v>
      </c>
      <c r="R82" s="21">
        <v>398173.0</v>
      </c>
      <c r="S82" s="21">
        <v>0.0</v>
      </c>
      <c r="T82" s="21">
        <v>1962441.0</v>
      </c>
      <c r="U82" s="21">
        <v>0.0</v>
      </c>
      <c r="V82" s="21">
        <v>0.0</v>
      </c>
      <c r="W82" s="21">
        <v>5000000.0</v>
      </c>
      <c r="X82" s="21">
        <v>5668866.0</v>
      </c>
      <c r="Y82" s="21">
        <v>1897051.0</v>
      </c>
      <c r="Z82" s="21">
        <v>2407080.0</v>
      </c>
      <c r="AA82" s="21">
        <v>2917655.0</v>
      </c>
      <c r="AB82" s="21">
        <v>7300660.0</v>
      </c>
      <c r="AC82" s="21">
        <v>5283080.0</v>
      </c>
      <c r="AD82" s="21">
        <v>0.0</v>
      </c>
      <c r="AE82" s="22">
        <v>5.7E7</v>
      </c>
      <c r="AF82" s="22">
        <v>1.31879781E8</v>
      </c>
      <c r="AG82" s="22">
        <v>-1.0667592E7</v>
      </c>
      <c r="AH82" s="23">
        <v>0.0</v>
      </c>
      <c r="AI82" s="24">
        <v>0.0</v>
      </c>
      <c r="AJ82" s="24">
        <v>0.0</v>
      </c>
    </row>
    <row r="83">
      <c r="A83" s="15">
        <v>45566.0</v>
      </c>
      <c r="B83" s="18">
        <v>2024.0</v>
      </c>
      <c r="C83" s="19">
        <v>1678.0</v>
      </c>
      <c r="D83" s="19">
        <v>34.0</v>
      </c>
      <c r="E83" s="21">
        <v>2684960.0</v>
      </c>
      <c r="F83" s="21">
        <v>1662028.0</v>
      </c>
      <c r="G83" s="21">
        <v>205882.0</v>
      </c>
      <c r="H83" s="21">
        <v>617541.0</v>
      </c>
      <c r="I83" s="21">
        <v>214797.0</v>
      </c>
      <c r="J83" s="21">
        <v>747913.0</v>
      </c>
      <c r="K83" s="21">
        <v>16471.0</v>
      </c>
      <c r="L83" s="21">
        <v>2559524.0</v>
      </c>
      <c r="M83" s="21">
        <v>1096939.0</v>
      </c>
      <c r="N83" s="21">
        <v>1966863.0</v>
      </c>
      <c r="O83" s="21">
        <v>1567976.0</v>
      </c>
      <c r="P83" s="21">
        <v>353982.0</v>
      </c>
      <c r="Q83" s="21">
        <v>416667.0</v>
      </c>
      <c r="R83" s="21">
        <v>398173.0</v>
      </c>
      <c r="S83" s="21">
        <v>0.0</v>
      </c>
      <c r="T83" s="21">
        <v>845070.0</v>
      </c>
      <c r="U83" s="21">
        <v>0.0</v>
      </c>
      <c r="V83" s="21">
        <v>0.0</v>
      </c>
      <c r="W83" s="21">
        <v>0.0</v>
      </c>
      <c r="X83" s="21">
        <v>6081134.0</v>
      </c>
      <c r="Y83" s="21">
        <v>2119268.0</v>
      </c>
      <c r="Z83" s="21">
        <v>2574170.0</v>
      </c>
      <c r="AA83" s="21">
        <v>3107666.0</v>
      </c>
      <c r="AB83" s="21">
        <v>7671587.0</v>
      </c>
      <c r="AC83" s="21">
        <v>5480738.0</v>
      </c>
      <c r="AD83" s="21">
        <v>0.0</v>
      </c>
      <c r="AE83" s="22">
        <v>5.7E7</v>
      </c>
      <c r="AF83" s="22">
        <v>1.26358405E8</v>
      </c>
      <c r="AG83" s="22">
        <v>-5521376.0</v>
      </c>
      <c r="AH83" s="23">
        <v>0.0</v>
      </c>
      <c r="AI83" s="24">
        <v>0.0</v>
      </c>
      <c r="AJ83" s="24">
        <v>0.0</v>
      </c>
    </row>
    <row r="84">
      <c r="A84" s="15">
        <v>45597.0</v>
      </c>
      <c r="B84" s="18">
        <v>2024.0</v>
      </c>
      <c r="C84" s="19">
        <v>1835.0</v>
      </c>
      <c r="D84" s="19">
        <v>35.0</v>
      </c>
      <c r="E84" s="21">
        <v>2935404.0</v>
      </c>
      <c r="F84" s="21">
        <v>1750155.0</v>
      </c>
      <c r="G84" s="21">
        <v>205882.0</v>
      </c>
      <c r="H84" s="21">
        <v>675143.0</v>
      </c>
      <c r="I84" s="21">
        <v>234832.0</v>
      </c>
      <c r="J84" s="21">
        <v>787570.0</v>
      </c>
      <c r="K84" s="21">
        <v>16471.0</v>
      </c>
      <c r="L84" s="21">
        <v>2695238.0</v>
      </c>
      <c r="M84" s="21">
        <v>1155102.0</v>
      </c>
      <c r="N84" s="21">
        <v>2119179.0</v>
      </c>
      <c r="O84" s="21">
        <v>1600749.0</v>
      </c>
      <c r="P84" s="21">
        <v>359882.0</v>
      </c>
      <c r="Q84" s="21">
        <v>416667.0</v>
      </c>
      <c r="R84" s="21">
        <v>398173.0</v>
      </c>
      <c r="S84" s="21">
        <v>0.0</v>
      </c>
      <c r="T84" s="21">
        <v>854460.0</v>
      </c>
      <c r="U84" s="21">
        <v>0.0</v>
      </c>
      <c r="V84" s="21">
        <v>0.0</v>
      </c>
      <c r="W84" s="21">
        <v>0.0</v>
      </c>
      <c r="X84" s="21">
        <v>6522561.0</v>
      </c>
      <c r="Y84" s="21">
        <v>2352309.0</v>
      </c>
      <c r="Z84" s="21">
        <v>2753540.0</v>
      </c>
      <c r="AA84" s="21">
        <v>3312404.0</v>
      </c>
      <c r="AB84" s="21">
        <v>8078038.0</v>
      </c>
      <c r="AC84" s="21">
        <v>5703207.0</v>
      </c>
      <c r="AD84" s="21">
        <v>0.0</v>
      </c>
      <c r="AE84" s="22">
        <v>5.7E7</v>
      </c>
      <c r="AF84" s="22">
        <v>1.20692749E8</v>
      </c>
      <c r="AG84" s="22">
        <v>-5665656.0</v>
      </c>
      <c r="AH84" s="23">
        <v>0.0</v>
      </c>
      <c r="AI84" s="24">
        <v>0.0</v>
      </c>
      <c r="AJ84" s="24">
        <v>0.0</v>
      </c>
    </row>
    <row r="85">
      <c r="A85" s="15">
        <v>45627.0</v>
      </c>
      <c r="B85" s="18">
        <v>2024.0</v>
      </c>
      <c r="C85" s="19">
        <v>1998.0</v>
      </c>
      <c r="D85" s="19">
        <v>36.0</v>
      </c>
      <c r="E85" s="21">
        <v>3196398.0</v>
      </c>
      <c r="F85" s="21">
        <v>1838281.0</v>
      </c>
      <c r="G85" s="21">
        <v>1492649.0</v>
      </c>
      <c r="H85" s="21">
        <v>735170.0</v>
      </c>
      <c r="I85" s="21">
        <v>255712.0</v>
      </c>
      <c r="J85" s="21">
        <v>827225.0</v>
      </c>
      <c r="K85" s="21">
        <v>119409.0</v>
      </c>
      <c r="L85" s="21">
        <v>2830952.0</v>
      </c>
      <c r="M85" s="21">
        <v>1213265.0</v>
      </c>
      <c r="N85" s="21">
        <v>2273941.0</v>
      </c>
      <c r="O85" s="21">
        <v>1641639.0</v>
      </c>
      <c r="P85" s="21">
        <v>365782.0</v>
      </c>
      <c r="Q85" s="21">
        <v>416663.0</v>
      </c>
      <c r="R85" s="21">
        <v>398173.0</v>
      </c>
      <c r="S85" s="21">
        <v>0.0</v>
      </c>
      <c r="T85" s="21">
        <v>863852.0</v>
      </c>
      <c r="U85" s="21">
        <v>0.0</v>
      </c>
      <c r="V85" s="21">
        <v>0.0</v>
      </c>
      <c r="W85" s="21">
        <v>0.0</v>
      </c>
      <c r="X85" s="21">
        <v>6980822.0</v>
      </c>
      <c r="Y85" s="21">
        <v>2591600.0</v>
      </c>
      <c r="Z85" s="21">
        <v>2940000.0</v>
      </c>
      <c r="AA85" s="21">
        <v>3525644.0</v>
      </c>
      <c r="AB85" s="21">
        <v>8505000.0</v>
      </c>
      <c r="AC85" s="21">
        <v>5940000.0</v>
      </c>
      <c r="AD85" s="21">
        <v>0.0</v>
      </c>
      <c r="AE85" s="22">
        <v>5.7E7</v>
      </c>
      <c r="AF85" s="22">
        <v>1.16053722E8</v>
      </c>
      <c r="AG85" s="22">
        <v>-4639027.0</v>
      </c>
      <c r="AH85" s="23">
        <v>0.0</v>
      </c>
      <c r="AI85" s="24">
        <v>0.0</v>
      </c>
      <c r="AJ85" s="24">
        <v>0.0</v>
      </c>
    </row>
    <row r="86">
      <c r="A86" s="15">
        <v>45658.0</v>
      </c>
      <c r="B86" s="18">
        <v>2025.0</v>
      </c>
      <c r="C86" s="19">
        <v>2740.0</v>
      </c>
      <c r="D86" s="19">
        <v>38.0</v>
      </c>
      <c r="E86" s="21">
        <v>4110189.0</v>
      </c>
      <c r="F86" s="21">
        <v>1853639.0</v>
      </c>
      <c r="G86" s="21">
        <v>205882.0</v>
      </c>
      <c r="H86" s="21">
        <v>904242.0</v>
      </c>
      <c r="I86" s="21">
        <v>328815.0</v>
      </c>
      <c r="J86" s="21">
        <v>797065.0</v>
      </c>
      <c r="K86" s="21">
        <v>16471.0</v>
      </c>
      <c r="L86" s="21">
        <v>3774684.0</v>
      </c>
      <c r="M86" s="21">
        <v>2123260.0</v>
      </c>
      <c r="N86" s="21">
        <v>2081003.0</v>
      </c>
      <c r="O86" s="21">
        <v>2292045.0</v>
      </c>
      <c r="P86" s="21">
        <v>526549.0</v>
      </c>
      <c r="Q86" s="21">
        <v>583333.0</v>
      </c>
      <c r="R86" s="21">
        <v>357342.0</v>
      </c>
      <c r="S86" s="21">
        <v>0.0</v>
      </c>
      <c r="T86" s="21">
        <v>1014085.0</v>
      </c>
      <c r="U86" s="21">
        <v>0.0</v>
      </c>
      <c r="V86" s="21">
        <v>0.0</v>
      </c>
      <c r="W86" s="21">
        <v>0.0</v>
      </c>
      <c r="X86" s="21">
        <v>7730711.0</v>
      </c>
      <c r="Y86" s="21">
        <v>2951793.0</v>
      </c>
      <c r="Z86" s="21">
        <v>3215760.0</v>
      </c>
      <c r="AA86" s="21">
        <v>3802779.0</v>
      </c>
      <c r="AB86" s="21">
        <v>9157243.0</v>
      </c>
      <c r="AC86" s="21">
        <v>6087640.0</v>
      </c>
      <c r="AD86" s="21">
        <v>0.0</v>
      </c>
      <c r="AE86" s="22">
        <v>5.7E7</v>
      </c>
      <c r="AF86" s="22">
        <v>1.08225596E8</v>
      </c>
      <c r="AG86" s="22">
        <v>-7828126.0</v>
      </c>
      <c r="AH86" s="23">
        <v>0.0</v>
      </c>
      <c r="AI86" s="24">
        <v>0.0</v>
      </c>
      <c r="AJ86" s="24">
        <v>0.0</v>
      </c>
    </row>
    <row r="87">
      <c r="A87" s="15">
        <v>45689.0</v>
      </c>
      <c r="B87" s="18">
        <v>2025.0</v>
      </c>
      <c r="C87" s="19">
        <v>2878.0</v>
      </c>
      <c r="D87" s="19">
        <v>40.0</v>
      </c>
      <c r="E87" s="21">
        <v>4316847.0</v>
      </c>
      <c r="F87" s="21">
        <v>1894558.0</v>
      </c>
      <c r="G87" s="21">
        <v>205882.0</v>
      </c>
      <c r="H87" s="21">
        <v>949706.0</v>
      </c>
      <c r="I87" s="21">
        <v>345348.0</v>
      </c>
      <c r="J87" s="21">
        <v>814660.0</v>
      </c>
      <c r="K87" s="21">
        <v>16471.0</v>
      </c>
      <c r="L87" s="21">
        <v>3858009.0</v>
      </c>
      <c r="M87" s="21">
        <v>2170130.0</v>
      </c>
      <c r="N87" s="21">
        <v>2249945.0</v>
      </c>
      <c r="O87" s="21">
        <v>2340343.0</v>
      </c>
      <c r="P87" s="21">
        <v>536873.0</v>
      </c>
      <c r="Q87" s="21">
        <v>583333.0</v>
      </c>
      <c r="R87" s="21">
        <v>357342.0</v>
      </c>
      <c r="S87" s="21">
        <v>0.0</v>
      </c>
      <c r="T87" s="21">
        <v>1026604.0</v>
      </c>
      <c r="U87" s="21">
        <v>0.0</v>
      </c>
      <c r="V87" s="21">
        <v>0.0</v>
      </c>
      <c r="W87" s="21">
        <v>0.0</v>
      </c>
      <c r="X87" s="21">
        <v>8445820.0</v>
      </c>
      <c r="Y87" s="21">
        <v>3296939.0</v>
      </c>
      <c r="Z87" s="21">
        <v>3477919.0</v>
      </c>
      <c r="AA87" s="21">
        <v>4065002.0</v>
      </c>
      <c r="AB87" s="21">
        <v>9773941.0</v>
      </c>
      <c r="AC87" s="21">
        <v>6218496.0</v>
      </c>
      <c r="AD87" s="21">
        <v>0.0</v>
      </c>
      <c r="AE87" s="22">
        <v>5.7E7</v>
      </c>
      <c r="AF87" s="22">
        <v>1.00201688E8</v>
      </c>
      <c r="AG87" s="22">
        <v>-8023908.0</v>
      </c>
      <c r="AH87" s="23">
        <v>0.0</v>
      </c>
      <c r="AI87" s="24">
        <v>0.0</v>
      </c>
      <c r="AJ87" s="24">
        <v>0.0</v>
      </c>
    </row>
    <row r="88">
      <c r="A88" s="15">
        <v>45717.0</v>
      </c>
      <c r="B88" s="18">
        <v>2025.0</v>
      </c>
      <c r="C88" s="19">
        <v>3016.0</v>
      </c>
      <c r="D88" s="19">
        <v>42.0</v>
      </c>
      <c r="E88" s="21">
        <v>4523504.0</v>
      </c>
      <c r="F88" s="21">
        <v>1894456.0</v>
      </c>
      <c r="G88" s="21">
        <v>1286765.0</v>
      </c>
      <c r="H88" s="21">
        <v>995171.0</v>
      </c>
      <c r="I88" s="21">
        <v>361880.0</v>
      </c>
      <c r="J88" s="21">
        <v>814616.0</v>
      </c>
      <c r="K88" s="21">
        <v>102941.0</v>
      </c>
      <c r="L88" s="21">
        <v>3857801.0</v>
      </c>
      <c r="M88" s="21">
        <v>2170013.0</v>
      </c>
      <c r="N88" s="21">
        <v>2408827.0</v>
      </c>
      <c r="O88" s="21">
        <v>2367926.0</v>
      </c>
      <c r="P88" s="21">
        <v>547198.0</v>
      </c>
      <c r="Q88" s="21">
        <v>583333.0</v>
      </c>
      <c r="R88" s="21">
        <v>357342.0</v>
      </c>
      <c r="S88" s="21">
        <v>0.0</v>
      </c>
      <c r="T88" s="21">
        <v>2541471.0</v>
      </c>
      <c r="U88" s="21">
        <v>0.0</v>
      </c>
      <c r="V88" s="21">
        <v>0.0</v>
      </c>
      <c r="W88" s="21">
        <v>0.0</v>
      </c>
      <c r="X88" s="21">
        <v>9100690.0</v>
      </c>
      <c r="Y88" s="21">
        <v>3616020.0</v>
      </c>
      <c r="Z88" s="21">
        <v>3716520.0</v>
      </c>
      <c r="AA88" s="21">
        <v>4301398.0</v>
      </c>
      <c r="AB88" s="21">
        <v>1.032907E7</v>
      </c>
      <c r="AC88" s="21">
        <v>6320280.0</v>
      </c>
      <c r="AD88" s="21">
        <v>0.0</v>
      </c>
      <c r="AE88" s="22">
        <v>5.7E7</v>
      </c>
      <c r="AF88" s="22">
        <v>9.1609182E7</v>
      </c>
      <c r="AG88" s="22">
        <v>-8592506.0</v>
      </c>
      <c r="AH88" s="23">
        <v>0.0</v>
      </c>
      <c r="AI88" s="24">
        <v>0.0</v>
      </c>
      <c r="AJ88" s="24">
        <v>0.0</v>
      </c>
    </row>
    <row r="89">
      <c r="A89" s="15">
        <v>45748.0</v>
      </c>
      <c r="B89" s="18">
        <v>2025.0</v>
      </c>
      <c r="C89" s="19">
        <v>3153.0</v>
      </c>
      <c r="D89" s="19">
        <v>43.0</v>
      </c>
      <c r="E89" s="21">
        <v>4730162.0</v>
      </c>
      <c r="F89" s="21">
        <v>1858844.0</v>
      </c>
      <c r="G89" s="21">
        <v>205882.0</v>
      </c>
      <c r="H89" s="21">
        <v>1040636.0</v>
      </c>
      <c r="I89" s="21">
        <v>378413.0</v>
      </c>
      <c r="J89" s="21">
        <v>799303.0</v>
      </c>
      <c r="K89" s="21">
        <v>16471.0</v>
      </c>
      <c r="L89" s="21">
        <v>3785281.0</v>
      </c>
      <c r="M89" s="21">
        <v>2129221.0</v>
      </c>
      <c r="N89" s="21">
        <v>2559001.0</v>
      </c>
      <c r="O89" s="21">
        <v>2371588.0</v>
      </c>
      <c r="P89" s="21">
        <v>557522.0</v>
      </c>
      <c r="Q89" s="21">
        <v>583333.0</v>
      </c>
      <c r="R89" s="21">
        <v>608108.0</v>
      </c>
      <c r="S89" s="21">
        <v>0.0</v>
      </c>
      <c r="T89" s="21">
        <v>1051643.0</v>
      </c>
      <c r="U89" s="21">
        <v>0.0</v>
      </c>
      <c r="V89" s="21">
        <v>4.0E7</v>
      </c>
      <c r="W89" s="21">
        <v>0.0</v>
      </c>
      <c r="X89" s="21">
        <v>9686003.0</v>
      </c>
      <c r="Y89" s="21">
        <v>3905005.0</v>
      </c>
      <c r="Z89" s="21">
        <v>3927919.0</v>
      </c>
      <c r="AA89" s="21">
        <v>4507970.0</v>
      </c>
      <c r="AB89" s="21">
        <v>1.0813107E7</v>
      </c>
      <c r="AC89" s="21">
        <v>6388496.0</v>
      </c>
      <c r="AD89" s="21">
        <v>0.0</v>
      </c>
      <c r="AE89" s="22">
        <v>9.7E7</v>
      </c>
      <c r="AF89" s="22">
        <v>1.23337533E8</v>
      </c>
      <c r="AG89" s="22">
        <v>3.1728351E7</v>
      </c>
      <c r="AH89" s="23">
        <v>0.0</v>
      </c>
      <c r="AI89" s="24">
        <v>0.0</v>
      </c>
      <c r="AJ89" s="24">
        <v>0.0</v>
      </c>
    </row>
    <row r="90">
      <c r="A90" s="15">
        <v>45778.0</v>
      </c>
      <c r="B90" s="18">
        <v>2025.0</v>
      </c>
      <c r="C90" s="19">
        <v>3291.0</v>
      </c>
      <c r="D90" s="19">
        <v>45.0</v>
      </c>
      <c r="E90" s="21">
        <v>4936819.0</v>
      </c>
      <c r="F90" s="21">
        <v>1802721.0</v>
      </c>
      <c r="G90" s="21">
        <v>205882.0</v>
      </c>
      <c r="H90" s="21">
        <v>1086100.0</v>
      </c>
      <c r="I90" s="21">
        <v>394946.0</v>
      </c>
      <c r="J90" s="21">
        <v>775170.0</v>
      </c>
      <c r="K90" s="21">
        <v>16471.0</v>
      </c>
      <c r="L90" s="21">
        <v>3670996.0</v>
      </c>
      <c r="M90" s="21">
        <v>2064935.0</v>
      </c>
      <c r="N90" s="21">
        <v>2704145.0</v>
      </c>
      <c r="O90" s="21">
        <v>2354535.0</v>
      </c>
      <c r="P90" s="21">
        <v>567847.0</v>
      </c>
      <c r="Q90" s="21">
        <v>583333.0</v>
      </c>
      <c r="R90" s="21">
        <v>608108.0</v>
      </c>
      <c r="S90" s="21">
        <v>0.0</v>
      </c>
      <c r="T90" s="21">
        <v>1064163.0</v>
      </c>
      <c r="U90" s="21">
        <v>0.0</v>
      </c>
      <c r="V90" s="21">
        <v>0.0</v>
      </c>
      <c r="W90" s="21">
        <v>0.0</v>
      </c>
      <c r="X90" s="21">
        <v>1.0211076E7</v>
      </c>
      <c r="Y90" s="21">
        <v>4167927.0</v>
      </c>
      <c r="Z90" s="21">
        <v>4115760.0</v>
      </c>
      <c r="AA90" s="21">
        <v>4688715.0</v>
      </c>
      <c r="AB90" s="21">
        <v>1.1235577E7</v>
      </c>
      <c r="AC90" s="21">
        <v>6427640.0</v>
      </c>
      <c r="AD90" s="21">
        <v>0.0</v>
      </c>
      <c r="AE90" s="22">
        <v>9.7E7</v>
      </c>
      <c r="AF90" s="22">
        <v>1.15209909E8</v>
      </c>
      <c r="AG90" s="22">
        <v>-8127624.0</v>
      </c>
      <c r="AH90" s="23">
        <v>0.0</v>
      </c>
      <c r="AI90" s="24">
        <v>0.0</v>
      </c>
      <c r="AJ90" s="24">
        <v>0.0</v>
      </c>
    </row>
    <row r="91">
      <c r="A91" s="15">
        <v>45809.0</v>
      </c>
      <c r="B91" s="18">
        <v>2025.0</v>
      </c>
      <c r="C91" s="19">
        <v>3429.0</v>
      </c>
      <c r="D91" s="19">
        <v>47.0</v>
      </c>
      <c r="E91" s="21">
        <v>5143477.0</v>
      </c>
      <c r="F91" s="21">
        <v>1746599.0</v>
      </c>
      <c r="G91" s="21">
        <v>1286765.0</v>
      </c>
      <c r="H91" s="21">
        <v>1131565.0</v>
      </c>
      <c r="I91" s="21">
        <v>411478.0</v>
      </c>
      <c r="J91" s="21">
        <v>751037.0</v>
      </c>
      <c r="K91" s="21">
        <v>102941.0</v>
      </c>
      <c r="L91" s="21">
        <v>3556710.0</v>
      </c>
      <c r="M91" s="21">
        <v>2000649.0</v>
      </c>
      <c r="N91" s="21">
        <v>2849290.0</v>
      </c>
      <c r="O91" s="21">
        <v>2325522.0</v>
      </c>
      <c r="P91" s="21">
        <v>578171.0</v>
      </c>
      <c r="Q91" s="21">
        <v>583333.0</v>
      </c>
      <c r="R91" s="21">
        <v>608108.0</v>
      </c>
      <c r="S91" s="21">
        <v>0.0</v>
      </c>
      <c r="T91" s="21">
        <v>1076682.0</v>
      </c>
      <c r="U91" s="21">
        <v>0.0</v>
      </c>
      <c r="V91" s="21">
        <v>0.0</v>
      </c>
      <c r="W91" s="21">
        <v>0.0</v>
      </c>
      <c r="X91" s="21">
        <v>1.070137E7</v>
      </c>
      <c r="Y91" s="21">
        <v>4415800.0</v>
      </c>
      <c r="Z91" s="21">
        <v>4290000.0</v>
      </c>
      <c r="AA91" s="21">
        <v>4854548.0</v>
      </c>
      <c r="AB91" s="21">
        <v>1.16225E7</v>
      </c>
      <c r="AC91" s="21">
        <v>6450000.0</v>
      </c>
      <c r="AD91" s="21">
        <v>0.0</v>
      </c>
      <c r="AE91" s="22">
        <v>9.7E7</v>
      </c>
      <c r="AF91" s="22">
        <v>1.08235477E8</v>
      </c>
      <c r="AG91" s="22">
        <v>-6974432.0</v>
      </c>
      <c r="AH91" s="23">
        <v>0.0</v>
      </c>
      <c r="AI91" s="24">
        <v>0.0</v>
      </c>
      <c r="AJ91" s="24">
        <v>0.0</v>
      </c>
    </row>
    <row r="92">
      <c r="A92" s="15">
        <v>45839.0</v>
      </c>
      <c r="B92" s="18">
        <v>2025.0</v>
      </c>
      <c r="C92" s="19">
        <v>3567.0</v>
      </c>
      <c r="D92" s="19">
        <v>49.0</v>
      </c>
      <c r="E92" s="21">
        <v>5350134.0</v>
      </c>
      <c r="F92" s="21">
        <v>1710986.0</v>
      </c>
      <c r="G92" s="21">
        <v>205882.0</v>
      </c>
      <c r="H92" s="21">
        <v>1177029.0</v>
      </c>
      <c r="I92" s="21">
        <v>428011.0</v>
      </c>
      <c r="J92" s="21">
        <v>735724.0</v>
      </c>
      <c r="K92" s="21">
        <v>16471.0</v>
      </c>
      <c r="L92" s="21">
        <v>3484191.0</v>
      </c>
      <c r="M92" s="21">
        <v>1959857.0</v>
      </c>
      <c r="N92" s="21">
        <v>2999464.0</v>
      </c>
      <c r="O92" s="21">
        <v>2296509.0</v>
      </c>
      <c r="P92" s="21">
        <v>588496.0</v>
      </c>
      <c r="Q92" s="21">
        <v>583333.0</v>
      </c>
      <c r="R92" s="21">
        <v>608108.0</v>
      </c>
      <c r="S92" s="21">
        <v>0.0</v>
      </c>
      <c r="T92" s="21">
        <v>1089202.0</v>
      </c>
      <c r="U92" s="21">
        <v>0.0</v>
      </c>
      <c r="V92" s="21">
        <v>0.0</v>
      </c>
      <c r="W92" s="21">
        <v>0.0</v>
      </c>
      <c r="X92" s="21">
        <v>1.1191664E7</v>
      </c>
      <c r="Y92" s="21">
        <v>4663673.0</v>
      </c>
      <c r="Z92" s="21">
        <v>4464240.0</v>
      </c>
      <c r="AA92" s="21">
        <v>5020381.0</v>
      </c>
      <c r="AB92" s="21">
        <v>1.2009423E7</v>
      </c>
      <c r="AC92" s="21">
        <v>6472360.0</v>
      </c>
      <c r="AD92" s="21">
        <v>0.0</v>
      </c>
      <c r="AE92" s="22">
        <v>9.7E7</v>
      </c>
      <c r="AF92" s="22">
        <v>1.00370622E8</v>
      </c>
      <c r="AG92" s="22">
        <v>-7864855.0</v>
      </c>
      <c r="AH92" s="23">
        <v>0.0</v>
      </c>
      <c r="AI92" s="24">
        <v>0.0</v>
      </c>
      <c r="AJ92" s="24">
        <v>0.0</v>
      </c>
    </row>
    <row r="93">
      <c r="A93" s="15">
        <v>45870.0</v>
      </c>
      <c r="B93" s="18">
        <v>2025.0</v>
      </c>
      <c r="C93" s="19">
        <v>3705.0</v>
      </c>
      <c r="D93" s="19">
        <v>51.0</v>
      </c>
      <c r="E93" s="21">
        <v>5556792.0</v>
      </c>
      <c r="F93" s="21">
        <v>1710884.0</v>
      </c>
      <c r="G93" s="21">
        <v>205882.0</v>
      </c>
      <c r="H93" s="21">
        <v>1222495.0</v>
      </c>
      <c r="I93" s="21">
        <v>444543.0</v>
      </c>
      <c r="J93" s="21">
        <v>735680.0</v>
      </c>
      <c r="K93" s="21">
        <v>16471.0</v>
      </c>
      <c r="L93" s="21">
        <v>3483983.0</v>
      </c>
      <c r="M93" s="21">
        <v>1959740.0</v>
      </c>
      <c r="N93" s="21">
        <v>3158346.0</v>
      </c>
      <c r="O93" s="21">
        <v>2279456.0</v>
      </c>
      <c r="P93" s="21">
        <v>598820.0</v>
      </c>
      <c r="Q93" s="21">
        <v>583333.0</v>
      </c>
      <c r="R93" s="21">
        <v>608108.0</v>
      </c>
      <c r="S93" s="21">
        <v>0.0</v>
      </c>
      <c r="T93" s="21">
        <v>1101721.0</v>
      </c>
      <c r="U93" s="21">
        <v>0.0</v>
      </c>
      <c r="V93" s="21">
        <v>0.0</v>
      </c>
      <c r="W93" s="21">
        <v>0.0</v>
      </c>
      <c r="X93" s="21">
        <v>1.1716737E7</v>
      </c>
      <c r="Y93" s="21">
        <v>4926595.0</v>
      </c>
      <c r="Z93" s="21">
        <v>4652081.0</v>
      </c>
      <c r="AA93" s="21">
        <v>5201126.0</v>
      </c>
      <c r="AB93" s="21">
        <v>1.2431893E7</v>
      </c>
      <c r="AC93" s="21">
        <v>6511504.0</v>
      </c>
      <c r="AD93" s="21">
        <v>0.0</v>
      </c>
      <c r="AE93" s="22">
        <v>9.7E7</v>
      </c>
      <c r="AF93" s="22">
        <v>9.250016E7</v>
      </c>
      <c r="AG93" s="22">
        <v>-7870462.0</v>
      </c>
      <c r="AH93" s="23">
        <v>0.0</v>
      </c>
      <c r="AI93" s="24">
        <v>0.0</v>
      </c>
      <c r="AJ93" s="24">
        <v>0.0</v>
      </c>
    </row>
    <row r="94">
      <c r="A94" s="15">
        <v>45901.0</v>
      </c>
      <c r="B94" s="18">
        <v>2025.0</v>
      </c>
      <c r="C94" s="19">
        <v>3842.0</v>
      </c>
      <c r="D94" s="19">
        <v>53.0</v>
      </c>
      <c r="E94" s="21">
        <v>5763450.0</v>
      </c>
      <c r="F94" s="21">
        <v>1751803.0</v>
      </c>
      <c r="G94" s="21">
        <v>1286765.0</v>
      </c>
      <c r="H94" s="21">
        <v>1267959.0</v>
      </c>
      <c r="I94" s="21">
        <v>461076.0</v>
      </c>
      <c r="J94" s="21">
        <v>753275.0</v>
      </c>
      <c r="K94" s="21">
        <v>102941.0</v>
      </c>
      <c r="L94" s="21">
        <v>3567308.0</v>
      </c>
      <c r="M94" s="21">
        <v>2006610.0</v>
      </c>
      <c r="N94" s="21">
        <v>3327288.0</v>
      </c>
      <c r="O94" s="21">
        <v>2283118.0</v>
      </c>
      <c r="P94" s="21">
        <v>609145.0</v>
      </c>
      <c r="Q94" s="21">
        <v>583333.0</v>
      </c>
      <c r="R94" s="21">
        <v>608108.0</v>
      </c>
      <c r="S94" s="21">
        <v>0.0</v>
      </c>
      <c r="T94" s="21">
        <v>2616588.0</v>
      </c>
      <c r="U94" s="21">
        <v>0.0</v>
      </c>
      <c r="V94" s="21">
        <v>0.0</v>
      </c>
      <c r="W94" s="21">
        <v>0.0</v>
      </c>
      <c r="X94" s="21">
        <v>1.2302049E7</v>
      </c>
      <c r="Y94" s="21">
        <v>5215580.0</v>
      </c>
      <c r="Z94" s="21">
        <v>4863480.0</v>
      </c>
      <c r="AA94" s="21">
        <v>5407698.0</v>
      </c>
      <c r="AB94" s="21">
        <v>1.291593E7</v>
      </c>
      <c r="AC94" s="21">
        <v>6579720.0</v>
      </c>
      <c r="AD94" s="21">
        <v>0.0</v>
      </c>
      <c r="AE94" s="22">
        <v>9.7E7</v>
      </c>
      <c r="AF94" s="22">
        <v>8.3981036E7</v>
      </c>
      <c r="AG94" s="22">
        <v>-8519124.0</v>
      </c>
      <c r="AH94" s="23">
        <v>0.0</v>
      </c>
      <c r="AI94" s="24">
        <v>0.0</v>
      </c>
      <c r="AJ94" s="24">
        <v>0.0</v>
      </c>
    </row>
    <row r="95">
      <c r="A95" s="15">
        <v>45931.0</v>
      </c>
      <c r="B95" s="18">
        <v>2025.0</v>
      </c>
      <c r="C95" s="19">
        <v>4418.0</v>
      </c>
      <c r="D95" s="19">
        <v>54.0</v>
      </c>
      <c r="E95" s="21">
        <v>6626819.0</v>
      </c>
      <c r="F95" s="21">
        <v>1828231.0</v>
      </c>
      <c r="G95" s="21">
        <v>205882.0</v>
      </c>
      <c r="H95" s="21">
        <v>1457900.0</v>
      </c>
      <c r="I95" s="21">
        <v>530146.0</v>
      </c>
      <c r="J95" s="21">
        <v>786139.0</v>
      </c>
      <c r="K95" s="21">
        <v>16471.0</v>
      </c>
      <c r="L95" s="21">
        <v>3722944.0</v>
      </c>
      <c r="M95" s="21">
        <v>2094156.0</v>
      </c>
      <c r="N95" s="21">
        <v>3698194.0</v>
      </c>
      <c r="O95" s="21">
        <v>2310701.0</v>
      </c>
      <c r="P95" s="21">
        <v>619469.0</v>
      </c>
      <c r="Q95" s="21">
        <v>583333.0</v>
      </c>
      <c r="R95" s="21">
        <v>608108.0</v>
      </c>
      <c r="S95" s="21">
        <v>0.0</v>
      </c>
      <c r="T95" s="21">
        <v>1126761.0</v>
      </c>
      <c r="U95" s="21">
        <v>0.0</v>
      </c>
      <c r="V95" s="21">
        <v>0.0</v>
      </c>
      <c r="W95" s="21">
        <v>0.0</v>
      </c>
      <c r="X95" s="21">
        <v>1.295692E7</v>
      </c>
      <c r="Y95" s="21">
        <v>5534661.0</v>
      </c>
      <c r="Z95" s="21">
        <v>5102081.0</v>
      </c>
      <c r="AA95" s="21">
        <v>5644094.0</v>
      </c>
      <c r="AB95" s="21">
        <v>1.3471059E7</v>
      </c>
      <c r="AC95" s="21">
        <v>6681504.0</v>
      </c>
      <c r="AD95" s="21">
        <v>0.0</v>
      </c>
      <c r="AE95" s="22">
        <v>9.7E7</v>
      </c>
      <c r="AF95" s="22">
        <v>7.5971204E7</v>
      </c>
      <c r="AG95" s="22">
        <v>-8009832.0</v>
      </c>
      <c r="AH95" s="23">
        <v>0.0</v>
      </c>
      <c r="AI95" s="24">
        <v>0.0</v>
      </c>
      <c r="AJ95" s="24">
        <v>0.0</v>
      </c>
    </row>
    <row r="96">
      <c r="A96" s="15">
        <v>45962.0</v>
      </c>
      <c r="B96" s="18">
        <v>2025.0</v>
      </c>
      <c r="C96" s="19">
        <v>4571.0</v>
      </c>
      <c r="D96" s="19">
        <v>56.0</v>
      </c>
      <c r="E96" s="21">
        <v>6856209.0</v>
      </c>
      <c r="F96" s="21">
        <v>1925170.0</v>
      </c>
      <c r="G96" s="21">
        <v>205882.0</v>
      </c>
      <c r="H96" s="21">
        <v>1508366.0</v>
      </c>
      <c r="I96" s="21">
        <v>548497.0</v>
      </c>
      <c r="J96" s="21">
        <v>827823.0</v>
      </c>
      <c r="K96" s="21">
        <v>16471.0</v>
      </c>
      <c r="L96" s="21">
        <v>3920346.0</v>
      </c>
      <c r="M96" s="21">
        <v>2205195.0</v>
      </c>
      <c r="N96" s="21">
        <v>3887564.0</v>
      </c>
      <c r="O96" s="21">
        <v>2358999.0</v>
      </c>
      <c r="P96" s="21">
        <v>629794.0</v>
      </c>
      <c r="Q96" s="21">
        <v>583333.0</v>
      </c>
      <c r="R96" s="21">
        <v>608108.0</v>
      </c>
      <c r="S96" s="21">
        <v>0.0</v>
      </c>
      <c r="T96" s="21">
        <v>1139280.0</v>
      </c>
      <c r="U96" s="21">
        <v>0.0</v>
      </c>
      <c r="V96" s="21">
        <v>0.0</v>
      </c>
      <c r="W96" s="21">
        <v>0.0</v>
      </c>
      <c r="X96" s="21">
        <v>1.3672029E7</v>
      </c>
      <c r="Y96" s="21">
        <v>5879807.0</v>
      </c>
      <c r="Z96" s="21">
        <v>5364240.0</v>
      </c>
      <c r="AA96" s="21">
        <v>5906317.0</v>
      </c>
      <c r="AB96" s="21">
        <v>1.4087757E7</v>
      </c>
      <c r="AC96" s="21">
        <v>6812360.0</v>
      </c>
      <c r="AD96" s="21">
        <v>0.0</v>
      </c>
      <c r="AE96" s="22">
        <v>9.7E7</v>
      </c>
      <c r="AF96" s="22">
        <v>6.7625179E7</v>
      </c>
      <c r="AG96" s="22">
        <v>-8346025.0</v>
      </c>
      <c r="AH96" s="23">
        <v>0.0</v>
      </c>
      <c r="AI96" s="24">
        <v>0.0</v>
      </c>
      <c r="AJ96" s="24">
        <v>0.0</v>
      </c>
    </row>
    <row r="97">
      <c r="A97" s="15">
        <v>45992.0</v>
      </c>
      <c r="B97" s="18">
        <v>2025.0</v>
      </c>
      <c r="C97" s="19">
        <v>4724.0</v>
      </c>
      <c r="D97" s="19">
        <v>58.0</v>
      </c>
      <c r="E97" s="21">
        <v>7085598.0</v>
      </c>
      <c r="F97" s="21">
        <v>2022109.0</v>
      </c>
      <c r="G97" s="21">
        <v>1492649.0</v>
      </c>
      <c r="H97" s="21">
        <v>1558830.0</v>
      </c>
      <c r="I97" s="21">
        <v>566848.0</v>
      </c>
      <c r="J97" s="21">
        <v>869508.0</v>
      </c>
      <c r="K97" s="21">
        <v>119409.0</v>
      </c>
      <c r="L97" s="21">
        <v>4117748.0</v>
      </c>
      <c r="M97" s="21">
        <v>2316233.0</v>
      </c>
      <c r="N97" s="21">
        <v>4076933.0</v>
      </c>
      <c r="O97" s="21">
        <v>2419258.0</v>
      </c>
      <c r="P97" s="21">
        <v>640116.0</v>
      </c>
      <c r="Q97" s="21">
        <v>583337.0</v>
      </c>
      <c r="R97" s="21">
        <v>608110.0</v>
      </c>
      <c r="S97" s="21">
        <v>0.0</v>
      </c>
      <c r="T97" s="21">
        <v>1151800.0</v>
      </c>
      <c r="U97" s="21">
        <v>0.0</v>
      </c>
      <c r="V97" s="21">
        <v>0.0</v>
      </c>
      <c r="W97" s="21">
        <v>0.0</v>
      </c>
      <c r="X97" s="21">
        <v>1.4421918E7</v>
      </c>
      <c r="Y97" s="21">
        <v>6240000.0</v>
      </c>
      <c r="Z97" s="21">
        <v>5640000.0</v>
      </c>
      <c r="AA97" s="21">
        <v>6183452.0</v>
      </c>
      <c r="AB97" s="21">
        <v>1.474E7</v>
      </c>
      <c r="AC97" s="21">
        <v>6960000.0</v>
      </c>
      <c r="AD97" s="21">
        <v>0.0</v>
      </c>
      <c r="AE97" s="22">
        <v>9.7E7</v>
      </c>
      <c r="AF97" s="22">
        <v>6.0112034E7</v>
      </c>
      <c r="AG97" s="22">
        <v>-7513145.0</v>
      </c>
      <c r="AH97" s="23">
        <v>0.0</v>
      </c>
      <c r="AI97" s="24">
        <v>0.0</v>
      </c>
      <c r="AJ97" s="24">
        <v>0.0</v>
      </c>
    </row>
  </sheetData>
  <drawing r:id="rId1"/>
</worksheet>
</file>